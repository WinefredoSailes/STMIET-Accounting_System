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/>
  <mc:AlternateContent xmlns:mc="http://schemas.openxmlformats.org/markup-compatibility/2006">
    <mc:Choice Requires="x15">
      <x15ac:absPath xmlns:x15ac="http://schemas.microsoft.com/office/spreadsheetml/2010/11/ac" url="C:\Users\admin\Downloads\STPC.CMDY\"/>
    </mc:Choice>
  </mc:AlternateContent>
  <xr:revisionPtr revIDLastSave="0" documentId="8_{FAFD6719-B574-43E9-A552-59F4CCBD56A9}" xr6:coauthVersionLast="47" xr6:coauthVersionMax="47" xr10:uidLastSave="{00000000-0000-0000-0000-000000000000}"/>
  <bookViews>
    <workbookView xWindow="0" yWindow="0" windowWidth="28800" windowHeight="12030" firstSheet="18" activeTab="18" xr2:uid="{00000000-000D-0000-FFFF-FFFF00000000}"/>
  </bookViews>
  <sheets>
    <sheet name="CNR-SHORT TERMLOAN" sheetId="18" r:id="rId1"/>
    <sheet name="RFP FOR BILLING SHORT TERM  (2" sheetId="13" r:id="rId2"/>
    <sheet name="SHANDONG" sheetId="15" r:id="rId3"/>
    <sheet name="MOTORPOOL" sheetId="16" r:id="rId4"/>
    <sheet name="SIR BOY" sheetId="20" r:id="rId5"/>
    <sheet name="JUNVICK" sheetId="21" r:id="rId6"/>
    <sheet name="STPC FUEL CONSUMP" sheetId="11" r:id="rId7"/>
    <sheet name="EDGAR CALASANG" sheetId="22" r:id="rId8"/>
    <sheet name="27-ORIX" sheetId="24" r:id="rId9"/>
    <sheet name="13-ORIX" sheetId="23" r:id="rId10"/>
    <sheet name="ZANECO" sheetId="32" r:id="rId11"/>
    <sheet name="WATER DISTRICT" sheetId="31" r:id="rId12"/>
    <sheet name="CARTRACK BILLING" sheetId="25" r:id="rId13"/>
    <sheet name="PLDT INC.." sheetId="33" r:id="rId14"/>
    <sheet name="MOTORPOOL EXPENSE" sheetId="34" r:id="rId15"/>
    <sheet name="MOTORPOOLEXPENSES" sheetId="35" r:id="rId16"/>
    <sheet name="RFP FOR ALL" sheetId="29" r:id="rId17"/>
    <sheet name="RFP TO ALL (4)" sheetId="47" r:id="rId18"/>
    <sheet name="RFP TO ALL (5)" sheetId="48" r:id="rId19"/>
    <sheet name="RFP TO ALL (3)" sheetId="46" r:id="rId20"/>
    <sheet name="DEPARTMENT OF ENERGY" sheetId="43" r:id="rId21"/>
    <sheet name="FJB RFP" sheetId="36" r:id="rId22"/>
    <sheet name="PAYABLES CNR" sheetId="17" r:id="rId23"/>
    <sheet name="ILAYA-SIR BOY" sheetId="30" r:id="rId24"/>
    <sheet name="SALARY (ETHELANE)" sheetId="45" r:id="rId25"/>
    <sheet name="SALARY (OTHERS)" sheetId="26" r:id="rId26"/>
    <sheet name="SALARY " sheetId="19" r:id="rId27"/>
    <sheet name="TARIF(TRUCKMAN) " sheetId="44" r:id="rId28"/>
    <sheet name="TARIF(OFFICE STAFF) " sheetId="28" r:id="rId29"/>
    <sheet name="TARIF(ACRUAL)  (2)" sheetId="27" r:id="rId30"/>
    <sheet name="TARIF(ACRUAL) " sheetId="12" r:id="rId31"/>
    <sheet name="BILLING INVOICE" sheetId="14" r:id="rId32"/>
    <sheet name="VAT" sheetId="1" r:id="rId33"/>
    <sheet name="WITHOUT VAT" sheetId="2" r:id="rId34"/>
    <sheet name="READ" sheetId="3" r:id="rId35"/>
    <sheet name="CNR-BPI" sheetId="7" r:id="rId36"/>
    <sheet name="CNR-MBTC" sheetId="6" r:id="rId37"/>
    <sheet name="EMR" sheetId="5" r:id="rId38"/>
    <sheet name="VAT (2)" sheetId="10" r:id="rId39"/>
  </sheets>
  <definedNames>
    <definedName name="_xlnm.Print_Area" localSheetId="9">'13-ORIX'!$B$1:$O$63</definedName>
    <definedName name="_xlnm.Print_Area" localSheetId="8">'27-ORIX'!$B$1:$O$63</definedName>
    <definedName name="_xlnm.Print_Area" localSheetId="31">'BILLING INVOICE'!$B$1:$O$72</definedName>
    <definedName name="_xlnm.Print_Area" localSheetId="12">'CARTRACK BILLING'!$B$1:$O$63</definedName>
    <definedName name="_xlnm.Print_Area" localSheetId="0">'CNR-SHORT TERMLOAN'!$B$1:$O$72</definedName>
    <definedName name="_xlnm.Print_Area" localSheetId="20">'DEPARTMENT OF ENERGY'!$B$1:$O$64</definedName>
    <definedName name="_xlnm.Print_Area" localSheetId="7">'EDGAR CALASANG'!$B$1:$O$63</definedName>
    <definedName name="_xlnm.Print_Area" localSheetId="21">'FJB RFP'!$B$1:$O$64</definedName>
    <definedName name="_xlnm.Print_Area" localSheetId="23">'ILAYA-SIR BOY'!$B$1:$O$63</definedName>
    <definedName name="_xlnm.Print_Area" localSheetId="5">JUNVICK!$B$1:$O$63</definedName>
    <definedName name="_xlnm.Print_Area" localSheetId="3">MOTORPOOL!$B$1:$O$63</definedName>
    <definedName name="_xlnm.Print_Area" localSheetId="14">'MOTORPOOL EXPENSE'!$B$1:$O$63</definedName>
    <definedName name="_xlnm.Print_Area" localSheetId="15">MOTORPOOLEXPENSES!$B$1:$O$63</definedName>
    <definedName name="_xlnm.Print_Area" localSheetId="22">'PAYABLES CNR'!$B$1:$O$63</definedName>
    <definedName name="_xlnm.Print_Area" localSheetId="13">'PLDT INC..'!$B$1:$O$63</definedName>
    <definedName name="_xlnm.Print_Area" localSheetId="16">'RFP FOR ALL'!$B$1:$O$63</definedName>
    <definedName name="_xlnm.Print_Area" localSheetId="1">'RFP FOR BILLING SHORT TERM  (2'!$B$1:$O$72</definedName>
    <definedName name="_xlnm.Print_Area" localSheetId="19">'RFP TO ALL (3)'!$B$1:$O$64</definedName>
    <definedName name="_xlnm.Print_Area" localSheetId="17">'RFP TO ALL (4)'!$B$1:$O$64</definedName>
    <definedName name="_xlnm.Print_Area" localSheetId="18">'RFP TO ALL (5)'!$B$1:$O$64</definedName>
    <definedName name="_xlnm.Print_Area" localSheetId="26">'SALARY '!$B$1:$O$72</definedName>
    <definedName name="_xlnm.Print_Area" localSheetId="24">'SALARY (ETHELANE)'!$B$1:$O$63</definedName>
    <definedName name="_xlnm.Print_Area" localSheetId="25">'SALARY (OTHERS)'!$B$1:$O$63</definedName>
    <definedName name="_xlnm.Print_Area" localSheetId="2">SHANDONG!$B$1:$O$70</definedName>
    <definedName name="_xlnm.Print_Area" localSheetId="4">'SIR BOY'!$B$1:$O$63</definedName>
    <definedName name="_xlnm.Print_Area" localSheetId="6">'STPC FUEL CONSUMP'!$B$1:$O$63</definedName>
    <definedName name="_xlnm.Print_Area" localSheetId="30">'TARIF(ACRUAL) '!$B$1:$O$72</definedName>
    <definedName name="_xlnm.Print_Area" localSheetId="29">'TARIF(ACRUAL)  (2)'!$B$1:$O$72</definedName>
    <definedName name="_xlnm.Print_Area" localSheetId="28">'TARIF(OFFICE STAFF) '!$B$1:$O$72</definedName>
    <definedName name="_xlnm.Print_Area" localSheetId="27">'TARIF(TRUCKMAN) '!$B$1:$O$72</definedName>
    <definedName name="_xlnm.Print_Area" localSheetId="32">VAT!$B$1:$O$72</definedName>
    <definedName name="_xlnm.Print_Area" localSheetId="38">'VAT (2)'!$B$1:$O$72</definedName>
    <definedName name="_xlnm.Print_Area" localSheetId="11">'WATER DISTRICT'!$B$1:$O$63</definedName>
    <definedName name="_xlnm.Print_Area" localSheetId="33">'WITHOUT VAT'!$B$1:$O$57</definedName>
    <definedName name="_xlnm.Print_Area" localSheetId="10">ZANECO!$B$1:$O$63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48" l="1"/>
  <c r="K24" i="48"/>
  <c r="K28" i="48" s="1"/>
  <c r="P24" i="47"/>
  <c r="K24" i="47"/>
  <c r="K28" i="47" s="1"/>
  <c r="K24" i="46"/>
  <c r="P24" i="46"/>
  <c r="K28" i="46"/>
  <c r="P23" i="45"/>
  <c r="K23" i="45"/>
  <c r="K27" i="45" s="1"/>
  <c r="K24" i="36"/>
  <c r="P24" i="44"/>
  <c r="K24" i="44"/>
  <c r="K28" i="44" s="1"/>
  <c r="R10" i="44"/>
  <c r="P24" i="43"/>
  <c r="K24" i="43"/>
  <c r="K28" i="43" s="1"/>
  <c r="P24" i="36"/>
  <c r="K28" i="36"/>
  <c r="P23" i="35"/>
  <c r="K23" i="35"/>
  <c r="K27" i="35" s="1"/>
  <c r="P23" i="34"/>
  <c r="K23" i="34"/>
  <c r="K27" i="34" s="1"/>
  <c r="P23" i="33"/>
  <c r="K23" i="33"/>
  <c r="K27" i="33" s="1"/>
  <c r="P23" i="32"/>
  <c r="K23" i="32"/>
  <c r="K27" i="32" s="1"/>
  <c r="P23" i="31"/>
  <c r="K23" i="31"/>
  <c r="K27" i="31" s="1"/>
  <c r="P23" i="30"/>
  <c r="K23" i="30"/>
  <c r="K27" i="30" s="1"/>
  <c r="P23" i="29"/>
  <c r="K23" i="29"/>
  <c r="K27" i="29" s="1"/>
  <c r="P24" i="28"/>
  <c r="K24" i="28"/>
  <c r="K28" i="28" s="1"/>
  <c r="R10" i="28"/>
  <c r="K23" i="21"/>
  <c r="K24" i="27"/>
  <c r="P24" i="27"/>
  <c r="K28" i="27"/>
  <c r="R10" i="27"/>
  <c r="P23" i="26"/>
  <c r="K23" i="26"/>
  <c r="K27" i="26" s="1"/>
  <c r="P23" i="25"/>
  <c r="K23" i="25"/>
  <c r="K27" i="25" s="1"/>
  <c r="P23" i="24"/>
  <c r="K23" i="24"/>
  <c r="K27" i="24" s="1"/>
  <c r="P23" i="23"/>
  <c r="K23" i="23"/>
  <c r="K27" i="23" s="1"/>
  <c r="P23" i="22"/>
  <c r="K23" i="22"/>
  <c r="K27" i="22" s="1"/>
  <c r="P23" i="21"/>
  <c r="K27" i="21"/>
  <c r="P23" i="20"/>
  <c r="K23" i="20"/>
  <c r="K27" i="20" s="1"/>
  <c r="P24" i="19"/>
  <c r="K24" i="19"/>
  <c r="K28" i="19" s="1"/>
  <c r="R10" i="19"/>
  <c r="K23" i="11"/>
  <c r="P24" i="18"/>
  <c r="K24" i="18"/>
  <c r="K28" i="18" s="1"/>
  <c r="R10" i="18"/>
  <c r="P23" i="17"/>
  <c r="K23" i="17"/>
  <c r="K27" i="17" s="1"/>
  <c r="P23" i="16"/>
  <c r="K23" i="16"/>
  <c r="K27" i="16" s="1"/>
  <c r="R10" i="12"/>
  <c r="K30" i="15"/>
  <c r="L10" i="15"/>
  <c r="R10" i="14"/>
  <c r="P30" i="15"/>
  <c r="K34" i="15"/>
  <c r="P24" i="14"/>
  <c r="K24" i="14"/>
  <c r="K28" i="14" s="1"/>
  <c r="K27" i="11"/>
  <c r="P24" i="13" l="1"/>
  <c r="K24" i="13"/>
  <c r="K28" i="13" s="1"/>
  <c r="P24" i="12" l="1"/>
  <c r="K24" i="12"/>
  <c r="K28" i="12" s="1"/>
  <c r="P23" i="11" l="1"/>
  <c r="P24" i="10" l="1"/>
  <c r="K24" i="10"/>
  <c r="K28" i="10" s="1"/>
  <c r="K20" i="5" l="1"/>
  <c r="K24" i="5" s="1"/>
  <c r="K20" i="6"/>
  <c r="K24" i="6" s="1"/>
  <c r="K20" i="7"/>
  <c r="K24" i="7" s="1"/>
  <c r="K18" i="2"/>
  <c r="K21" i="2" s="1"/>
  <c r="R10" i="2"/>
  <c r="R9" i="2"/>
  <c r="R8" i="2"/>
  <c r="P24" i="1"/>
  <c r="K24" i="1"/>
  <c r="K28" i="1" s="1"/>
</calcChain>
</file>

<file path=xl/sharedStrings.xml><?xml version="1.0" encoding="utf-8"?>
<sst xmlns="http://schemas.openxmlformats.org/spreadsheetml/2006/main" count="2134" uniqueCount="289">
  <si>
    <t>REQUEST FOR PAYMENT</t>
  </si>
  <si>
    <t>ACCOUNTING DEPARTMENT</t>
  </si>
  <si>
    <t>Document No.:</t>
  </si>
  <si>
    <t>ACCTG-FOR-012</t>
  </si>
  <si>
    <t>Effective Date:</t>
  </si>
  <si>
    <t>11.16. 2024</t>
  </si>
  <si>
    <t>Revision No.:</t>
  </si>
  <si>
    <t>00</t>
  </si>
  <si>
    <t>PAYEE INFORMATION</t>
  </si>
  <si>
    <t>NAME:</t>
  </si>
  <si>
    <t>CLYDE N. REBOLLOS</t>
  </si>
  <si>
    <t>DATE OF REQUEST:</t>
  </si>
  <si>
    <t>02/25/2026</t>
  </si>
  <si>
    <t>POSITION / CONTACT NO:</t>
  </si>
  <si>
    <t>VENDOR NO:</t>
  </si>
  <si>
    <t>DEPARTMENT / ADDRESS:</t>
  </si>
  <si>
    <t>AP NO:</t>
  </si>
  <si>
    <t>A1337</t>
  </si>
  <si>
    <t>DISTRIBUTION CHARGES:</t>
  </si>
  <si>
    <t>PURPOSE OF PAYMENT</t>
  </si>
  <si>
    <t>ENTITY</t>
  </si>
  <si>
    <t>SEGMENT</t>
  </si>
  <si>
    <t>COST CENTER</t>
  </si>
  <si>
    <t>AMOUNT</t>
  </si>
  <si>
    <t xml:space="preserve">PAYMENT FOR SHORT- TERM LOAN </t>
  </si>
  <si>
    <t>STMIET</t>
  </si>
  <si>
    <t>DHPP</t>
  </si>
  <si>
    <t>OS</t>
  </si>
  <si>
    <t>(MARCH 03, 2026)</t>
  </si>
  <si>
    <t>TR NO. 0627</t>
  </si>
  <si>
    <t>AR NO. 2026-916</t>
  </si>
  <si>
    <t>CHART OF ACCOUNTS:</t>
  </si>
  <si>
    <t>TOTAL AMOUNT:</t>
  </si>
  <si>
    <t>Dr.</t>
  </si>
  <si>
    <t>OTHER PAYABLES</t>
  </si>
  <si>
    <t xml:space="preserve"> </t>
  </si>
  <si>
    <t>Cr.</t>
  </si>
  <si>
    <t>ADVANCES TO EMPLOYEES</t>
  </si>
  <si>
    <t>INTEREST EXPENSE</t>
  </si>
  <si>
    <t>VAT:</t>
  </si>
  <si>
    <t>A/PAYABLES - CURRENT</t>
  </si>
  <si>
    <t>NET INVOICE:</t>
  </si>
  <si>
    <t>REQUESTED BY:</t>
  </si>
  <si>
    <t xml:space="preserve">RECOMMENDING APPROVER  / OR CHECKER </t>
  </si>
  <si>
    <t>APPROVAL:</t>
  </si>
  <si>
    <t>CHERRY MAE D.  YORONG</t>
  </si>
  <si>
    <t>ALYWIN AIDAN D. BAJE</t>
  </si>
  <si>
    <t>Print Name/Sign/Date</t>
  </si>
  <si>
    <t>Department Head</t>
  </si>
  <si>
    <t>Accounting / Audit</t>
  </si>
  <si>
    <t>ACCOUNTING MANAGER</t>
  </si>
  <si>
    <t>FINANCE MANAGER</t>
  </si>
  <si>
    <t>SEVEN TRENT PETROLEUM CORP.</t>
  </si>
  <si>
    <t>02/18/2026</t>
  </si>
  <si>
    <t>A1299</t>
  </si>
  <si>
    <t>A0804</t>
  </si>
  <si>
    <t>PAYMENT FOR SHORT-TERM LOAN</t>
  </si>
  <si>
    <t xml:space="preserve">                                  </t>
  </si>
  <si>
    <t>OTHER PAYABLES CURRENT</t>
  </si>
  <si>
    <t xml:space="preserve">   </t>
  </si>
  <si>
    <t>SHAN DONG HIPECH INTERNATIONAL TRADE CO., LTD</t>
  </si>
  <si>
    <t>12/01/2025</t>
  </si>
  <si>
    <t>LAST AP</t>
  </si>
  <si>
    <t>A1035</t>
  </si>
  <si>
    <t>NEED TO BE USED</t>
  </si>
  <si>
    <t>PAYMENT FOR HIPECH PORTABLE FUEL DISPENSER CONFIGURATION WITH ITS ACCESSORIES</t>
  </si>
  <si>
    <t>(5 QTY) FUEL DISPENSER (HIPECH MINI FUEL DISPENSER 5000L WITH 3 NOZZLE PRODUCTS</t>
  </si>
  <si>
    <t>(5 QTY) HIPECH HI FUEL DISPENSER WITH 2 PRODUCTS 4 NOZZLES</t>
  </si>
  <si>
    <t>(2 QTY) HIPECH HI FUEL DISPENSER WITH 2 PRODUCTS 4 NOZZLES</t>
  </si>
  <si>
    <t>(1 QTY) HIPECH HI FUEL DISPENSER WITH 3 PRODUCTS 3 NOZZLES</t>
  </si>
  <si>
    <t>(1 QTY) HIPECH HI FUEL DISPENSER WITH 3 PRODUCTS 6 NOZZLES</t>
  </si>
  <si>
    <t>(7QTY) HIPECH PORTABLE FUEL DISPENSER CONFIGURATION</t>
  </si>
  <si>
    <t>(40 QTY)CONVERTER CONFIGURATION</t>
  </si>
  <si>
    <t>(2 QTY)WOODEN CASE FOR 10 CONVERTERS</t>
  </si>
  <si>
    <t>(10 QTY)300W 12V SOLAR PANELS</t>
  </si>
  <si>
    <t>(5 QTY)WOODEN CASE FOR SOLAR PANELS</t>
  </si>
  <si>
    <t>DST</t>
  </si>
  <si>
    <t>COMMISSION</t>
  </si>
  <si>
    <t>OTHER</t>
  </si>
  <si>
    <t>ADVANCES TO SUPPLIERS</t>
  </si>
  <si>
    <t xml:space="preserve">A/PAYABLES CURRENT </t>
  </si>
  <si>
    <t>06/19/2026</t>
  </si>
  <si>
    <t>A1645</t>
  </si>
  <si>
    <t>A1048</t>
  </si>
  <si>
    <t>PAYMENT FOR PAYROLL (MOTORPOOL ILAYA)</t>
  </si>
  <si>
    <t>JUNE 06-19,2026</t>
  </si>
  <si>
    <t>OTHER DIRECT FEES</t>
  </si>
  <si>
    <t>EXPEDITO C. REBOLLOS</t>
  </si>
  <si>
    <t>06/24/2026</t>
  </si>
  <si>
    <t>A1662</t>
  </si>
  <si>
    <t>A1188</t>
  </si>
  <si>
    <t>.</t>
  </si>
  <si>
    <t xml:space="preserve">PAYMENT FOR 4J'S MICRO GAS REFILLING STATION INVESTMENT </t>
  </si>
  <si>
    <t>RE: MAY 12-18, 2026</t>
  </si>
  <si>
    <t>RE: MAY 19-25, 2026</t>
  </si>
  <si>
    <t>RE: MAY 26-30, 2026</t>
  </si>
  <si>
    <t>SEE ATTACHEMENT FOR REFERENCE</t>
  </si>
  <si>
    <t>A1166</t>
  </si>
  <si>
    <t>OTHER OPERATING EXPENSES</t>
  </si>
  <si>
    <t>ACCOUNTS PAYABLES</t>
  </si>
  <si>
    <t>JUNVICK TIRE CARE CENTER</t>
  </si>
  <si>
    <t>03/21/2026</t>
  </si>
  <si>
    <t>A1386</t>
  </si>
  <si>
    <t>A1312</t>
  </si>
  <si>
    <t>PAYMENT FOR TIRE 7.50R16LT (JAR 7137)</t>
  </si>
  <si>
    <t>FOR REFERENCE SEE ATTACHMENT</t>
  </si>
  <si>
    <t>ADCANCES TO SUPPLIERS</t>
  </si>
  <si>
    <t>;</t>
  </si>
  <si>
    <t>05/26/2026</t>
  </si>
  <si>
    <t>A1742</t>
  </si>
  <si>
    <t xml:space="preserve"> PAYABLES OF PAYMENT FOR FUEL FOR ALL TANKER TRUCKS (1,015.98L ADO) -MAY 19-26,2026</t>
  </si>
  <si>
    <t>SEE ATTACHMENT FOR REFERENCE</t>
  </si>
  <si>
    <t>COGS-GASOLINE EXPENSES-DHPP</t>
  </si>
  <si>
    <t>LEASLYN L. PAGHACIAN</t>
  </si>
  <si>
    <t>EDGAR CALASANG ELOPRE</t>
  </si>
  <si>
    <t>02/06/2026</t>
  </si>
  <si>
    <t>A1284</t>
  </si>
  <si>
    <t xml:space="preserve">PARTIAL PAYMENT OF LAND AT SAN MIGUEL, POLANCO, ZN </t>
  </si>
  <si>
    <t>OPS</t>
  </si>
  <si>
    <t>AMOUNTTO PAID: 3 MILLION</t>
  </si>
  <si>
    <t xml:space="preserve"> PAYMENT PAID : 1.8 MILLION</t>
  </si>
  <si>
    <t>REMAINING BALANCE: 1.2 MILLION</t>
  </si>
  <si>
    <t>PAYABLES TO OFFICER</t>
  </si>
  <si>
    <t>ORIX METRO LEASING AND FINANCE CORPORATION</t>
  </si>
  <si>
    <t>NKC 4763 TANKER  22ND  PRINCIPAL PAYMENT</t>
  </si>
  <si>
    <t>NKC 4763   TANKER  22ND INTEREST PAYMENT</t>
  </si>
  <si>
    <t>LOANS PAYABLE / INTEREST EXPENSE</t>
  </si>
  <si>
    <t xml:space="preserve">                                                                                                                                </t>
  </si>
  <si>
    <t>05-13-2026</t>
  </si>
  <si>
    <t>A1425</t>
  </si>
  <si>
    <t>NKC 4763 TANKER  24TH  PRINCIPAL PAYMENT</t>
  </si>
  <si>
    <t>NKC 4763   TANKER  24TH INTEREST PAYMENT</t>
  </si>
  <si>
    <t>ZAMBOANGA DEL NORTE ELECTRIC COOPERATIVE INC.</t>
  </si>
  <si>
    <t>DATE:</t>
  </si>
  <si>
    <t>06/30/2026</t>
  </si>
  <si>
    <t>A1679</t>
  </si>
  <si>
    <t>PAYMENT FOR ELECTRIC BILL - JUNE 2026</t>
  </si>
  <si>
    <t>FOR MORE DETAILS SEE ATTACHMENT</t>
  </si>
  <si>
    <t>UTILITIES EXPENSE</t>
  </si>
  <si>
    <t>A/PAYABLES-CURRENT</t>
  </si>
  <si>
    <t>DIPOLOG CITY WATER DISTRICT</t>
  </si>
  <si>
    <t>07/02/2026</t>
  </si>
  <si>
    <t>A1676</t>
  </si>
  <si>
    <t>PAYMENT FOR WATER BILL FOR THE MONTH OF JUNE 2026</t>
  </si>
  <si>
    <t>CARTRACK TECHNOLOGIES PHL. INC</t>
  </si>
  <si>
    <t>07/14/2026</t>
  </si>
  <si>
    <t>A1723</t>
  </si>
  <si>
    <t>A1290</t>
  </si>
  <si>
    <t>PAYMENT FOR PH CTG FUEL - JULY 2026 RE: 9KL</t>
  </si>
  <si>
    <t>COGS - Cartrack Subscription Fees</t>
  </si>
  <si>
    <t>PLDT INC.</t>
  </si>
  <si>
    <t>A1678</t>
  </si>
  <si>
    <t>PAYMENT FOR TELECOMMUNICATION/INTERNET BILLING - JUNE 2026</t>
  </si>
  <si>
    <t>WINEFREDO S. SAILES</t>
  </si>
  <si>
    <t>05/01/2026</t>
  </si>
  <si>
    <t>A1502</t>
  </si>
  <si>
    <t>PAYMENT FOR MINI RIB WHITE#10-4PCS (P450)</t>
  </si>
  <si>
    <t>AND SQUARE TUBE 2X2 X14.2MM 4PCS (P490)</t>
  </si>
  <si>
    <t>MOTORPOOL</t>
  </si>
  <si>
    <t>ADRIANO SILVA</t>
  </si>
  <si>
    <t>05/14/2026</t>
  </si>
  <si>
    <t>A1527</t>
  </si>
  <si>
    <t>PAYMENT FOR THE FOLLOWING</t>
  </si>
  <si>
    <t>HOLLOW BLOCKS</t>
  </si>
  <si>
    <t>DEFORM BAR 9MM</t>
  </si>
  <si>
    <t>DEFORM BAR 12MM</t>
  </si>
  <si>
    <t>06/02/2026</t>
  </si>
  <si>
    <t>A1570</t>
  </si>
  <si>
    <t>PAYMENT FOR TRAVEL ALLOWANCE GOING TO ZAMBOANGA CITY TO CALIBRATE THE CALIBRATION BUCKET</t>
  </si>
  <si>
    <t>ACCOUNTS PAYABLE</t>
  </si>
  <si>
    <t>ETHELANE O. MANUEL</t>
  </si>
  <si>
    <t>07/25/2026</t>
  </si>
  <si>
    <t>A1759</t>
  </si>
  <si>
    <t>A1724</t>
  </si>
  <si>
    <t>PAYMENT FOR PAYROLL JULY 01-15,2026 STMIET</t>
  </si>
  <si>
    <t>PAYMENT FOR PAYROLL JULY 01-15,2026 STMIET-OT</t>
  </si>
  <si>
    <t xml:space="preserve">PHIC JUNE 01-15, 2026 - STMIET </t>
  </si>
  <si>
    <t xml:space="preserve">HDMF JUNE 01-15, 2026 - STMIET </t>
  </si>
  <si>
    <t>SEE ATTACHMENT FOR MORE DETAILS</t>
  </si>
  <si>
    <t>Salaries and Benefits-Dept. Head_OPS/Other Allowances_OPS</t>
  </si>
  <si>
    <t>A/Payables - Current - OPS</t>
  </si>
  <si>
    <t>ZAMBOANGA DEL NORTE ELECTRIC COOPERATIVE</t>
  </si>
  <si>
    <t>07/27/2026</t>
  </si>
  <si>
    <t>A1767</t>
  </si>
  <si>
    <t>PAYMENT FOR ELECTRIC BILL FOR JULY 2026</t>
  </si>
  <si>
    <t>DONDELA RODRIGO c/o CLYDE N. REBOLLOS</t>
  </si>
  <si>
    <t>06/22/2026</t>
  </si>
  <si>
    <t>A1752</t>
  </si>
  <si>
    <t xml:space="preserve">PAYMENT FOR BULBS &amp; 1 BOX RUBBER CAPS FOR SPARE </t>
  </si>
  <si>
    <t>ADVANCES TO SUPPLIER</t>
  </si>
  <si>
    <t>DEPARTMENT OF ENERGY</t>
  </si>
  <si>
    <t>07/23/2026</t>
  </si>
  <si>
    <t>A1743</t>
  </si>
  <si>
    <t xml:space="preserve">PAYMENT FOR COC REGISTRATION FEE RE; JANUAORYZA MICRO GAS STATION </t>
  </si>
  <si>
    <t>FJB TAX AND ACCOUNTING SERVICES</t>
  </si>
  <si>
    <t>07-21-2026</t>
  </si>
  <si>
    <t>A1738</t>
  </si>
  <si>
    <t>A1092</t>
  </si>
  <si>
    <t>TO RECOGNIZE ACCRUAL ENTRY OF RETAINERS FEE  APRIL TO JUNE 2026</t>
  </si>
  <si>
    <t xml:space="preserve">RE: </t>
  </si>
  <si>
    <t>ACCRUED EXPENSES</t>
  </si>
  <si>
    <t>A1765</t>
  </si>
  <si>
    <t xml:space="preserve">PAYMENT FOR VARIOUS EXPENSES </t>
  </si>
  <si>
    <t>RE: SANDISK 64GB 4PCS; MINI MICROPHONE 1PC; MICRO USB  1PC; TYPE-C MALE TO MICRO 1PC;PORT USB 1PC</t>
  </si>
  <si>
    <t>OFFICE SUPPLIES</t>
  </si>
  <si>
    <t>EXPEDITO REBOLLOS</t>
  </si>
  <si>
    <t>07/20/2026</t>
  </si>
  <si>
    <t>A1732</t>
  </si>
  <si>
    <t>A1305</t>
  </si>
  <si>
    <t>PAYMENT FOR 4J'S MICRO GAS REFILLING STATION INVESTMENT</t>
  </si>
  <si>
    <t>( MAY 19-25;MAY 26-30;JUNE 2-8;JUNE 9-15,2026)</t>
  </si>
  <si>
    <t>OTHER OPERATING EXPENSE</t>
  </si>
  <si>
    <t>07/10/2026</t>
  </si>
  <si>
    <t>A1703</t>
  </si>
  <si>
    <t>PAYROLL JUNE 16-30,2026- STMIET</t>
  </si>
  <si>
    <t>PAYROLL JUNE 16-30,2026- STMIET-OT</t>
  </si>
  <si>
    <t xml:space="preserve">REVERSAL ENTRY PHIC JUNE 16-30, 2026 - STMIET </t>
  </si>
  <si>
    <t xml:space="preserve">HDMF JUNE 16-30, 2026 - STMIET </t>
  </si>
  <si>
    <t>Salaries and Benefits-Dept. Head_OPS/Other Allowances_OPS/SSS Payable - OPS</t>
  </si>
  <si>
    <t>ALYWIN AIDAN BAJE</t>
  </si>
  <si>
    <t>A1704</t>
  </si>
  <si>
    <t>PAYMENT FOR PAYROLL AS OF JUNE 16-30, 2026</t>
  </si>
  <si>
    <t xml:space="preserve">(MARJUN S. LOMUSAD; GODWIN B. AMPARADO; JOJO SALCEDO; PHILIP ANDREW A. ACOPIADO; </t>
  </si>
  <si>
    <t>ART JAKE; IRVIN JAKE T. CAAY; REYNAN PAGASIAN)</t>
  </si>
  <si>
    <t>COGS-OTHER DIRECT FEES_DHPP/ COGS-LABOR COST_DHPP</t>
  </si>
  <si>
    <t>02/28/2026</t>
  </si>
  <si>
    <t>A1355</t>
  </si>
  <si>
    <t>PAYMENT FOR SALARY FEBRUARY 16-28, 2026 (STPC)</t>
  </si>
  <si>
    <t>ACCRUED SALARIES- EXPENSES</t>
  </si>
  <si>
    <t>AARON GERONIMO N. REBOLLOS</t>
  </si>
  <si>
    <t>06/15/2026</t>
  </si>
  <si>
    <t>A1641</t>
  </si>
  <si>
    <t xml:space="preserve">PAYMENT FOR TARIF FOR ALL TRUCKMEN </t>
  </si>
  <si>
    <r>
      <rPr>
        <sz val="12"/>
        <color rgb="FF000000"/>
        <rFont val="Arial"/>
      </rPr>
      <t xml:space="preserve">                                    </t>
    </r>
    <r>
      <rPr>
        <b/>
        <sz val="12"/>
        <color rgb="FF000000"/>
        <rFont val="Arial"/>
      </rPr>
      <t xml:space="preserve">  ( JUNE 30-JULY 06, 2026)</t>
    </r>
  </si>
  <si>
    <t>CARLOS CATIPAY</t>
  </si>
  <si>
    <t>REY J. BACOLONG</t>
  </si>
  <si>
    <t>IRVIN JAKE CA-AY</t>
  </si>
  <si>
    <t>PAYMENT FOR TARIF FOR ALL OFFICE STAFF</t>
  </si>
  <si>
    <r>
      <rPr>
        <sz val="12"/>
        <color rgb="FF000000"/>
        <rFont val="Arial"/>
      </rPr>
      <t xml:space="preserve">                                    </t>
    </r>
    <r>
      <rPr>
        <b/>
        <sz val="12"/>
        <color rgb="FF000000"/>
        <rFont val="Arial"/>
      </rPr>
      <t xml:space="preserve">  ( JUNE 09-15, 2026)</t>
    </r>
  </si>
  <si>
    <t>07/16/2026</t>
  </si>
  <si>
    <t>A1729</t>
  </si>
  <si>
    <t>PAYMENT FOR TARIF IN ALL TANKER DRIVER REYNAN PAGASIAN</t>
  </si>
  <si>
    <t xml:space="preserve">                                      (JULY 07-JULY 13, 2026)</t>
  </si>
  <si>
    <t>A1728</t>
  </si>
  <si>
    <t>PAYMENT FOR TARIF IN ALL TANKER DRIVER (ANGELITO S. BELLENO; ELDWIN PAGASIAN, IVAN JAY CA-AY</t>
  </si>
  <si>
    <t>, DUANE ROY SUMINGUIT ,REYNELIE FLORES)</t>
  </si>
  <si>
    <r>
      <rPr>
        <sz val="12"/>
        <color rgb="FF000000"/>
        <rFont val="Arial"/>
      </rPr>
      <t xml:space="preserve">                                      </t>
    </r>
    <r>
      <rPr>
        <b/>
        <sz val="12"/>
        <color rgb="FF000000"/>
        <rFont val="Arial"/>
      </rPr>
      <t>(JULY 07-JULY 13)</t>
    </r>
  </si>
  <si>
    <t>04/10/2026</t>
  </si>
  <si>
    <t>A1437</t>
  </si>
  <si>
    <t>PAYMENT FOR SALARY DATED MARCH 16-31, 2026</t>
  </si>
  <si>
    <t xml:space="preserve"> (REYNANTE CAFE, JOHN RAID CEBEDO &amp; JOHN IGNACIO)</t>
  </si>
  <si>
    <t>DUE FROM STPC</t>
  </si>
  <si>
    <t>SEVEN TRENT PETROLEUM CORPORATION</t>
  </si>
  <si>
    <t>10/21/2025</t>
  </si>
  <si>
    <t>A0877</t>
  </si>
  <si>
    <t>A0831</t>
  </si>
  <si>
    <t xml:space="preserve">       PAYMENT FOR SHORT-TERM LOAN (IN 2025030)</t>
  </si>
  <si>
    <t>CHERRY MAE D. YORONG</t>
  </si>
  <si>
    <t>SHANDONG HIPECH INTERNATIONAL TRADE</t>
  </si>
  <si>
    <t>01/21/2025</t>
  </si>
  <si>
    <t>A0123</t>
  </si>
  <si>
    <t>Payment for Fuel Dispenser</t>
  </si>
  <si>
    <t>DMIE</t>
  </si>
  <si>
    <t>AP-CURRENT</t>
  </si>
  <si>
    <t>TO BE CONVERTED INTO PESO</t>
  </si>
  <si>
    <t>Request for Payment Voucher</t>
  </si>
  <si>
    <t>Threshold</t>
  </si>
  <si>
    <r>
      <rPr>
        <sz val="11"/>
        <color theme="1"/>
        <rFont val="Calibri"/>
        <family val="2"/>
        <scheme val="minor"/>
      </rPr>
      <t xml:space="preserve">a. We will utilize the Request for Payment (RFP) Voucher for payments  </t>
    </r>
    <r>
      <rPr>
        <b/>
        <sz val="11"/>
        <color rgb="FFFF0000"/>
        <rFont val="Calibri"/>
        <family val="2"/>
        <scheme val="minor"/>
      </rPr>
      <t>2,500 pesos and above</t>
    </r>
    <r>
      <rPr>
        <sz val="11"/>
        <color theme="1"/>
        <rFont val="Calibri"/>
        <family val="2"/>
        <scheme val="minor"/>
      </rPr>
      <t>, or as specifically requested by the Accounting Department, Department Heads, or Top Management. Expenses below 2,500 pesos will generally be processed through Petty Cash Voucher unless otherwise directed.</t>
    </r>
  </si>
  <si>
    <t>Authorization</t>
  </si>
  <si>
    <t>b. Acts as a formal document requesting approval to pay a specific amount to a vendor, employee, or service provider.</t>
  </si>
  <si>
    <t>Facilititates Accounting Entries</t>
  </si>
  <si>
    <r>
      <rPr>
        <sz val="11"/>
        <color theme="1"/>
        <rFont val="Calibri"/>
        <family val="2"/>
        <scheme val="minor"/>
      </rPr>
      <t xml:space="preserve">c. Provides the </t>
    </r>
    <r>
      <rPr>
        <b/>
        <sz val="11"/>
        <color rgb="FFFF0000"/>
        <rFont val="Calibri"/>
        <family val="2"/>
        <scheme val="minor"/>
      </rPr>
      <t>basis for recording expenses in the books</t>
    </r>
    <r>
      <rPr>
        <sz val="11"/>
        <color theme="1"/>
        <rFont val="Calibri"/>
        <family val="2"/>
        <scheme val="minor"/>
      </rPr>
      <t>, ensuring that the financial statements accurately reflect the company's expenditures.</t>
    </r>
  </si>
  <si>
    <t>Documentation and Record-Keeping</t>
  </si>
  <si>
    <t>d. Provides detailed records of the payment, including the purpose, amount, recipient, and any supporting documents like invoices or receipts</t>
  </si>
  <si>
    <t>Verification of Transactions</t>
  </si>
  <si>
    <t>e. Serves as a checkpoint to verify the legitimacy of the payment request by cross-referencing it with purchase orders, contracts, or prior approvals.</t>
  </si>
  <si>
    <t>Internal Control</t>
  </si>
  <si>
    <t>f. Prevents unauthorized or duplicate payments by requiring signatures and approvals from relevant authorities.</t>
  </si>
  <si>
    <t>06/28/2025</t>
  </si>
  <si>
    <t>A0502</t>
  </si>
  <si>
    <t>PAYMENT FOR OFFICE FURNITURE &amp; FIXTURES</t>
  </si>
  <si>
    <t>FURNITURE &amp; FIXTURES</t>
  </si>
  <si>
    <t>PAYABLES TO OFFICERS</t>
  </si>
  <si>
    <t>ELEAZAR M. RULONA</t>
  </si>
  <si>
    <t>08/31/2025</t>
  </si>
  <si>
    <t>A0721</t>
  </si>
  <si>
    <t xml:space="preserve">             PAYMENT FOR FUEL CONSUMPTION IN ALL TANKER TRUCKS</t>
  </si>
  <si>
    <r>
      <t xml:space="preserve">                                    </t>
    </r>
    <r>
      <rPr>
        <b/>
        <sz val="9"/>
        <rFont val="Arial"/>
        <family val="2"/>
      </rPr>
      <t xml:space="preserve">  (AUGUST 26 - 31, 2025)</t>
    </r>
  </si>
  <si>
    <t>COGS - GASOLINE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</si>
</sst>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3409]dd\-mmm\-yy;@"/>
    <numFmt numFmtId="165" formatCode="_(* #,##0.000_);_(* \(#,##0.000\);_(* &quot;-&quot;??_);_(@_)"/>
  </numFmts>
  <fonts count="1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2"/>
      <name val="Arial"/>
      <family val="2"/>
    </font>
    <font>
      <b/>
      <sz val="3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color rgb="FFC0000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24"/>
      <name val="Arial"/>
      <family val="2"/>
    </font>
    <font>
      <sz val="9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theme="1"/>
      <name val="Arial"/>
      <family val="2"/>
    </font>
    <font>
      <sz val="11"/>
      <color rgb="FF000000"/>
      <name val="Arial"/>
      <charset val="1"/>
    </font>
    <font>
      <sz val="9"/>
      <color rgb="FF000000"/>
      <name val="Arial"/>
    </font>
    <font>
      <b/>
      <sz val="9"/>
      <color rgb="FF000000"/>
      <name val="Arial"/>
    </font>
    <font>
      <sz val="12"/>
      <color rgb="FFFF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Times New Roman"/>
    </font>
    <font>
      <sz val="11"/>
      <color rgb="FF000000"/>
      <name val="Arial"/>
    </font>
    <font>
      <sz val="10"/>
      <color rgb="FF000000"/>
      <name val="Arial"/>
      <charset val="1"/>
    </font>
    <font>
      <sz val="12"/>
      <name val="Arial"/>
      <family val="2"/>
    </font>
    <font>
      <sz val="12"/>
      <color rgb="FF000000"/>
      <name val="Calibri"/>
    </font>
    <font>
      <sz val="10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6"/>
      <name val="Arial"/>
      <family val="2"/>
    </font>
    <font>
      <b/>
      <sz val="11"/>
      <color rgb="FF000000"/>
      <name val="Arial"/>
    </font>
    <font>
      <sz val="12"/>
      <color rgb="FF000000"/>
      <name val="Tahoma"/>
      <family val="2"/>
    </font>
    <font>
      <u/>
      <sz val="10"/>
      <color rgb="FF000000"/>
      <name val="Arial"/>
      <charset val="1"/>
    </font>
    <font>
      <b/>
      <sz val="11"/>
      <color rgb="FF000000"/>
      <name val="Calibri"/>
    </font>
    <font>
      <b/>
      <sz val="11"/>
      <name val="Tahoma"/>
      <family val="2"/>
    </font>
    <font>
      <b/>
      <sz val="11"/>
      <color rgb="FF000000"/>
      <name val="Arial"/>
      <family val="2"/>
    </font>
    <font>
      <sz val="10"/>
      <color rgb="FF000000"/>
      <name val="Tahoma"/>
      <charset val="1"/>
    </font>
    <font>
      <sz val="12"/>
      <name val="Calibri"/>
    </font>
    <font>
      <i/>
      <sz val="11"/>
      <color rgb="FFFF0000"/>
      <name val="Arial"/>
      <family val="2"/>
    </font>
    <font>
      <u/>
      <sz val="10"/>
      <name val="Arial"/>
      <family val="2"/>
    </font>
    <font>
      <i/>
      <sz val="9"/>
      <color rgb="FF000000"/>
      <name val="Arial"/>
    </font>
    <font>
      <b/>
      <sz val="12"/>
      <name val="Calibri"/>
      <family val="2"/>
    </font>
    <font>
      <sz val="12"/>
      <color rgb="FF000000"/>
      <name val="Calibri"/>
      <charset val="1"/>
    </font>
    <font>
      <sz val="12"/>
      <color rgb="FF000000"/>
      <name val="Arial"/>
      <charset val="1"/>
    </font>
    <font>
      <u/>
      <sz val="12"/>
      <color rgb="FFFF0000"/>
      <name val="Arial"/>
      <family val="2"/>
    </font>
    <font>
      <sz val="11"/>
      <color rgb="FF000000"/>
      <name val="Calibri"/>
      <scheme val="minor"/>
    </font>
    <font>
      <i/>
      <sz val="8"/>
      <color rgb="FFFF0000"/>
      <name val="Arial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scheme val="minor"/>
    </font>
    <font>
      <sz val="11"/>
      <color rgb="FFFF0000"/>
      <name val="Calibri"/>
      <charset val="1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0"/>
      <name val="Tahoma"/>
      <family val="2"/>
    </font>
    <font>
      <sz val="11"/>
      <name val="Calibri"/>
      <family val="2"/>
    </font>
    <font>
      <i/>
      <sz val="10"/>
      <color rgb="FFFF0000"/>
      <name val="Tahoma"/>
      <charset val="1"/>
    </font>
    <font>
      <i/>
      <sz val="12"/>
      <color rgb="FFFF0000"/>
      <name val="Arial"/>
    </font>
    <font>
      <sz val="9"/>
      <color rgb="FF000000"/>
      <name val="Arial"/>
      <charset val="1"/>
    </font>
    <font>
      <sz val="12"/>
      <color rgb="FF00000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color rgb="FF000000"/>
      <name val="Tahoma"/>
      <charset val="1"/>
    </font>
    <font>
      <sz val="10"/>
      <color rgb="FF000000"/>
      <name val="Times New Roman"/>
      <charset val="1"/>
    </font>
    <font>
      <sz val="22"/>
      <name val="Arial"/>
      <family val="2"/>
    </font>
    <font>
      <b/>
      <sz val="12"/>
      <color rgb="FF000000"/>
      <name val="Calibri"/>
    </font>
    <font>
      <i/>
      <sz val="10"/>
      <color rgb="FFFF0000"/>
      <name val="Arial"/>
    </font>
    <font>
      <sz val="9"/>
      <color rgb="FF000000"/>
      <name val="Calibri"/>
      <scheme val="minor"/>
    </font>
    <font>
      <sz val="9"/>
      <color rgb="FFFF0000"/>
      <name val="Arial"/>
    </font>
    <font>
      <sz val="10"/>
      <color rgb="FF000000"/>
      <name val="Calibri"/>
      <scheme val="minor"/>
    </font>
    <font>
      <b/>
      <sz val="12"/>
      <color rgb="FF000000"/>
      <name val="Arial"/>
      <charset val="1"/>
    </font>
    <font>
      <b/>
      <sz val="11"/>
      <color rgb="FF000000"/>
      <name val="Tahoma"/>
    </font>
    <font>
      <sz val="10"/>
      <color rgb="FFFF0000"/>
      <name val="Arial"/>
    </font>
    <font>
      <sz val="10"/>
      <color theme="1"/>
      <name val="Arial"/>
    </font>
    <font>
      <sz val="10"/>
      <color rgb="FF000000"/>
      <name val="Calibri"/>
      <charset val="1"/>
    </font>
    <font>
      <sz val="10"/>
      <color theme="1"/>
      <name val="Times New Roman"/>
      <charset val="1"/>
    </font>
    <font>
      <b/>
      <sz val="22"/>
      <color rgb="FFFA2FC1"/>
      <name val="Arial"/>
      <family val="2"/>
    </font>
    <font>
      <b/>
      <sz val="32"/>
      <color rgb="FFFA2FC1"/>
      <name val="Arial"/>
      <family val="2"/>
    </font>
    <font>
      <b/>
      <sz val="8"/>
      <color rgb="FFFA2FC1"/>
      <name val="Arial"/>
      <family val="2"/>
    </font>
    <font>
      <sz val="8"/>
      <color rgb="FFFA2FC1"/>
      <name val="Arial"/>
      <family val="2"/>
    </font>
    <font>
      <sz val="10"/>
      <color rgb="FFFA2FC1"/>
      <name val="Arial"/>
      <family val="2"/>
    </font>
    <font>
      <b/>
      <sz val="9"/>
      <color rgb="FFFA2FC1"/>
      <name val="Arial"/>
      <family val="2"/>
    </font>
    <font>
      <sz val="9"/>
      <color rgb="FFFA2FC1"/>
      <name val="Arial"/>
      <family val="2"/>
    </font>
    <font>
      <b/>
      <sz val="11"/>
      <color rgb="FFFA2FC1"/>
      <name val="Calibri"/>
      <charset val="1"/>
    </font>
    <font>
      <sz val="11"/>
      <color rgb="FFFA2FC1"/>
      <name val="Arial"/>
      <family val="2"/>
    </font>
    <font>
      <b/>
      <sz val="10"/>
      <color rgb="FFFA2FC1"/>
      <name val="Arial"/>
      <family val="2"/>
    </font>
    <font>
      <sz val="12"/>
      <color rgb="FFFA2FC1"/>
      <name val="Calibri"/>
      <charset val="1"/>
    </font>
    <font>
      <sz val="11"/>
      <color rgb="FFFA2FC1"/>
      <name val="Calibri"/>
      <family val="2"/>
    </font>
    <font>
      <sz val="9"/>
      <color rgb="FFFA2FC1"/>
      <name val="Arial"/>
    </font>
    <font>
      <sz val="10"/>
      <color rgb="FFFA2FC1"/>
      <name val="Arial"/>
    </font>
    <font>
      <i/>
      <sz val="10"/>
      <color rgb="FFFA2FC1"/>
      <name val="Arial"/>
    </font>
    <font>
      <u/>
      <sz val="10"/>
      <color rgb="FFFA2FC1"/>
      <name val="Arial"/>
      <family val="2"/>
    </font>
    <font>
      <b/>
      <sz val="11"/>
      <color rgb="FFFA2FC1"/>
      <name val="Arial"/>
      <family val="2"/>
    </font>
    <font>
      <b/>
      <sz val="11"/>
      <color rgb="FFFA2FC1"/>
      <name val="Tahoma"/>
    </font>
    <font>
      <b/>
      <sz val="11"/>
      <color rgb="FFFA2FC1"/>
      <name val="Calibri"/>
      <family val="2"/>
    </font>
    <font>
      <b/>
      <sz val="12"/>
      <color rgb="FFFA2FC1"/>
      <name val="Calibri"/>
      <charset val="1"/>
    </font>
    <font>
      <b/>
      <sz val="11"/>
      <color rgb="FFFF0000"/>
      <name val="Arial"/>
      <family val="2"/>
    </font>
    <font>
      <u/>
      <sz val="11"/>
      <color rgb="FF000000"/>
      <name val="Arial"/>
      <charset val="1"/>
    </font>
    <font>
      <sz val="9"/>
      <name val="Tahoma"/>
      <family val="2"/>
    </font>
    <font>
      <b/>
      <sz val="9"/>
      <color rgb="FF000000"/>
      <name val="Calibri"/>
    </font>
    <font>
      <i/>
      <sz val="8"/>
      <color rgb="FFFF0000"/>
      <name val="Tahoma"/>
      <family val="2"/>
    </font>
    <font>
      <u/>
      <sz val="9"/>
      <color rgb="FF000000"/>
      <name val="Arial"/>
      <charset val="1"/>
    </font>
    <font>
      <b/>
      <i/>
      <sz val="9"/>
      <color rgb="FFFF000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family val="2"/>
      <charset val="134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charset val="134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79989013336588644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9C7FF"/>
        <bgColor indexed="64"/>
      </patternFill>
    </fill>
  </fills>
  <borders count="1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auto="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auto="1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 style="medium">
        <color rgb="FF000000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000000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000000"/>
      </left>
      <right/>
      <top style="thin">
        <color theme="1" tint="0.499984740745262"/>
      </top>
      <bottom/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 style="medium">
        <color rgb="FF7030A0"/>
      </top>
      <bottom/>
      <diagonal/>
    </border>
    <border>
      <left/>
      <right/>
      <top/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auto="1"/>
      </left>
      <right/>
      <top style="medium">
        <color rgb="FF7030A0"/>
      </top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 style="medium">
        <color rgb="FF7030A0"/>
      </right>
      <top/>
      <bottom/>
      <diagonal/>
    </border>
    <border>
      <left/>
      <right style="thin">
        <color auto="1"/>
      </right>
      <top style="medium">
        <color rgb="FF7030A0"/>
      </top>
      <bottom/>
      <diagonal/>
    </border>
    <border>
      <left/>
      <right style="medium">
        <color rgb="FF7030A0"/>
      </right>
      <top/>
      <bottom style="thin">
        <color theme="1" tint="0.499984740745262"/>
      </bottom>
      <diagonal/>
    </border>
    <border>
      <left style="medium">
        <color rgb="FF7030A0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7030A0"/>
      </left>
      <right/>
      <top/>
      <bottom style="thin">
        <color theme="1" tint="0.499984740745262"/>
      </bottom>
      <diagonal/>
    </border>
    <border>
      <left style="medium">
        <color rgb="FF7030A0"/>
      </left>
      <right/>
      <top style="thin">
        <color theme="1" tint="0.499984740745262"/>
      </top>
      <bottom/>
      <diagonal/>
    </border>
    <border>
      <left style="medium">
        <color rgb="FF7030A0"/>
      </left>
      <right/>
      <top style="thin">
        <color auto="1"/>
      </top>
      <bottom/>
      <diagonal/>
    </border>
    <border>
      <left/>
      <right style="medium">
        <color rgb="FF7030A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</borders>
  <cellStyleXfs count="14">
    <xf numFmtId="0" fontId="0" fillId="0" borderId="0"/>
    <xf numFmtId="43" fontId="21" fillId="0" borderId="0" applyFont="0" applyFill="0" applyBorder="0" applyAlignment="0" applyProtection="0"/>
    <xf numFmtId="0" fontId="22" fillId="0" borderId="0" applyAlignment="0"/>
    <xf numFmtId="0" fontId="11" fillId="2" borderId="0">
      <alignment horizontal="center" vertical="top"/>
    </xf>
    <xf numFmtId="0" fontId="22" fillId="2" borderId="0"/>
    <xf numFmtId="0" fontId="4" fillId="2" borderId="0">
      <alignment horizontal="center"/>
    </xf>
    <xf numFmtId="0" fontId="4" fillId="2" borderId="16">
      <alignment horizontal="left" vertical="center"/>
    </xf>
    <xf numFmtId="0" fontId="11" fillId="2" borderId="0">
      <alignment horizontal="left" vertical="center"/>
    </xf>
    <xf numFmtId="0" fontId="4" fillId="2" borderId="0">
      <alignment horizontal="left" vertical="center"/>
    </xf>
    <xf numFmtId="0" fontId="11" fillId="2" borderId="0">
      <alignment horizontal="right" vertical="center"/>
    </xf>
    <xf numFmtId="0" fontId="11" fillId="2" borderId="0">
      <alignment horizontal="left" vertical="top"/>
    </xf>
    <xf numFmtId="0" fontId="11" fillId="2" borderId="0">
      <alignment horizontal="right" vertical="top"/>
    </xf>
    <xf numFmtId="4" fontId="11" fillId="2" borderId="0">
      <alignment horizontal="right" vertical="top"/>
    </xf>
    <xf numFmtId="0" fontId="4" fillId="2" borderId="0">
      <alignment horizontal="left" vertical="top"/>
    </xf>
  </cellStyleXfs>
  <cellXfs count="1117">
    <xf numFmtId="0" fontId="0" fillId="0" borderId="0" xfId="0"/>
    <xf numFmtId="0" fontId="2" fillId="2" borderId="1" xfId="3" applyFont="1" applyBorder="1" applyAlignment="1">
      <alignment vertical="center"/>
    </xf>
    <xf numFmtId="0" fontId="2" fillId="2" borderId="2" xfId="3" applyFont="1" applyBorder="1" applyAlignment="1">
      <alignment vertical="center"/>
    </xf>
    <xf numFmtId="0" fontId="2" fillId="2" borderId="3" xfId="3" applyFont="1" applyBorder="1" applyAlignment="1">
      <alignment vertical="center"/>
    </xf>
    <xf numFmtId="0" fontId="2" fillId="2" borderId="0" xfId="3" applyFont="1" applyAlignment="1">
      <alignment vertical="center"/>
    </xf>
    <xf numFmtId="0" fontId="2" fillId="2" borderId="4" xfId="3" applyFont="1" applyBorder="1" applyAlignment="1">
      <alignment vertical="center"/>
    </xf>
    <xf numFmtId="0" fontId="2" fillId="2" borderId="5" xfId="3" applyFont="1" applyBorder="1" applyAlignment="1">
      <alignment vertical="center"/>
    </xf>
    <xf numFmtId="0" fontId="4" fillId="2" borderId="0" xfId="5" applyAlignment="1">
      <alignment horizontal="left" vertical="center"/>
    </xf>
    <xf numFmtId="0" fontId="5" fillId="2" borderId="0" xfId="4" applyFont="1" applyAlignment="1">
      <alignment vertical="center"/>
    </xf>
    <xf numFmtId="0" fontId="6" fillId="3" borderId="1" xfId="6" applyFont="1" applyFill="1" applyBorder="1">
      <alignment horizontal="left" vertical="center"/>
    </xf>
    <xf numFmtId="0" fontId="6" fillId="3" borderId="2" xfId="6" applyFont="1" applyFill="1" applyBorder="1">
      <alignment horizontal="left" vertical="center"/>
    </xf>
    <xf numFmtId="0" fontId="7" fillId="3" borderId="2" xfId="7" applyFont="1" applyFill="1" applyBorder="1">
      <alignment horizontal="left" vertical="center"/>
    </xf>
    <xf numFmtId="0" fontId="7" fillId="3" borderId="2" xfId="4" applyFont="1" applyFill="1" applyBorder="1" applyAlignment="1">
      <alignment vertical="center"/>
    </xf>
    <xf numFmtId="0" fontId="6" fillId="2" borderId="6" xfId="6" applyFont="1" applyBorder="1" applyAlignment="1">
      <alignment vertical="center"/>
    </xf>
    <xf numFmtId="0" fontId="8" fillId="2" borderId="7" xfId="8" applyFont="1" applyBorder="1" applyAlignment="1">
      <alignment vertical="center"/>
    </xf>
    <xf numFmtId="0" fontId="6" fillId="2" borderId="7" xfId="8" applyFont="1" applyBorder="1" applyAlignment="1">
      <alignment vertical="center"/>
    </xf>
    <xf numFmtId="0" fontId="6" fillId="2" borderId="8" xfId="8" applyFont="1" applyBorder="1" applyAlignment="1">
      <alignment vertical="center"/>
    </xf>
    <xf numFmtId="0" fontId="6" fillId="2" borderId="0" xfId="8" applyFont="1">
      <alignment horizontal="left" vertical="center"/>
    </xf>
    <xf numFmtId="0" fontId="7" fillId="2" borderId="0" xfId="10" applyFont="1" applyAlignment="1">
      <alignment horizontal="left" vertical="center"/>
    </xf>
    <xf numFmtId="0" fontId="7" fillId="2" borderId="0" xfId="4" applyFont="1" applyAlignment="1">
      <alignment vertical="center"/>
    </xf>
    <xf numFmtId="0" fontId="6" fillId="4" borderId="9" xfId="6" applyFont="1" applyFill="1" applyBorder="1" applyAlignment="1">
      <alignment horizontal="center" vertical="center"/>
    </xf>
    <xf numFmtId="0" fontId="9" fillId="2" borderId="2" xfId="8" applyFont="1" applyBorder="1" applyAlignment="1">
      <alignment vertical="center"/>
    </xf>
    <xf numFmtId="0" fontId="7" fillId="2" borderId="9" xfId="4" applyFont="1" applyBorder="1" applyAlignment="1">
      <alignment vertical="center"/>
    </xf>
    <xf numFmtId="0" fontId="9" fillId="2" borderId="3" xfId="8" applyFont="1" applyBorder="1" applyAlignment="1">
      <alignment vertical="center"/>
    </xf>
    <xf numFmtId="0" fontId="9" fillId="2" borderId="0" xfId="8" applyFont="1" applyBorder="1" applyAlignment="1">
      <alignment vertical="center"/>
    </xf>
    <xf numFmtId="0" fontId="9" fillId="2" borderId="0" xfId="8" applyFont="1" applyAlignment="1">
      <alignment vertical="center"/>
    </xf>
    <xf numFmtId="0" fontId="7" fillId="2" borderId="10" xfId="4" applyFont="1" applyBorder="1" applyAlignment="1">
      <alignment horizontal="center" vertical="center"/>
    </xf>
    <xf numFmtId="0" fontId="5" fillId="2" borderId="0" xfId="8" applyFont="1" applyAlignment="1">
      <alignment vertical="center"/>
    </xf>
    <xf numFmtId="0" fontId="8" fillId="2" borderId="0" xfId="8" applyFont="1" applyAlignment="1">
      <alignment vertical="center"/>
    </xf>
    <xf numFmtId="3" fontId="5" fillId="2" borderId="0" xfId="8" applyNumberFormat="1" applyFont="1" applyAlignment="1">
      <alignment vertical="center"/>
    </xf>
    <xf numFmtId="0" fontId="5" fillId="2" borderId="0" xfId="8" applyFont="1">
      <alignment horizontal="left" vertical="center"/>
    </xf>
    <xf numFmtId="0" fontId="10" fillId="2" borderId="0" xfId="8" applyFont="1">
      <alignment horizontal="left" vertical="center"/>
    </xf>
    <xf numFmtId="0" fontId="9" fillId="2" borderId="0" xfId="8" applyFont="1">
      <alignment horizontal="left" vertical="center"/>
    </xf>
    <xf numFmtId="0" fontId="6" fillId="0" borderId="1" xfId="6" applyFont="1" applyFill="1" applyBorder="1" applyAlignment="1">
      <alignment vertical="center"/>
    </xf>
    <xf numFmtId="0" fontId="6" fillId="0" borderId="7" xfId="6" applyFont="1" applyFill="1" applyBorder="1">
      <alignment horizontal="left" vertical="center"/>
    </xf>
    <xf numFmtId="0" fontId="7" fillId="0" borderId="7" xfId="7" applyFont="1" applyFill="1" applyBorder="1">
      <alignment horizontal="left" vertical="center"/>
    </xf>
    <xf numFmtId="0" fontId="7" fillId="0" borderId="8" xfId="4" applyFont="1" applyFill="1" applyBorder="1" applyAlignment="1">
      <alignment vertical="center"/>
    </xf>
    <xf numFmtId="0" fontId="6" fillId="0" borderId="6" xfId="6" applyFont="1" applyFill="1" applyBorder="1" applyAlignment="1">
      <alignment vertical="center"/>
    </xf>
    <xf numFmtId="0" fontId="6" fillId="0" borderId="7" xfId="6" applyFont="1" applyFill="1" applyBorder="1" applyAlignment="1">
      <alignment vertical="center"/>
    </xf>
    <xf numFmtId="43" fontId="6" fillId="0" borderId="7" xfId="1" applyFont="1" applyFill="1" applyBorder="1" applyAlignment="1">
      <alignment vertical="center"/>
    </xf>
    <xf numFmtId="0" fontId="6" fillId="0" borderId="8" xfId="6" applyFont="1" applyFill="1" applyBorder="1" applyAlignment="1">
      <alignment vertical="center"/>
    </xf>
    <xf numFmtId="0" fontId="6" fillId="2" borderId="4" xfId="8" applyFont="1" applyBorder="1" applyAlignment="1">
      <alignment vertical="center"/>
    </xf>
    <xf numFmtId="43" fontId="6" fillId="2" borderId="7" xfId="1" applyFont="1" applyFill="1" applyBorder="1" applyAlignment="1">
      <alignment vertical="center"/>
    </xf>
    <xf numFmtId="0" fontId="6" fillId="3" borderId="7" xfId="8" applyFont="1" applyFill="1" applyBorder="1" applyAlignment="1">
      <alignment vertical="center"/>
    </xf>
    <xf numFmtId="43" fontId="6" fillId="3" borderId="6" xfId="1" applyFont="1" applyFill="1" applyBorder="1" applyAlignment="1">
      <alignment vertical="center"/>
    </xf>
    <xf numFmtId="43" fontId="6" fillId="3" borderId="8" xfId="1" applyFont="1" applyFill="1" applyBorder="1" applyAlignment="1">
      <alignment vertical="center"/>
    </xf>
    <xf numFmtId="0" fontId="7" fillId="2" borderId="3" xfId="4" applyFont="1" applyBorder="1" applyAlignment="1">
      <alignment vertical="center"/>
    </xf>
    <xf numFmtId="0" fontId="7" fillId="2" borderId="11" xfId="4" applyFont="1" applyBorder="1" applyAlignment="1">
      <alignment vertical="center"/>
    </xf>
    <xf numFmtId="43" fontId="11" fillId="2" borderId="1" xfId="1" applyFont="1" applyFill="1" applyBorder="1" applyAlignment="1">
      <alignment horizontal="left" vertical="center"/>
    </xf>
    <xf numFmtId="43" fontId="11" fillId="2" borderId="3" xfId="1" applyFont="1" applyFill="1" applyBorder="1" applyAlignment="1">
      <alignment horizontal="left" vertical="center"/>
    </xf>
    <xf numFmtId="43" fontId="11" fillId="2" borderId="4" xfId="1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6" fillId="3" borderId="2" xfId="8" applyFont="1" applyFill="1" applyBorder="1">
      <alignment horizontal="left" vertical="center"/>
    </xf>
    <xf numFmtId="0" fontId="7" fillId="3" borderId="13" xfId="9" applyFont="1" applyFill="1" applyBorder="1">
      <alignment horizontal="right" vertical="center"/>
    </xf>
    <xf numFmtId="164" fontId="9" fillId="2" borderId="7" xfId="9" applyNumberFormat="1" applyFont="1" applyBorder="1" applyAlignment="1">
      <alignment vertical="center"/>
    </xf>
    <xf numFmtId="164" fontId="9" fillId="2" borderId="8" xfId="9" applyNumberFormat="1" applyFont="1" applyBorder="1" applyAlignment="1">
      <alignment vertical="center"/>
    </xf>
    <xf numFmtId="164" fontId="13" fillId="2" borderId="7" xfId="9" applyNumberFormat="1" applyFont="1" applyBorder="1" applyAlignment="1">
      <alignment vertical="center"/>
    </xf>
    <xf numFmtId="0" fontId="7" fillId="2" borderId="0" xfId="9" applyFont="1">
      <alignment horizontal="right" vertical="center"/>
    </xf>
    <xf numFmtId="0" fontId="6" fillId="4" borderId="9" xfId="4" applyFont="1" applyFill="1" applyBorder="1" applyAlignment="1">
      <alignment horizontal="center" vertical="center"/>
    </xf>
    <xf numFmtId="0" fontId="6" fillId="4" borderId="9" xfId="4" applyFont="1" applyFill="1" applyBorder="1" applyAlignment="1">
      <alignment horizontal="center" vertical="center" wrapText="1"/>
    </xf>
    <xf numFmtId="0" fontId="6" fillId="2" borderId="9" xfId="8" applyFont="1" applyBorder="1">
      <alignment horizontal="left" vertical="center"/>
    </xf>
    <xf numFmtId="0" fontId="11" fillId="2" borderId="10" xfId="8" applyFont="1" applyBorder="1" applyAlignment="1">
      <alignment horizontal="center" vertical="center"/>
    </xf>
    <xf numFmtId="0" fontId="7" fillId="2" borderId="0" xfId="4" applyFont="1" applyAlignment="1">
      <alignment horizontal="right"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14" fillId="0" borderId="14" xfId="0" applyFont="1" applyBorder="1" applyAlignment="1">
      <alignment horizontal="left" vertical="center"/>
    </xf>
    <xf numFmtId="0" fontId="15" fillId="0" borderId="7" xfId="0" applyFont="1" applyBorder="1"/>
    <xf numFmtId="0" fontId="0" fillId="0" borderId="10" xfId="0" applyBorder="1"/>
    <xf numFmtId="0" fontId="15" fillId="0" borderId="14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5" fillId="0" borderId="14" xfId="0" applyFont="1" applyBorder="1" applyAlignment="1">
      <alignment vertical="center"/>
    </xf>
    <xf numFmtId="0" fontId="16" fillId="0" borderId="0" xfId="0" applyFont="1"/>
    <xf numFmtId="0" fontId="11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43" fontId="5" fillId="0" borderId="0" xfId="1" applyFont="1" applyFill="1" applyBorder="1" applyAlignment="1">
      <alignment vertical="center"/>
    </xf>
    <xf numFmtId="0" fontId="6" fillId="3" borderId="7" xfId="6" applyFont="1" applyFill="1" applyBorder="1">
      <alignment horizontal="left" vertical="center"/>
    </xf>
    <xf numFmtId="0" fontId="17" fillId="0" borderId="0" xfId="0" applyFont="1" applyAlignment="1">
      <alignment horizontal="left" vertical="center"/>
    </xf>
    <xf numFmtId="0" fontId="6" fillId="4" borderId="13" xfId="6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5" fillId="2" borderId="0" xfId="8" applyFont="1" applyBorder="1" applyAlignment="1">
      <alignment vertical="center"/>
    </xf>
    <xf numFmtId="0" fontId="9" fillId="2" borderId="11" xfId="8" applyFont="1" applyBorder="1" applyAlignment="1">
      <alignment vertical="center"/>
    </xf>
    <xf numFmtId="0" fontId="7" fillId="2" borderId="13" xfId="4" applyFont="1" applyBorder="1" applyAlignment="1">
      <alignment vertical="center"/>
    </xf>
    <xf numFmtId="0" fontId="17" fillId="0" borderId="3" xfId="0" applyFont="1" applyBorder="1"/>
    <xf numFmtId="0" fontId="17" fillId="0" borderId="4" xfId="0" applyFont="1" applyBorder="1" applyAlignment="1">
      <alignment vertical="center"/>
    </xf>
    <xf numFmtId="0" fontId="5" fillId="2" borderId="5" xfId="8" applyFont="1" applyBorder="1" applyAlignment="1">
      <alignment vertical="center"/>
    </xf>
    <xf numFmtId="0" fontId="9" fillId="2" borderId="12" xfId="8" applyFont="1" applyBorder="1" applyAlignment="1">
      <alignment vertical="center"/>
    </xf>
    <xf numFmtId="0" fontId="7" fillId="2" borderId="12" xfId="4" applyFont="1" applyBorder="1" applyAlignment="1">
      <alignment vertical="center"/>
    </xf>
    <xf numFmtId="43" fontId="6" fillId="2" borderId="8" xfId="1" applyFont="1" applyFill="1" applyBorder="1" applyAlignment="1">
      <alignment vertical="center"/>
    </xf>
    <xf numFmtId="0" fontId="6" fillId="2" borderId="0" xfId="13" applyFont="1" applyAlignment="1">
      <alignment horizontal="left" vertical="center"/>
    </xf>
    <xf numFmtId="0" fontId="7" fillId="0" borderId="0" xfId="2" applyFont="1" applyAlignment="1">
      <alignment vertical="center"/>
    </xf>
    <xf numFmtId="0" fontId="2" fillId="0" borderId="0" xfId="3" applyFont="1" applyFill="1" applyAlignment="1">
      <alignment vertical="center"/>
    </xf>
    <xf numFmtId="0" fontId="4" fillId="0" borderId="0" xfId="5" applyFill="1" applyAlignment="1">
      <alignment horizontal="left" vertical="center"/>
    </xf>
    <xf numFmtId="0" fontId="5" fillId="0" borderId="0" xfId="4" applyFont="1" applyFill="1" applyAlignment="1">
      <alignment vertical="center"/>
    </xf>
    <xf numFmtId="0" fontId="6" fillId="0" borderId="0" xfId="6" applyFont="1" applyFill="1" applyBorder="1">
      <alignment horizontal="left" vertical="center"/>
    </xf>
    <xf numFmtId="0" fontId="7" fillId="0" borderId="0" xfId="7" applyFont="1" applyFill="1">
      <alignment horizontal="left" vertical="center"/>
    </xf>
    <xf numFmtId="0" fontId="7" fillId="0" borderId="0" xfId="4" applyFont="1" applyFill="1" applyAlignment="1">
      <alignment vertical="center"/>
    </xf>
    <xf numFmtId="0" fontId="7" fillId="0" borderId="0" xfId="10" applyFont="1" applyFill="1" applyAlignment="1">
      <alignment horizontal="left" vertical="center"/>
    </xf>
    <xf numFmtId="0" fontId="6" fillId="0" borderId="0" xfId="4" applyFont="1" applyFill="1" applyAlignment="1">
      <alignment horizontal="center" vertical="center"/>
    </xf>
    <xf numFmtId="0" fontId="7" fillId="0" borderId="0" xfId="3" applyFont="1" applyFill="1" applyAlignment="1">
      <alignment horizontal="center" vertical="center"/>
    </xf>
    <xf numFmtId="0" fontId="7" fillId="0" borderId="0" xfId="11" applyFont="1" applyFill="1" applyAlignment="1">
      <alignment horizontal="right" vertical="center"/>
    </xf>
    <xf numFmtId="43" fontId="6" fillId="0" borderId="0" xfId="1" applyFont="1" applyFill="1" applyBorder="1" applyAlignment="1">
      <alignment vertical="center"/>
    </xf>
    <xf numFmtId="0" fontId="6" fillId="4" borderId="14" xfId="4" applyFont="1" applyFill="1" applyBorder="1" applyAlignment="1">
      <alignment vertical="center" wrapText="1"/>
    </xf>
    <xf numFmtId="0" fontId="6" fillId="2" borderId="9" xfId="8" applyFont="1" applyBorder="1" applyAlignment="1">
      <alignment vertical="center"/>
    </xf>
    <xf numFmtId="0" fontId="11" fillId="2" borderId="10" xfId="4" applyFont="1" applyBorder="1" applyAlignment="1">
      <alignment horizontal="center" vertical="center"/>
    </xf>
    <xf numFmtId="0" fontId="7" fillId="2" borderId="15" xfId="4" applyFont="1" applyBorder="1" applyAlignment="1">
      <alignment vertical="center"/>
    </xf>
    <xf numFmtId="0" fontId="7" fillId="2" borderId="5" xfId="4" applyFont="1" applyBorder="1" applyAlignment="1">
      <alignment horizontal="right" vertical="center"/>
    </xf>
    <xf numFmtId="0" fontId="7" fillId="2" borderId="12" xfId="4" applyFont="1" applyBorder="1" applyAlignment="1">
      <alignment horizontal="right" vertical="center"/>
    </xf>
    <xf numFmtId="43" fontId="10" fillId="2" borderId="0" xfId="1" applyFont="1" applyFill="1" applyBorder="1" applyAlignment="1">
      <alignment vertical="center"/>
    </xf>
    <xf numFmtId="43" fontId="9" fillId="0" borderId="0" xfId="1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0" fontId="11" fillId="0" borderId="0" xfId="3" applyFill="1" applyAlignment="1">
      <alignment vertical="center"/>
    </xf>
    <xf numFmtId="49" fontId="11" fillId="0" borderId="0" xfId="3" applyNumberFormat="1" applyFill="1" applyAlignment="1">
      <alignment vertical="center"/>
    </xf>
    <xf numFmtId="0" fontId="7" fillId="0" borderId="0" xfId="9" applyFont="1" applyFill="1">
      <alignment horizontal="right" vertical="center"/>
    </xf>
    <xf numFmtId="0" fontId="6" fillId="0" borderId="0" xfId="8" applyFont="1" applyFill="1" applyAlignment="1">
      <alignment horizontal="center" vertical="center"/>
    </xf>
    <xf numFmtId="0" fontId="7" fillId="0" borderId="0" xfId="4" applyFont="1" applyFill="1" applyAlignment="1">
      <alignment horizontal="right" vertical="center"/>
    </xf>
    <xf numFmtId="43" fontId="7" fillId="0" borderId="0" xfId="1" applyFont="1" applyFill="1" applyBorder="1" applyAlignment="1">
      <alignment horizontal="center" vertical="center"/>
    </xf>
    <xf numFmtId="4" fontId="7" fillId="0" borderId="0" xfId="12" applyFont="1" applyFill="1" applyAlignment="1">
      <alignment horizontal="right" vertical="center"/>
    </xf>
    <xf numFmtId="0" fontId="5" fillId="0" borderId="0" xfId="2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43" fontId="7" fillId="0" borderId="0" xfId="10" applyNumberFormat="1" applyFont="1" applyFill="1" applyAlignment="1">
      <alignment horizontal="left" vertical="center"/>
    </xf>
    <xf numFmtId="43" fontId="5" fillId="0" borderId="0" xfId="2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43" fontId="8" fillId="0" borderId="0" xfId="1" applyFont="1" applyFill="1" applyBorder="1" applyAlignment="1">
      <alignment vertical="center"/>
    </xf>
    <xf numFmtId="164" fontId="9" fillId="2" borderId="7" xfId="9" quotePrefix="1" applyNumberFormat="1" applyFont="1" applyBorder="1" applyAlignment="1">
      <alignment vertical="center"/>
    </xf>
    <xf numFmtId="164" fontId="23" fillId="2" borderId="7" xfId="9" applyNumberFormat="1" applyFont="1" applyBorder="1" applyAlignment="1">
      <alignment vertical="center"/>
    </xf>
    <xf numFmtId="0" fontId="2" fillId="2" borderId="0" xfId="3" applyFont="1" applyBorder="1" applyAlignment="1">
      <alignment vertical="center"/>
    </xf>
    <xf numFmtId="164" fontId="9" fillId="2" borderId="0" xfId="9" applyNumberFormat="1" applyFont="1" applyBorder="1" applyAlignment="1">
      <alignment vertical="center"/>
    </xf>
    <xf numFmtId="0" fontId="2" fillId="0" borderId="0" xfId="3" applyFont="1" applyFill="1" applyBorder="1" applyAlignment="1">
      <alignment vertical="center"/>
    </xf>
    <xf numFmtId="0" fontId="7" fillId="2" borderId="0" xfId="10" applyFont="1" applyBorder="1" applyAlignment="1">
      <alignment horizontal="left" vertical="center"/>
    </xf>
    <xf numFmtId="0" fontId="7" fillId="0" borderId="0" xfId="4" applyFont="1" applyFill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164" fontId="9" fillId="2" borderId="11" xfId="9" applyNumberFormat="1" applyFont="1" applyBorder="1" applyAlignment="1">
      <alignment vertical="center"/>
    </xf>
    <xf numFmtId="0" fontId="5" fillId="2" borderId="7" xfId="4" applyFont="1" applyBorder="1" applyAlignment="1">
      <alignment vertical="center"/>
    </xf>
    <xf numFmtId="0" fontId="6" fillId="3" borderId="7" xfId="8" applyFont="1" applyFill="1" applyBorder="1">
      <alignment horizontal="left" vertical="center"/>
    </xf>
    <xf numFmtId="0" fontId="7" fillId="3" borderId="8" xfId="9" applyFont="1" applyFill="1" applyBorder="1">
      <alignment horizontal="right" vertical="center"/>
    </xf>
    <xf numFmtId="164" fontId="9" fillId="2" borderId="25" xfId="9" applyNumberFormat="1" applyFont="1" applyBorder="1" applyAlignment="1">
      <alignment vertical="center"/>
    </xf>
    <xf numFmtId="164" fontId="13" fillId="2" borderId="5" xfId="9" applyNumberFormat="1" applyFont="1" applyBorder="1" applyAlignment="1">
      <alignment vertical="center"/>
    </xf>
    <xf numFmtId="164" fontId="9" fillId="2" borderId="5" xfId="9" applyNumberFormat="1" applyFont="1" applyBorder="1" applyAlignment="1">
      <alignment vertical="center"/>
    </xf>
    <xf numFmtId="164" fontId="9" fillId="2" borderId="12" xfId="9" applyNumberFormat="1" applyFont="1" applyBorder="1" applyAlignment="1">
      <alignment vertical="center"/>
    </xf>
    <xf numFmtId="0" fontId="6" fillId="2" borderId="3" xfId="8" applyFont="1" applyBorder="1">
      <alignment horizontal="left" vertical="center"/>
    </xf>
    <xf numFmtId="0" fontId="7" fillId="2" borderId="0" xfId="4" applyFont="1" applyBorder="1" applyAlignment="1">
      <alignment vertical="center"/>
    </xf>
    <xf numFmtId="0" fontId="7" fillId="2" borderId="11" xfId="9" applyFont="1" applyBorder="1">
      <alignment horizontal="right" vertical="center"/>
    </xf>
    <xf numFmtId="0" fontId="5" fillId="0" borderId="3" xfId="2" applyFont="1" applyBorder="1" applyAlignment="1">
      <alignment vertical="center"/>
    </xf>
    <xf numFmtId="0" fontId="4" fillId="2" borderId="6" xfId="5" applyFont="1" applyBorder="1" applyAlignment="1">
      <alignment horizontal="left" vertical="center"/>
    </xf>
    <xf numFmtId="0" fontId="4" fillId="2" borderId="7" xfId="5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3" borderId="3" xfId="6" applyFont="1" applyFill="1" applyBorder="1">
      <alignment horizontal="left" vertical="center"/>
    </xf>
    <xf numFmtId="0" fontId="6" fillId="3" borderId="0" xfId="6" applyFont="1" applyFill="1" applyBorder="1">
      <alignment horizontal="left" vertical="center"/>
    </xf>
    <xf numFmtId="0" fontId="7" fillId="3" borderId="0" xfId="7" applyFont="1" applyFill="1" applyBorder="1">
      <alignment horizontal="left" vertical="center"/>
    </xf>
    <xf numFmtId="0" fontId="7" fillId="3" borderId="0" xfId="4" applyFont="1" applyFill="1" applyBorder="1" applyAlignment="1">
      <alignment vertical="center"/>
    </xf>
    <xf numFmtId="0" fontId="7" fillId="3" borderId="7" xfId="4" applyFont="1" applyFill="1" applyBorder="1" applyAlignment="1">
      <alignment vertical="center"/>
    </xf>
    <xf numFmtId="164" fontId="9" fillId="2" borderId="0" xfId="9" quotePrefix="1" applyNumberFormat="1" applyFont="1" applyBorder="1" applyAlignment="1">
      <alignment vertical="center"/>
    </xf>
    <xf numFmtId="0" fontId="6" fillId="3" borderId="6" xfId="6" applyFont="1" applyFill="1" applyBorder="1">
      <alignment horizontal="left" vertical="center"/>
    </xf>
    <xf numFmtId="0" fontId="7" fillId="3" borderId="7" xfId="7" applyFont="1" applyFill="1" applyBorder="1">
      <alignment horizontal="left" vertical="center"/>
    </xf>
    <xf numFmtId="0" fontId="6" fillId="4" borderId="0" xfId="4" applyFont="1" applyFill="1" applyBorder="1" applyAlignment="1">
      <alignment horizontal="center" vertical="center"/>
    </xf>
    <xf numFmtId="0" fontId="9" fillId="2" borderId="1" xfId="8" applyFont="1" applyBorder="1" applyAlignment="1">
      <alignment vertical="center"/>
    </xf>
    <xf numFmtId="0" fontId="7" fillId="2" borderId="2" xfId="4" applyFont="1" applyBorder="1" applyAlignment="1">
      <alignment vertical="center"/>
    </xf>
    <xf numFmtId="0" fontId="7" fillId="2" borderId="3" xfId="8" applyFont="1" applyBorder="1" applyAlignment="1">
      <alignment vertical="center"/>
    </xf>
    <xf numFmtId="0" fontId="7" fillId="2" borderId="0" xfId="8" applyFont="1" applyBorder="1" applyAlignment="1">
      <alignment vertical="center"/>
    </xf>
    <xf numFmtId="0" fontId="8" fillId="2" borderId="0" xfId="8" applyFont="1" applyBorder="1" applyAlignment="1">
      <alignment vertical="center"/>
    </xf>
    <xf numFmtId="3" fontId="5" fillId="2" borderId="0" xfId="8" applyNumberFormat="1" applyFont="1" applyBorder="1" applyAlignment="1">
      <alignment vertical="center"/>
    </xf>
    <xf numFmtId="0" fontId="8" fillId="2" borderId="4" xfId="8" applyFont="1" applyBorder="1" applyAlignment="1">
      <alignment vertical="center"/>
    </xf>
    <xf numFmtId="0" fontId="10" fillId="2" borderId="5" xfId="8" applyFont="1" applyBorder="1">
      <alignment horizontal="left" vertical="center"/>
    </xf>
    <xf numFmtId="0" fontId="9" fillId="2" borderId="5" xfId="8" applyFont="1" applyBorder="1">
      <alignment horizontal="left" vertical="center"/>
    </xf>
    <xf numFmtId="0" fontId="7" fillId="2" borderId="15" xfId="4" applyFont="1" applyBorder="1" applyAlignment="1">
      <alignment horizontal="center" vertical="center"/>
    </xf>
    <xf numFmtId="0" fontId="11" fillId="2" borderId="15" xfId="8" applyFont="1" applyBorder="1" applyAlignment="1">
      <alignment horizontal="center" vertical="center"/>
    </xf>
    <xf numFmtId="0" fontId="6" fillId="0" borderId="3" xfId="6" applyFont="1" applyFill="1" applyBorder="1" applyAlignment="1">
      <alignment vertical="center"/>
    </xf>
    <xf numFmtId="0" fontId="7" fillId="0" borderId="0" xfId="7" applyFont="1" applyFill="1" applyBorder="1">
      <alignment horizontal="left" vertical="center"/>
    </xf>
    <xf numFmtId="43" fontId="6" fillId="0" borderId="17" xfId="1" applyFont="1" applyFill="1" applyBorder="1" applyAlignment="1">
      <alignment horizontal="left" vertical="center"/>
    </xf>
    <xf numFmtId="43" fontId="10" fillId="0" borderId="0" xfId="1" applyFont="1" applyFill="1" applyBorder="1" applyAlignment="1">
      <alignment horizontal="right" vertical="center"/>
    </xf>
    <xf numFmtId="43" fontId="10" fillId="0" borderId="11" xfId="1" applyFont="1" applyFill="1" applyBorder="1" applyAlignment="1">
      <alignment horizontal="right" vertical="center"/>
    </xf>
    <xf numFmtId="0" fontId="6" fillId="0" borderId="17" xfId="6" applyFont="1" applyFill="1" applyBorder="1">
      <alignment horizontal="left" vertical="center"/>
    </xf>
    <xf numFmtId="0" fontId="7" fillId="0" borderId="17" xfId="7" applyFont="1" applyFill="1" applyBorder="1">
      <alignment horizontal="left" vertical="center"/>
    </xf>
    <xf numFmtId="0" fontId="7" fillId="0" borderId="20" xfId="4" applyFont="1" applyFill="1" applyBorder="1" applyAlignment="1">
      <alignment vertical="center"/>
    </xf>
    <xf numFmtId="43" fontId="6" fillId="0" borderId="21" xfId="1" applyFont="1" applyFill="1" applyBorder="1" applyAlignment="1">
      <alignment horizontal="left" vertical="center"/>
    </xf>
    <xf numFmtId="43" fontId="6" fillId="0" borderId="22" xfId="1" applyFont="1" applyFill="1" applyBorder="1" applyAlignment="1">
      <alignment horizontal="left" vertical="center"/>
    </xf>
    <xf numFmtId="43" fontId="10" fillId="0" borderId="22" xfId="1" applyFont="1" applyFill="1" applyBorder="1" applyAlignment="1">
      <alignment horizontal="right" vertical="center"/>
    </xf>
    <xf numFmtId="43" fontId="10" fillId="0" borderId="24" xfId="1" applyFont="1" applyFill="1" applyBorder="1" applyAlignment="1">
      <alignment horizontal="right" vertical="center"/>
    </xf>
    <xf numFmtId="0" fontId="6" fillId="0" borderId="23" xfId="6" applyFont="1" applyFill="1" applyBorder="1" applyAlignment="1">
      <alignment vertical="center"/>
    </xf>
    <xf numFmtId="0" fontId="6" fillId="2" borderId="22" xfId="8" applyFont="1" applyBorder="1" applyAlignment="1">
      <alignment vertical="center"/>
    </xf>
    <xf numFmtId="0" fontId="6" fillId="0" borderId="0" xfId="6" applyFont="1" applyFill="1" applyBorder="1" applyAlignment="1">
      <alignment vertical="center"/>
    </xf>
    <xf numFmtId="0" fontId="6" fillId="0" borderId="20" xfId="6" applyFont="1" applyFill="1" applyBorder="1" applyAlignment="1">
      <alignment vertical="center"/>
    </xf>
    <xf numFmtId="0" fontId="6" fillId="2" borderId="18" xfId="8" applyFont="1" applyBorder="1" applyAlignment="1">
      <alignment vertical="center"/>
    </xf>
    <xf numFmtId="0" fontId="6" fillId="2" borderId="19" xfId="8" applyFont="1" applyBorder="1" applyAlignment="1">
      <alignment vertical="center"/>
    </xf>
    <xf numFmtId="43" fontId="6" fillId="2" borderId="19" xfId="1" applyFont="1" applyFill="1" applyBorder="1" applyAlignment="1">
      <alignment vertical="center"/>
    </xf>
    <xf numFmtId="0" fontId="6" fillId="2" borderId="26" xfId="8" applyFont="1" applyBorder="1" applyAlignment="1">
      <alignment vertical="center"/>
    </xf>
    <xf numFmtId="0" fontId="6" fillId="3" borderId="8" xfId="8" applyFont="1" applyFill="1" applyBorder="1" applyAlignment="1">
      <alignment vertical="center"/>
    </xf>
    <xf numFmtId="0" fontId="8" fillId="0" borderId="7" xfId="6" applyFont="1" applyFill="1" applyBorder="1">
      <alignment horizontal="left" vertical="center"/>
    </xf>
    <xf numFmtId="0" fontId="6" fillId="2" borderId="0" xfId="8" applyFont="1" applyBorder="1">
      <alignment horizontal="left" vertical="center"/>
    </xf>
    <xf numFmtId="0" fontId="6" fillId="0" borderId="0" xfId="8" applyFont="1" applyFill="1">
      <alignment horizontal="left" vertical="center"/>
    </xf>
    <xf numFmtId="0" fontId="6" fillId="2" borderId="6" xfId="8" applyFont="1" applyBorder="1">
      <alignment horizontal="left" vertical="center"/>
    </xf>
    <xf numFmtId="0" fontId="27" fillId="0" borderId="30" xfId="2" applyFont="1" applyBorder="1" applyAlignment="1">
      <alignment vertical="center"/>
    </xf>
    <xf numFmtId="0" fontId="6" fillId="3" borderId="31" xfId="6" applyFont="1" applyFill="1" applyBorder="1">
      <alignment horizontal="left" vertical="center"/>
    </xf>
    <xf numFmtId="0" fontId="8" fillId="2" borderId="7" xfId="8" applyFont="1" applyBorder="1" applyAlignment="1">
      <alignment vertical="center" wrapText="1"/>
    </xf>
    <xf numFmtId="0" fontId="28" fillId="2" borderId="7" xfId="8" applyFont="1" applyBorder="1" applyAlignment="1">
      <alignment vertical="center"/>
    </xf>
    <xf numFmtId="43" fontId="5" fillId="2" borderId="0" xfId="1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2" borderId="10" xfId="4" applyFont="1" applyBorder="1" applyAlignment="1">
      <alignment horizontal="center" vertical="center"/>
    </xf>
    <xf numFmtId="0" fontId="9" fillId="2" borderId="10" xfId="8" applyFont="1" applyBorder="1" applyAlignment="1">
      <alignment horizontal="center" vertical="center"/>
    </xf>
    <xf numFmtId="0" fontId="9" fillId="2" borderId="0" xfId="8" applyFont="1" applyBorder="1" applyAlignment="1">
      <alignment horizontal="center" vertical="center"/>
    </xf>
    <xf numFmtId="0" fontId="5" fillId="2" borderId="0" xfId="8" applyFont="1" applyBorder="1" applyAlignment="1">
      <alignment horizontal="center" vertical="center"/>
    </xf>
    <xf numFmtId="0" fontId="5" fillId="2" borderId="10" xfId="4" applyFont="1" applyBorder="1" applyAlignment="1">
      <alignment horizontal="center" vertical="center"/>
    </xf>
    <xf numFmtId="0" fontId="5" fillId="2" borderId="10" xfId="8" applyFont="1" applyBorder="1" applyAlignment="1">
      <alignment horizontal="center" vertical="center"/>
    </xf>
    <xf numFmtId="0" fontId="6" fillId="0" borderId="33" xfId="6" applyFont="1" applyFill="1" applyBorder="1" applyAlignment="1">
      <alignment vertical="center"/>
    </xf>
    <xf numFmtId="0" fontId="6" fillId="0" borderId="16" xfId="6" applyFont="1" applyFill="1" applyBorder="1">
      <alignment horizontal="left" vertical="center"/>
    </xf>
    <xf numFmtId="0" fontId="7" fillId="0" borderId="16" xfId="7" applyFont="1" applyFill="1" applyBorder="1">
      <alignment horizontal="left" vertical="center"/>
    </xf>
    <xf numFmtId="0" fontId="7" fillId="0" borderId="16" xfId="4" applyFont="1" applyFill="1" applyBorder="1" applyAlignment="1">
      <alignment vertical="center"/>
    </xf>
    <xf numFmtId="0" fontId="5" fillId="2" borderId="32" xfId="8" applyFont="1" applyBorder="1" applyAlignment="1">
      <alignment vertical="center"/>
    </xf>
    <xf numFmtId="0" fontId="5" fillId="2" borderId="32" xfId="4" applyFont="1" applyBorder="1" applyAlignment="1">
      <alignment horizontal="center" vertical="center"/>
    </xf>
    <xf numFmtId="0" fontId="6" fillId="0" borderId="16" xfId="6" applyFont="1" applyFill="1" applyBorder="1" applyAlignment="1">
      <alignment horizontal="left" vertical="center"/>
    </xf>
    <xf numFmtId="0" fontId="6" fillId="0" borderId="0" xfId="6" applyFont="1" applyFill="1" applyBorder="1" applyAlignment="1">
      <alignment horizontal="left" vertical="center"/>
    </xf>
    <xf numFmtId="3" fontId="5" fillId="2" borderId="0" xfId="8" applyNumberFormat="1" applyFont="1" applyBorder="1" applyAlignment="1">
      <alignment horizontal="center" vertical="center"/>
    </xf>
    <xf numFmtId="0" fontId="30" fillId="2" borderId="37" xfId="8" applyFont="1" applyBorder="1" applyAlignment="1">
      <alignment horizontal="left" vertical="center"/>
    </xf>
    <xf numFmtId="0" fontId="24" fillId="0" borderId="37" xfId="0" quotePrefix="1" applyFont="1" applyBorder="1" applyAlignment="1"/>
    <xf numFmtId="0" fontId="25" fillId="2" borderId="37" xfId="8" applyFont="1" applyBorder="1" applyAlignment="1">
      <alignment vertical="center"/>
    </xf>
    <xf numFmtId="43" fontId="5" fillId="2" borderId="32" xfId="1" applyFont="1" applyFill="1" applyBorder="1" applyAlignment="1">
      <alignment horizontal="center" vertical="center"/>
    </xf>
    <xf numFmtId="0" fontId="28" fillId="0" borderId="7" xfId="8" applyFont="1" applyFill="1" applyBorder="1" applyAlignment="1">
      <alignment vertical="center"/>
    </xf>
    <xf numFmtId="0" fontId="6" fillId="0" borderId="7" xfId="8" applyFont="1" applyFill="1" applyBorder="1" applyAlignment="1">
      <alignment vertical="center"/>
    </xf>
    <xf numFmtId="0" fontId="31" fillId="0" borderId="0" xfId="0" applyFont="1" applyAlignment="1"/>
    <xf numFmtId="0" fontId="9" fillId="2" borderId="0" xfId="8" applyFont="1" applyBorder="1" applyAlignment="1">
      <alignment vertical="center" wrapText="1"/>
    </xf>
    <xf numFmtId="0" fontId="31" fillId="0" borderId="37" xfId="0" applyFont="1" applyBorder="1" applyAlignment="1"/>
    <xf numFmtId="0" fontId="34" fillId="2" borderId="37" xfId="8" applyFont="1" applyBorder="1" applyAlignment="1">
      <alignment vertical="center"/>
    </xf>
    <xf numFmtId="0" fontId="5" fillId="2" borderId="37" xfId="4" applyFont="1" applyBorder="1" applyAlignment="1">
      <alignment horizontal="center" vertical="center"/>
    </xf>
    <xf numFmtId="0" fontId="5" fillId="2" borderId="38" xfId="8" applyFont="1" applyBorder="1" applyAlignment="1">
      <alignment horizontal="center" vertical="center"/>
    </xf>
    <xf numFmtId="0" fontId="30" fillId="2" borderId="37" xfId="8" applyFont="1" applyBorder="1" applyAlignment="1">
      <alignment vertical="center"/>
    </xf>
    <xf numFmtId="0" fontId="10" fillId="2" borderId="0" xfId="8" applyFont="1" applyBorder="1" applyAlignment="1">
      <alignment vertical="center"/>
    </xf>
    <xf numFmtId="43" fontId="9" fillId="2" borderId="32" xfId="1" applyFont="1" applyFill="1" applyBorder="1" applyAlignment="1">
      <alignment horizontal="center" vertical="center"/>
    </xf>
    <xf numFmtId="0" fontId="33" fillId="0" borderId="16" xfId="0" applyFont="1" applyFill="1" applyBorder="1" applyAlignment="1">
      <alignment wrapText="1"/>
    </xf>
    <xf numFmtId="0" fontId="9" fillId="2" borderId="16" xfId="8" applyFont="1" applyBorder="1" applyAlignment="1">
      <alignment vertical="center"/>
    </xf>
    <xf numFmtId="0" fontId="6" fillId="2" borderId="16" xfId="8" applyFont="1" applyBorder="1" applyAlignment="1">
      <alignment vertical="center"/>
    </xf>
    <xf numFmtId="0" fontId="7" fillId="2" borderId="39" xfId="4" applyFont="1" applyBorder="1" applyAlignment="1">
      <alignment vertical="center"/>
    </xf>
    <xf numFmtId="0" fontId="9" fillId="2" borderId="40" xfId="4" applyFont="1" applyBorder="1" applyAlignment="1">
      <alignment horizontal="center" vertical="center"/>
    </xf>
    <xf numFmtId="0" fontId="32" fillId="2" borderId="0" xfId="8" applyFont="1" applyBorder="1" applyAlignment="1">
      <alignment vertical="center"/>
    </xf>
    <xf numFmtId="0" fontId="35" fillId="2" borderId="3" xfId="8" applyFont="1" applyBorder="1" applyAlignment="1">
      <alignment horizontal="left" vertical="center"/>
    </xf>
    <xf numFmtId="0" fontId="37" fillId="2" borderId="0" xfId="8" applyFont="1" applyBorder="1" applyAlignment="1">
      <alignment vertical="center"/>
    </xf>
    <xf numFmtId="0" fontId="37" fillId="2" borderId="0" xfId="8" applyFont="1" applyBorder="1" applyAlignment="1">
      <alignment horizontal="center" vertical="center"/>
    </xf>
    <xf numFmtId="0" fontId="9" fillId="2" borderId="41" xfId="8" applyFont="1" applyBorder="1" applyAlignment="1">
      <alignment vertical="center"/>
    </xf>
    <xf numFmtId="0" fontId="9" fillId="2" borderId="37" xfId="8" applyFont="1" applyBorder="1" applyAlignment="1">
      <alignment vertical="center"/>
    </xf>
    <xf numFmtId="0" fontId="34" fillId="2" borderId="37" xfId="8" applyFont="1" applyBorder="1" applyAlignment="1">
      <alignment horizontal="left" vertical="center"/>
    </xf>
    <xf numFmtId="0" fontId="30" fillId="0" borderId="37" xfId="0" quotePrefix="1" applyFont="1" applyBorder="1" applyAlignment="1"/>
    <xf numFmtId="43" fontId="5" fillId="0" borderId="0" xfId="2" applyNumberFormat="1" applyFont="1" applyBorder="1" applyAlignment="1">
      <alignment vertical="center"/>
    </xf>
    <xf numFmtId="43" fontId="4" fillId="2" borderId="7" xfId="5" applyNumberFormat="1" applyFont="1" applyBorder="1" applyAlignment="1">
      <alignment horizontal="left" vertical="center"/>
    </xf>
    <xf numFmtId="43" fontId="6" fillId="3" borderId="0" xfId="6" applyNumberFormat="1" applyFont="1" applyFill="1" applyBorder="1">
      <alignment horizontal="left" vertical="center"/>
    </xf>
    <xf numFmtId="43" fontId="6" fillId="2" borderId="7" xfId="8" applyNumberFormat="1" applyFont="1" applyBorder="1" applyAlignment="1">
      <alignment vertical="center"/>
    </xf>
    <xf numFmtId="43" fontId="6" fillId="2" borderId="0" xfId="8" applyNumberFormat="1" applyFont="1" applyBorder="1">
      <alignment horizontal="left" vertical="center"/>
    </xf>
    <xf numFmtId="43" fontId="6" fillId="3" borderId="31" xfId="6" applyNumberFormat="1" applyFont="1" applyFill="1" applyBorder="1">
      <alignment horizontal="left" vertical="center"/>
    </xf>
    <xf numFmtId="43" fontId="9" fillId="2" borderId="16" xfId="8" applyNumberFormat="1" applyFont="1" applyBorder="1" applyAlignment="1">
      <alignment vertical="center"/>
    </xf>
    <xf numFmtId="43" fontId="9" fillId="2" borderId="0" xfId="8" applyNumberFormat="1" applyFont="1" applyBorder="1" applyAlignment="1">
      <alignment horizontal="center" vertical="center"/>
    </xf>
    <xf numFmtId="43" fontId="8" fillId="0" borderId="7" xfId="6" applyNumberFormat="1" applyFont="1" applyFill="1" applyBorder="1">
      <alignment horizontal="left" vertical="center"/>
    </xf>
    <xf numFmtId="43" fontId="6" fillId="0" borderId="17" xfId="6" applyNumberFormat="1" applyFont="1" applyFill="1" applyBorder="1">
      <alignment horizontal="left" vertical="center"/>
    </xf>
    <xf numFmtId="43" fontId="6" fillId="0" borderId="0" xfId="6" applyNumberFormat="1" applyFont="1" applyFill="1" applyBorder="1" applyAlignment="1">
      <alignment vertical="center"/>
    </xf>
    <xf numFmtId="43" fontId="6" fillId="2" borderId="19" xfId="8" applyNumberFormat="1" applyFont="1" applyBorder="1" applyAlignment="1">
      <alignment vertical="center"/>
    </xf>
    <xf numFmtId="43" fontId="6" fillId="3" borderId="8" xfId="1" applyNumberFormat="1" applyFont="1" applyFill="1" applyBorder="1" applyAlignment="1">
      <alignment horizontal="left" vertical="center"/>
    </xf>
    <xf numFmtId="43" fontId="7" fillId="2" borderId="11" xfId="4" applyNumberFormat="1" applyFont="1" applyBorder="1" applyAlignment="1">
      <alignment vertical="center"/>
    </xf>
    <xf numFmtId="43" fontId="6" fillId="2" borderId="0" xfId="13" applyNumberFormat="1" applyFont="1" applyAlignment="1">
      <alignment horizontal="left" vertical="center"/>
    </xf>
    <xf numFmtId="43" fontId="7" fillId="0" borderId="0" xfId="2" applyNumberFormat="1" applyFont="1" applyAlignment="1">
      <alignment vertical="center"/>
    </xf>
    <xf numFmtId="43" fontId="4" fillId="0" borderId="0" xfId="5" applyNumberFormat="1" applyFill="1" applyAlignment="1">
      <alignment horizontal="left" vertical="center"/>
    </xf>
    <xf numFmtId="43" fontId="6" fillId="0" borderId="0" xfId="6" applyNumberFormat="1" applyFont="1" applyFill="1" applyBorder="1">
      <alignment horizontal="left" vertical="center"/>
    </xf>
    <xf numFmtId="43" fontId="7" fillId="0" borderId="0" xfId="8" applyNumberFormat="1" applyFont="1" applyFill="1" applyAlignment="1">
      <alignment horizontal="left" vertical="center"/>
    </xf>
    <xf numFmtId="43" fontId="6" fillId="0" borderId="0" xfId="8" applyNumberFormat="1" applyFont="1" applyFill="1">
      <alignment horizontal="left" vertical="center"/>
    </xf>
    <xf numFmtId="43" fontId="7" fillId="0" borderId="0" xfId="4" applyNumberFormat="1" applyFont="1" applyFill="1" applyAlignment="1">
      <alignment vertical="center"/>
    </xf>
    <xf numFmtId="43" fontId="7" fillId="0" borderId="0" xfId="3" applyNumberFormat="1" applyFont="1" applyFill="1" applyAlignment="1">
      <alignment horizontal="center" vertical="center"/>
    </xf>
    <xf numFmtId="43" fontId="6" fillId="0" borderId="0" xfId="1" applyNumberFormat="1" applyFont="1" applyFill="1" applyBorder="1" applyAlignment="1">
      <alignment horizontal="left" vertical="center"/>
    </xf>
    <xf numFmtId="0" fontId="38" fillId="0" borderId="37" xfId="0" quotePrefix="1" applyFont="1" applyBorder="1" applyAlignment="1"/>
    <xf numFmtId="0" fontId="10" fillId="2" borderId="0" xfId="8" applyFont="1" applyBorder="1" applyAlignment="1">
      <alignment horizontal="center" vertical="center"/>
    </xf>
    <xf numFmtId="0" fontId="10" fillId="2" borderId="40" xfId="4" applyFont="1" applyBorder="1" applyAlignment="1">
      <alignment horizontal="center" vertical="center"/>
    </xf>
    <xf numFmtId="0" fontId="10" fillId="2" borderId="0" xfId="4" applyFont="1" applyBorder="1" applyAlignment="1">
      <alignment horizontal="center" vertical="center"/>
    </xf>
    <xf numFmtId="0" fontId="10" fillId="2" borderId="10" xfId="8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37" fillId="0" borderId="0" xfId="8" applyFont="1" applyFill="1" applyBorder="1" applyAlignment="1">
      <alignment vertical="center"/>
    </xf>
    <xf numFmtId="43" fontId="5" fillId="2" borderId="0" xfId="8" applyNumberFormat="1" applyFont="1" applyBorder="1" applyAlignment="1">
      <alignment horizontal="center" vertical="center"/>
    </xf>
    <xf numFmtId="43" fontId="10" fillId="2" borderId="0" xfId="8" applyNumberFormat="1" applyFont="1" applyBorder="1" applyAlignment="1">
      <alignment horizontal="center" vertical="center"/>
    </xf>
    <xf numFmtId="43" fontId="9" fillId="2" borderId="30" xfId="8" applyNumberFormat="1" applyFont="1" applyBorder="1" applyAlignment="1">
      <alignment horizontal="center" vertical="center"/>
    </xf>
    <xf numFmtId="0" fontId="6" fillId="2" borderId="34" xfId="6" applyFont="1" applyBorder="1" applyAlignment="1">
      <alignment vertical="center"/>
    </xf>
    <xf numFmtId="43" fontId="5" fillId="2" borderId="0" xfId="8" applyNumberFormat="1" applyFont="1" applyBorder="1" applyAlignment="1">
      <alignment vertical="center"/>
    </xf>
    <xf numFmtId="43" fontId="8" fillId="2" borderId="0" xfId="8" applyNumberFormat="1" applyFont="1" applyBorder="1" applyAlignment="1">
      <alignment vertical="center"/>
    </xf>
    <xf numFmtId="0" fontId="25" fillId="0" borderId="37" xfId="0" applyFont="1" applyBorder="1" applyAlignment="1"/>
    <xf numFmtId="43" fontId="40" fillId="0" borderId="0" xfId="0" applyNumberFormat="1" applyFont="1" applyBorder="1"/>
    <xf numFmtId="0" fontId="41" fillId="0" borderId="16" xfId="0" applyFont="1" applyFill="1" applyBorder="1" applyAlignment="1"/>
    <xf numFmtId="0" fontId="6" fillId="2" borderId="3" xfId="8" applyFont="1" applyBorder="1" applyAlignment="1">
      <alignment horizontal="left" vertical="center"/>
    </xf>
    <xf numFmtId="43" fontId="6" fillId="2" borderId="0" xfId="8" applyNumberFormat="1" applyFont="1" applyBorder="1" applyAlignment="1">
      <alignment horizontal="left" vertical="center"/>
    </xf>
    <xf numFmtId="0" fontId="7" fillId="2" borderId="11" xfId="9" applyFont="1" applyBorder="1" applyAlignment="1">
      <alignment horizontal="right" vertical="center"/>
    </xf>
    <xf numFmtId="0" fontId="6" fillId="3" borderId="7" xfId="8" applyFont="1" applyFill="1" applyBorder="1" applyAlignment="1">
      <alignment horizontal="left" vertical="center"/>
    </xf>
    <xf numFmtId="0" fontId="7" fillId="3" borderId="8" xfId="9" applyFont="1" applyFill="1" applyBorder="1" applyAlignment="1">
      <alignment horizontal="right" vertical="center"/>
    </xf>
    <xf numFmtId="0" fontId="6" fillId="2" borderId="9" xfId="8" applyFont="1" applyBorder="1" applyAlignment="1">
      <alignment horizontal="left" vertical="center"/>
    </xf>
    <xf numFmtId="43" fontId="6" fillId="0" borderId="0" xfId="6" applyNumberFormat="1" applyFont="1" applyFill="1" applyBorder="1" applyAlignment="1">
      <alignment horizontal="left" vertical="center"/>
    </xf>
    <xf numFmtId="0" fontId="6" fillId="0" borderId="7" xfId="6" applyFont="1" applyFill="1" applyBorder="1" applyAlignment="1">
      <alignment horizontal="left" vertical="center"/>
    </xf>
    <xf numFmtId="0" fontId="7" fillId="0" borderId="7" xfId="7" applyFont="1" applyFill="1" applyBorder="1" applyAlignment="1">
      <alignment horizontal="left" vertical="center"/>
    </xf>
    <xf numFmtId="0" fontId="6" fillId="0" borderId="17" xfId="6" applyFont="1" applyFill="1" applyBorder="1" applyAlignment="1">
      <alignment horizontal="left" vertical="center"/>
    </xf>
    <xf numFmtId="43" fontId="6" fillId="0" borderId="17" xfId="6" applyNumberFormat="1" applyFont="1" applyFill="1" applyBorder="1" applyAlignment="1">
      <alignment horizontal="left" vertical="center"/>
    </xf>
    <xf numFmtId="0" fontId="7" fillId="0" borderId="17" xfId="7" applyFont="1" applyFill="1" applyBorder="1" applyAlignment="1">
      <alignment horizontal="left" vertical="center"/>
    </xf>
    <xf numFmtId="0" fontId="29" fillId="0" borderId="16" xfId="0" applyFont="1" applyBorder="1" applyAlignment="1"/>
    <xf numFmtId="0" fontId="9" fillId="2" borderId="3" xfId="8" applyFont="1" applyBorder="1" applyAlignment="1">
      <alignment horizontal="left" vertical="center"/>
    </xf>
    <xf numFmtId="0" fontId="7" fillId="2" borderId="3" xfId="8" applyFont="1" applyBorder="1" applyAlignment="1">
      <alignment vertical="center" wrapText="1"/>
    </xf>
    <xf numFmtId="0" fontId="46" fillId="2" borderId="0" xfId="8" applyFont="1" applyBorder="1" applyAlignment="1">
      <alignment vertical="center" wrapText="1"/>
    </xf>
    <xf numFmtId="0" fontId="9" fillId="0" borderId="0" xfId="8" applyFont="1" applyFill="1" applyBorder="1" applyAlignment="1">
      <alignment horizontal="center" vertical="center"/>
    </xf>
    <xf numFmtId="43" fontId="5" fillId="0" borderId="0" xfId="8" applyNumberFormat="1" applyFont="1" applyFill="1" applyBorder="1" applyAlignment="1">
      <alignment horizontal="center" vertical="center"/>
    </xf>
    <xf numFmtId="43" fontId="9" fillId="0" borderId="0" xfId="8" applyNumberFormat="1" applyFont="1" applyFill="1" applyBorder="1" applyAlignment="1">
      <alignment horizontal="center" vertical="center"/>
    </xf>
    <xf numFmtId="43" fontId="5" fillId="0" borderId="0" xfId="8" applyNumberFormat="1" applyFont="1" applyFill="1" applyBorder="1" applyAlignment="1">
      <alignment horizontal="right" vertical="center"/>
    </xf>
    <xf numFmtId="0" fontId="44" fillId="0" borderId="0" xfId="0" applyFont="1" applyAlignment="1"/>
    <xf numFmtId="0" fontId="32" fillId="2" borderId="3" xfId="8" applyFont="1" applyBorder="1" applyAlignment="1">
      <alignment horizontal="left" vertical="center"/>
    </xf>
    <xf numFmtId="0" fontId="25" fillId="0" borderId="0" xfId="0" applyFont="1" applyFill="1" applyBorder="1" applyAlignment="1">
      <alignment wrapText="1"/>
    </xf>
    <xf numFmtId="0" fontId="49" fillId="0" borderId="16" xfId="0" applyFont="1" applyFill="1" applyBorder="1" applyAlignment="1"/>
    <xf numFmtId="0" fontId="35" fillId="0" borderId="0" xfId="0" applyFont="1" applyFill="1" applyBorder="1" applyAlignment="1"/>
    <xf numFmtId="43" fontId="51" fillId="0" borderId="0" xfId="0" applyNumberFormat="1" applyFont="1" applyFill="1" applyBorder="1" applyAlignment="1"/>
    <xf numFmtId="43" fontId="9" fillId="0" borderId="0" xfId="8" applyNumberFormat="1" applyFont="1" applyFill="1" applyBorder="1" applyAlignment="1">
      <alignment vertical="center"/>
    </xf>
    <xf numFmtId="0" fontId="6" fillId="2" borderId="16" xfId="8" applyFont="1" applyBorder="1" applyAlignment="1">
      <alignment vertical="center" wrapText="1"/>
    </xf>
    <xf numFmtId="0" fontId="27" fillId="0" borderId="0" xfId="2" applyFont="1" applyBorder="1" applyAlignment="1">
      <alignment vertical="center"/>
    </xf>
    <xf numFmtId="0" fontId="52" fillId="0" borderId="0" xfId="2" applyFont="1" applyBorder="1" applyAlignment="1">
      <alignment vertical="center"/>
    </xf>
    <xf numFmtId="0" fontId="6" fillId="0" borderId="6" xfId="6" applyFont="1" applyFill="1" applyBorder="1" applyAlignment="1">
      <alignment vertical="center" wrapText="1"/>
    </xf>
    <xf numFmtId="0" fontId="9" fillId="5" borderId="0" xfId="2" applyFont="1" applyFill="1" applyAlignment="1">
      <alignment vertical="center"/>
    </xf>
    <xf numFmtId="0" fontId="6" fillId="3" borderId="1" xfId="6" applyFont="1" applyFill="1" applyBorder="1" applyAlignment="1">
      <alignment horizontal="left" vertical="center"/>
    </xf>
    <xf numFmtId="0" fontId="6" fillId="3" borderId="2" xfId="6" applyFont="1" applyFill="1" applyBorder="1" applyAlignment="1">
      <alignment horizontal="left" vertical="center"/>
    </xf>
    <xf numFmtId="43" fontId="6" fillId="3" borderId="16" xfId="6" applyNumberFormat="1" applyFont="1" applyFill="1" applyBorder="1" applyAlignment="1">
      <alignment horizontal="left" vertical="center"/>
    </xf>
    <xf numFmtId="0" fontId="7" fillId="3" borderId="2" xfId="7" applyFont="1" applyFill="1" applyBorder="1" applyAlignment="1">
      <alignment horizontal="left" vertical="center"/>
    </xf>
    <xf numFmtId="0" fontId="45" fillId="0" borderId="37" xfId="0" applyFont="1" applyFill="1" applyBorder="1" applyAlignment="1"/>
    <xf numFmtId="0" fontId="7" fillId="0" borderId="0" xfId="7" applyFont="1" applyFill="1" applyBorder="1" applyAlignment="1">
      <alignment horizontal="left" vertical="center"/>
    </xf>
    <xf numFmtId="0" fontId="6" fillId="4" borderId="44" xfId="6" applyFont="1" applyFill="1" applyBorder="1" applyAlignment="1">
      <alignment horizontal="center" vertical="center"/>
    </xf>
    <xf numFmtId="0" fontId="7" fillId="2" borderId="43" xfId="4" applyFont="1" applyBorder="1" applyAlignment="1">
      <alignment vertical="center"/>
    </xf>
    <xf numFmtId="0" fontId="9" fillId="2" borderId="38" xfId="4" applyFont="1" applyBorder="1" applyAlignment="1">
      <alignment horizontal="center" vertical="center"/>
    </xf>
    <xf numFmtId="0" fontId="10" fillId="2" borderId="38" xfId="4" applyFont="1" applyBorder="1" applyAlignment="1">
      <alignment horizontal="center" vertical="center"/>
    </xf>
    <xf numFmtId="0" fontId="9" fillId="2" borderId="48" xfId="4" applyFont="1" applyBorder="1" applyAlignment="1">
      <alignment horizontal="center" vertical="center"/>
    </xf>
    <xf numFmtId="0" fontId="9" fillId="0" borderId="0" xfId="8" applyFont="1" applyFill="1" applyBorder="1" applyAlignment="1">
      <alignment vertical="center"/>
    </xf>
    <xf numFmtId="0" fontId="37" fillId="0" borderId="0" xfId="8" applyFont="1" applyFill="1" applyBorder="1" applyAlignment="1">
      <alignment horizontal="center" vertical="center"/>
    </xf>
    <xf numFmtId="0" fontId="9" fillId="0" borderId="37" xfId="8" applyFont="1" applyFill="1" applyBorder="1" applyAlignment="1">
      <alignment vertical="center"/>
    </xf>
    <xf numFmtId="0" fontId="5" fillId="0" borderId="0" xfId="2" applyFont="1" applyFill="1" applyAlignment="1">
      <alignment vertical="center"/>
    </xf>
    <xf numFmtId="0" fontId="50" fillId="0" borderId="37" xfId="0" applyFont="1" applyFill="1" applyBorder="1" applyAlignment="1"/>
    <xf numFmtId="0" fontId="34" fillId="0" borderId="37" xfId="0" quotePrefix="1" applyFont="1" applyFill="1" applyBorder="1" applyAlignment="1">
      <alignment horizontal="right"/>
    </xf>
    <xf numFmtId="0" fontId="48" fillId="0" borderId="37" xfId="0" quotePrefix="1" applyFont="1" applyFill="1" applyBorder="1" applyAlignment="1"/>
    <xf numFmtId="0" fontId="7" fillId="0" borderId="37" xfId="8" applyFont="1" applyFill="1" applyBorder="1" applyAlignment="1">
      <alignment vertical="center"/>
    </xf>
    <xf numFmtId="43" fontId="47" fillId="0" borderId="0" xfId="8" applyNumberFormat="1" applyFont="1" applyFill="1" applyBorder="1" applyAlignment="1">
      <alignment vertical="center"/>
    </xf>
    <xf numFmtId="0" fontId="10" fillId="0" borderId="0" xfId="8" applyFont="1" applyFill="1" applyBorder="1" applyAlignment="1">
      <alignment horizontal="center" vertical="center"/>
    </xf>
    <xf numFmtId="43" fontId="10" fillId="0" borderId="0" xfId="8" applyNumberFormat="1" applyFont="1" applyFill="1" applyBorder="1" applyAlignment="1">
      <alignment horizontal="center" vertical="center"/>
    </xf>
    <xf numFmtId="0" fontId="10" fillId="0" borderId="0" xfId="8" applyFont="1" applyFill="1" applyBorder="1" applyAlignment="1">
      <alignment vertical="center"/>
    </xf>
    <xf numFmtId="0" fontId="5" fillId="0" borderId="45" xfId="8" applyFont="1" applyFill="1" applyBorder="1" applyAlignment="1">
      <alignment vertical="center" wrapText="1"/>
    </xf>
    <xf numFmtId="43" fontId="5" fillId="0" borderId="30" xfId="8" applyNumberFormat="1" applyFont="1" applyFill="1" applyBorder="1" applyAlignment="1">
      <alignment horizontal="right" vertical="center"/>
    </xf>
    <xf numFmtId="0" fontId="9" fillId="0" borderId="30" xfId="8" applyFont="1" applyFill="1" applyBorder="1" applyAlignment="1">
      <alignment horizontal="center" vertical="center"/>
    </xf>
    <xf numFmtId="43" fontId="9" fillId="0" borderId="30" xfId="8" applyNumberFormat="1" applyFont="1" applyFill="1" applyBorder="1" applyAlignment="1">
      <alignment horizontal="center" vertical="center"/>
    </xf>
    <xf numFmtId="0" fontId="9" fillId="0" borderId="30" xfId="8" applyFont="1" applyFill="1" applyBorder="1" applyAlignment="1">
      <alignment vertical="center"/>
    </xf>
    <xf numFmtId="0" fontId="53" fillId="0" borderId="37" xfId="0" applyFont="1" applyFill="1" applyBorder="1" applyAlignment="1"/>
    <xf numFmtId="0" fontId="34" fillId="0" borderId="0" xfId="0" applyFont="1" applyBorder="1" applyAlignment="1">
      <alignment horizontal="center" wrapText="1"/>
    </xf>
    <xf numFmtId="0" fontId="53" fillId="0" borderId="0" xfId="0" applyFont="1" applyFill="1" applyBorder="1" applyAlignment="1"/>
    <xf numFmtId="0" fontId="53" fillId="0" borderId="32" xfId="0" applyFont="1" applyFill="1" applyBorder="1" applyAlignment="1"/>
    <xf numFmtId="0" fontId="13" fillId="2" borderId="5" xfId="8" applyFont="1" applyBorder="1" applyAlignment="1">
      <alignment horizontal="left" vertical="center"/>
    </xf>
    <xf numFmtId="0" fontId="56" fillId="0" borderId="37" xfId="0" applyFont="1" applyFill="1" applyBorder="1" applyAlignment="1"/>
    <xf numFmtId="0" fontId="9" fillId="0" borderId="41" xfId="8" applyFont="1" applyFill="1" applyBorder="1" applyAlignment="1">
      <alignment vertical="center"/>
    </xf>
    <xf numFmtId="0" fontId="9" fillId="0" borderId="16" xfId="8" applyFont="1" applyFill="1" applyBorder="1" applyAlignment="1">
      <alignment vertical="center"/>
    </xf>
    <xf numFmtId="43" fontId="9" fillId="0" borderId="16" xfId="8" applyNumberFormat="1" applyFont="1" applyFill="1" applyBorder="1" applyAlignment="1">
      <alignment vertical="center"/>
    </xf>
    <xf numFmtId="0" fontId="5" fillId="0" borderId="44" xfId="2" applyFont="1" applyFill="1" applyBorder="1" applyAlignment="1">
      <alignment vertical="center"/>
    </xf>
    <xf numFmtId="0" fontId="9" fillId="0" borderId="32" xfId="8" applyFont="1" applyFill="1" applyBorder="1" applyAlignment="1">
      <alignment vertical="center"/>
    </xf>
    <xf numFmtId="0" fontId="55" fillId="0" borderId="37" xfId="0" applyFont="1" applyBorder="1" applyAlignment="1"/>
    <xf numFmtId="0" fontId="25" fillId="0" borderId="32" xfId="0" applyFont="1" applyFill="1" applyBorder="1" applyAlignment="1">
      <alignment wrapText="1"/>
    </xf>
    <xf numFmtId="0" fontId="10" fillId="0" borderId="32" xfId="8" applyFont="1" applyFill="1" applyBorder="1" applyAlignment="1">
      <alignment vertical="center"/>
    </xf>
    <xf numFmtId="0" fontId="9" fillId="0" borderId="49" xfId="8" applyFont="1" applyFill="1" applyBorder="1" applyAlignment="1">
      <alignment vertical="center"/>
    </xf>
    <xf numFmtId="0" fontId="7" fillId="2" borderId="44" xfId="4" applyFont="1" applyBorder="1" applyAlignment="1">
      <alignment vertical="center"/>
    </xf>
    <xf numFmtId="0" fontId="9" fillId="2" borderId="32" xfId="4" applyFont="1" applyBorder="1" applyAlignment="1">
      <alignment horizontal="center" vertical="center"/>
    </xf>
    <xf numFmtId="0" fontId="10" fillId="2" borderId="32" xfId="4" applyFont="1" applyBorder="1" applyAlignment="1">
      <alignment horizontal="center" vertical="center"/>
    </xf>
    <xf numFmtId="0" fontId="9" fillId="2" borderId="49" xfId="4" applyFont="1" applyBorder="1" applyAlignment="1">
      <alignment horizontal="center" vertical="center"/>
    </xf>
    <xf numFmtId="0" fontId="57" fillId="0" borderId="0" xfId="0" applyFont="1" applyFill="1" applyAlignment="1"/>
    <xf numFmtId="0" fontId="6" fillId="0" borderId="46" xfId="6" applyFont="1" applyFill="1" applyBorder="1" applyAlignment="1">
      <alignment vertical="center" wrapText="1"/>
    </xf>
    <xf numFmtId="0" fontId="58" fillId="0" borderId="31" xfId="0" applyFont="1" applyBorder="1" applyAlignment="1"/>
    <xf numFmtId="0" fontId="8" fillId="2" borderId="31" xfId="8" applyFont="1" applyBorder="1" applyAlignment="1">
      <alignment vertical="center"/>
    </xf>
    <xf numFmtId="0" fontId="6" fillId="2" borderId="31" xfId="8" applyFont="1" applyBorder="1" applyAlignment="1">
      <alignment vertical="center"/>
    </xf>
    <xf numFmtId="0" fontId="6" fillId="0" borderId="31" xfId="6" applyFont="1" applyFill="1" applyBorder="1" applyAlignment="1">
      <alignment horizontal="left" vertical="center"/>
    </xf>
    <xf numFmtId="0" fontId="7" fillId="0" borderId="31" xfId="7" applyFont="1" applyFill="1" applyBorder="1" applyAlignment="1">
      <alignment horizontal="left" vertical="center"/>
    </xf>
    <xf numFmtId="0" fontId="7" fillId="0" borderId="47" xfId="4" applyFont="1" applyFill="1" applyBorder="1" applyAlignment="1">
      <alignment vertical="center"/>
    </xf>
    <xf numFmtId="0" fontId="59" fillId="0" borderId="37" xfId="0" applyFont="1" applyBorder="1" applyAlignment="1"/>
    <xf numFmtId="43" fontId="9" fillId="2" borderId="11" xfId="1" applyNumberFormat="1" applyFont="1" applyFill="1" applyBorder="1" applyAlignment="1">
      <alignment horizontal="center" vertical="center"/>
    </xf>
    <xf numFmtId="0" fontId="7" fillId="0" borderId="0" xfId="8" applyFont="1" applyFill="1">
      <alignment horizontal="left" vertical="center"/>
    </xf>
    <xf numFmtId="0" fontId="7" fillId="2" borderId="10" xfId="4" applyFont="1" applyBorder="1" applyAlignment="1">
      <alignment horizontal="center" vertical="center" wrapText="1"/>
    </xf>
    <xf numFmtId="0" fontId="7" fillId="2" borderId="0" xfId="4" applyFont="1" applyBorder="1" applyAlignment="1">
      <alignment horizontal="center" vertical="center" wrapText="1"/>
    </xf>
    <xf numFmtId="0" fontId="11" fillId="2" borderId="10" xfId="8" applyFont="1" applyBorder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25" fillId="2" borderId="3" xfId="8" applyFont="1" applyBorder="1" applyAlignment="1">
      <alignment horizontal="left" vertical="center"/>
    </xf>
    <xf numFmtId="0" fontId="61" fillId="0" borderId="16" xfId="0" applyFont="1" applyBorder="1" applyAlignment="1"/>
    <xf numFmtId="0" fontId="49" fillId="0" borderId="16" xfId="0" applyFont="1" applyBorder="1" applyAlignment="1"/>
    <xf numFmtId="43" fontId="8" fillId="0" borderId="0" xfId="8" applyNumberFormat="1" applyFont="1" applyFill="1" applyBorder="1" applyAlignment="1">
      <alignment horizontal="center" vertical="center"/>
    </xf>
    <xf numFmtId="0" fontId="62" fillId="0" borderId="31" xfId="0" applyFont="1" applyFill="1" applyBorder="1" applyAlignment="1"/>
    <xf numFmtId="0" fontId="65" fillId="0" borderId="0" xfId="0" applyFont="1" applyFill="1" applyBorder="1" applyAlignment="1"/>
    <xf numFmtId="0" fontId="5" fillId="0" borderId="0" xfId="2" applyFont="1" applyFill="1" applyBorder="1" applyAlignment="1">
      <alignment vertical="center"/>
    </xf>
    <xf numFmtId="0" fontId="64" fillId="0" borderId="37" xfId="0" applyFont="1" applyBorder="1" applyAlignment="1"/>
    <xf numFmtId="0" fontId="26" fillId="2" borderId="3" xfId="8" applyFont="1" applyBorder="1" applyAlignment="1">
      <alignment horizontal="left" vertical="center" wrapText="1"/>
    </xf>
    <xf numFmtId="0" fontId="66" fillId="0" borderId="37" xfId="0" applyFont="1" applyBorder="1" applyAlignment="1">
      <alignment wrapText="1"/>
    </xf>
    <xf numFmtId="43" fontId="5" fillId="0" borderId="0" xfId="1" applyFont="1" applyAlignment="1">
      <alignment vertical="center"/>
    </xf>
    <xf numFmtId="0" fontId="4" fillId="2" borderId="6" xfId="5" applyBorder="1" applyAlignment="1">
      <alignment horizontal="left" vertical="center"/>
    </xf>
    <xf numFmtId="0" fontId="4" fillId="2" borderId="7" xfId="5" applyBorder="1" applyAlignment="1">
      <alignment horizontal="left" vertical="center"/>
    </xf>
    <xf numFmtId="0" fontId="7" fillId="3" borderId="0" xfId="7" applyFont="1" applyFill="1">
      <alignment horizontal="left" vertical="center"/>
    </xf>
    <xf numFmtId="0" fontId="7" fillId="3" borderId="0" xfId="4" applyFont="1" applyFill="1" applyAlignment="1">
      <alignment vertical="center"/>
    </xf>
    <xf numFmtId="164" fontId="9" fillId="2" borderId="0" xfId="9" applyNumberFormat="1" applyFont="1" applyAlignment="1">
      <alignment vertical="center"/>
    </xf>
    <xf numFmtId="0" fontId="6" fillId="4" borderId="0" xfId="4" applyFont="1" applyFill="1" applyAlignment="1">
      <alignment horizontal="center" vertical="center"/>
    </xf>
    <xf numFmtId="0" fontId="32" fillId="2" borderId="0" xfId="8" applyFont="1" applyAlignment="1">
      <alignment vertical="center"/>
    </xf>
    <xf numFmtId="43" fontId="8" fillId="0" borderId="0" xfId="1" applyFont="1" applyAlignment="1">
      <alignment vertical="center"/>
    </xf>
    <xf numFmtId="43" fontId="6" fillId="0" borderId="17" xfId="1" applyFont="1" applyBorder="1" applyAlignment="1">
      <alignment horizontal="left" vertical="center"/>
    </xf>
    <xf numFmtId="43" fontId="10" fillId="0" borderId="0" xfId="1" applyFont="1" applyAlignment="1">
      <alignment horizontal="right" vertical="center"/>
    </xf>
    <xf numFmtId="43" fontId="10" fillId="0" borderId="11" xfId="1" applyFont="1" applyBorder="1" applyAlignment="1">
      <alignment horizontal="right" vertical="center"/>
    </xf>
    <xf numFmtId="43" fontId="6" fillId="0" borderId="21" xfId="1" applyFont="1" applyBorder="1" applyAlignment="1">
      <alignment horizontal="left" vertical="center"/>
    </xf>
    <xf numFmtId="43" fontId="6" fillId="0" borderId="22" xfId="1" applyFont="1" applyBorder="1" applyAlignment="1">
      <alignment horizontal="left" vertical="center"/>
    </xf>
    <xf numFmtId="43" fontId="10" fillId="0" borderId="22" xfId="1" applyFont="1" applyBorder="1" applyAlignment="1">
      <alignment horizontal="right" vertical="center"/>
    </xf>
    <xf numFmtId="43" fontId="10" fillId="0" borderId="24" xfId="1" applyFont="1" applyBorder="1" applyAlignment="1">
      <alignment horizontal="right" vertical="center"/>
    </xf>
    <xf numFmtId="43" fontId="6" fillId="0" borderId="0" xfId="1" applyFont="1" applyAlignment="1">
      <alignment vertical="center"/>
    </xf>
    <xf numFmtId="43" fontId="11" fillId="0" borderId="0" xfId="1" applyFont="1" applyAlignment="1">
      <alignment vertical="center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43" fontId="7" fillId="0" borderId="0" xfId="1" applyFont="1" applyAlignment="1">
      <alignment horizontal="center" vertical="center"/>
    </xf>
    <xf numFmtId="164" fontId="9" fillId="2" borderId="0" xfId="9" quotePrefix="1" applyNumberFormat="1" applyFont="1" applyAlignment="1">
      <alignment vertical="center"/>
    </xf>
    <xf numFmtId="0" fontId="44" fillId="0" borderId="37" xfId="0" applyFont="1" applyBorder="1" applyAlignment="1"/>
    <xf numFmtId="0" fontId="9" fillId="2" borderId="1" xfId="8" applyFont="1" applyBorder="1" applyAlignment="1">
      <alignment vertical="center" wrapText="1"/>
    </xf>
    <xf numFmtId="0" fontId="60" fillId="0" borderId="37" xfId="0" applyFont="1" applyFill="1" applyBorder="1" applyAlignment="1"/>
    <xf numFmtId="0" fontId="69" fillId="0" borderId="37" xfId="0" applyFont="1" applyBorder="1" applyAlignment="1"/>
    <xf numFmtId="0" fontId="42" fillId="0" borderId="16" xfId="0" applyFont="1" applyBorder="1" applyAlignment="1"/>
    <xf numFmtId="0" fontId="70" fillId="0" borderId="0" xfId="0" applyFont="1" applyAlignment="1">
      <alignment wrapText="1"/>
    </xf>
    <xf numFmtId="0" fontId="71" fillId="0" borderId="0" xfId="3" applyFont="1" applyFill="1" applyAlignment="1">
      <alignment vertical="center"/>
    </xf>
    <xf numFmtId="14" fontId="9" fillId="0" borderId="0" xfId="8" applyNumberFormat="1" applyFont="1" applyFill="1" applyBorder="1" applyAlignment="1">
      <alignment vertical="center"/>
    </xf>
    <xf numFmtId="0" fontId="6" fillId="2" borderId="46" xfId="6" applyFont="1" applyBorder="1" applyAlignment="1">
      <alignment vertical="center"/>
    </xf>
    <xf numFmtId="0" fontId="25" fillId="0" borderId="0" xfId="0" applyFont="1" applyFill="1" applyBorder="1" applyAlignment="1"/>
    <xf numFmtId="0" fontId="74" fillId="0" borderId="0" xfId="0" applyFont="1" applyFill="1" applyBorder="1" applyAlignment="1"/>
    <xf numFmtId="0" fontId="74" fillId="0" borderId="32" xfId="0" applyFont="1" applyFill="1" applyBorder="1" applyAlignment="1"/>
    <xf numFmtId="0" fontId="7" fillId="0" borderId="0" xfId="8" applyFont="1" applyFill="1" applyBorder="1" applyAlignment="1">
      <alignment horizontal="center" vertical="center"/>
    </xf>
    <xf numFmtId="43" fontId="7" fillId="0" borderId="0" xfId="8" applyNumberFormat="1" applyFont="1" applyFill="1" applyBorder="1" applyAlignment="1">
      <alignment horizontal="center" vertical="center"/>
    </xf>
    <xf numFmtId="0" fontId="25" fillId="0" borderId="0" xfId="0" applyFont="1" applyBorder="1" applyAlignment="1"/>
    <xf numFmtId="0" fontId="75" fillId="0" borderId="0" xfId="0" applyFont="1" applyFill="1" applyBorder="1" applyAlignment="1"/>
    <xf numFmtId="0" fontId="5" fillId="0" borderId="16" xfId="2" applyFont="1" applyBorder="1" applyAlignment="1">
      <alignment vertical="center"/>
    </xf>
    <xf numFmtId="0" fontId="25" fillId="0" borderId="32" xfId="0" applyFont="1" applyFill="1" applyBorder="1" applyAlignment="1"/>
    <xf numFmtId="0" fontId="50" fillId="0" borderId="0" xfId="0" applyFont="1" applyBorder="1" applyAlignment="1"/>
    <xf numFmtId="0" fontId="63" fillId="0" borderId="0" xfId="0" applyFont="1" applyFill="1" applyBorder="1" applyAlignment="1"/>
    <xf numFmtId="0" fontId="2" fillId="2" borderId="51" xfId="3" applyFont="1" applyBorder="1" applyAlignment="1">
      <alignment vertical="center"/>
    </xf>
    <xf numFmtId="0" fontId="2" fillId="2" borderId="52" xfId="3" applyFont="1" applyBorder="1" applyAlignment="1">
      <alignment vertical="center"/>
    </xf>
    <xf numFmtId="0" fontId="2" fillId="2" borderId="57" xfId="3" applyFont="1" applyBorder="1" applyAlignment="1">
      <alignment vertical="center"/>
    </xf>
    <xf numFmtId="0" fontId="4" fillId="2" borderId="60" xfId="5" applyBorder="1" applyAlignment="1">
      <alignment horizontal="left" vertical="center"/>
    </xf>
    <xf numFmtId="0" fontId="6" fillId="0" borderId="61" xfId="0" applyFont="1" applyBorder="1" applyAlignment="1">
      <alignment vertical="center"/>
    </xf>
    <xf numFmtId="0" fontId="6" fillId="3" borderId="57" xfId="6" applyFont="1" applyFill="1" applyBorder="1">
      <alignment horizontal="left" vertical="center"/>
    </xf>
    <xf numFmtId="0" fontId="7" fillId="3" borderId="61" xfId="9" applyFont="1" applyFill="1" applyBorder="1">
      <alignment horizontal="right" vertical="center"/>
    </xf>
    <xf numFmtId="0" fontId="6" fillId="2" borderId="60" xfId="6" applyFont="1" applyBorder="1" applyAlignment="1">
      <alignment vertical="center"/>
    </xf>
    <xf numFmtId="164" fontId="9" fillId="2" borderId="58" xfId="9" applyNumberFormat="1" applyFont="1" applyBorder="1" applyAlignment="1">
      <alignment vertical="center"/>
    </xf>
    <xf numFmtId="164" fontId="9" fillId="2" borderId="61" xfId="9" applyNumberFormat="1" applyFont="1" applyBorder="1" applyAlignment="1">
      <alignment vertical="center"/>
    </xf>
    <xf numFmtId="0" fontId="6" fillId="2" borderId="60" xfId="8" applyFont="1" applyBorder="1">
      <alignment horizontal="left" vertical="center"/>
    </xf>
    <xf numFmtId="164" fontId="9" fillId="2" borderId="59" xfId="9" applyNumberFormat="1" applyFont="1" applyBorder="1" applyAlignment="1">
      <alignment vertical="center"/>
    </xf>
    <xf numFmtId="0" fontId="6" fillId="2" borderId="57" xfId="8" applyFont="1" applyBorder="1">
      <alignment horizontal="left" vertical="center"/>
    </xf>
    <xf numFmtId="0" fontId="7" fillId="2" borderId="58" xfId="9" applyFont="1" applyBorder="1">
      <alignment horizontal="right" vertical="center"/>
    </xf>
    <xf numFmtId="0" fontId="6" fillId="3" borderId="60" xfId="6" applyFont="1" applyFill="1" applyBorder="1">
      <alignment horizontal="left" vertical="center"/>
    </xf>
    <xf numFmtId="0" fontId="9" fillId="2" borderId="62" xfId="8" applyFont="1" applyBorder="1" applyAlignment="1">
      <alignment vertical="center"/>
    </xf>
    <xf numFmtId="0" fontId="5" fillId="2" borderId="0" xfId="8" applyFont="1" applyBorder="1" applyAlignment="1">
      <alignment horizontal="left" vertical="center"/>
    </xf>
    <xf numFmtId="0" fontId="66" fillId="0" borderId="57" xfId="0" applyFont="1" applyBorder="1" applyAlignment="1"/>
    <xf numFmtId="0" fontId="7" fillId="2" borderId="57" xfId="8" applyFont="1" applyBorder="1" applyAlignment="1">
      <alignment vertical="center"/>
    </xf>
    <xf numFmtId="0" fontId="8" fillId="2" borderId="64" xfId="8" applyFont="1" applyBorder="1" applyAlignment="1">
      <alignment vertical="center"/>
    </xf>
    <xf numFmtId="0" fontId="6" fillId="0" borderId="57" xfId="6" applyFont="1" applyFill="1" applyBorder="1" applyAlignment="1">
      <alignment vertical="center"/>
    </xf>
    <xf numFmtId="0" fontId="6" fillId="0" borderId="60" xfId="6" applyFont="1" applyFill="1" applyBorder="1" applyAlignment="1">
      <alignment vertical="center"/>
    </xf>
    <xf numFmtId="43" fontId="10" fillId="0" borderId="0" xfId="1" applyFont="1" applyBorder="1" applyAlignment="1">
      <alignment horizontal="right" vertical="center"/>
    </xf>
    <xf numFmtId="43" fontId="10" fillId="0" borderId="58" xfId="1" applyFont="1" applyBorder="1" applyAlignment="1">
      <alignment horizontal="right" vertical="center"/>
    </xf>
    <xf numFmtId="43" fontId="10" fillId="0" borderId="65" xfId="1" applyFont="1" applyBorder="1" applyAlignment="1">
      <alignment horizontal="right" vertical="center"/>
    </xf>
    <xf numFmtId="0" fontId="6" fillId="0" borderId="66" xfId="6" applyFont="1" applyFill="1" applyBorder="1" applyAlignment="1">
      <alignment vertical="center"/>
    </xf>
    <xf numFmtId="43" fontId="6" fillId="0" borderId="0" xfId="1" applyFont="1" applyBorder="1" applyAlignment="1">
      <alignment vertical="center"/>
    </xf>
    <xf numFmtId="0" fontId="6" fillId="2" borderId="67" xfId="8" applyFont="1" applyBorder="1" applyAlignment="1">
      <alignment vertical="center"/>
    </xf>
    <xf numFmtId="43" fontId="6" fillId="3" borderId="60" xfId="1" applyFont="1" applyFill="1" applyBorder="1" applyAlignment="1">
      <alignment horizontal="left" vertical="center"/>
    </xf>
    <xf numFmtId="0" fontId="7" fillId="2" borderId="57" xfId="4" applyFont="1" applyBorder="1" applyAlignment="1">
      <alignment vertical="center"/>
    </xf>
    <xf numFmtId="0" fontId="4" fillId="2" borderId="60" xfId="5" applyFont="1" applyBorder="1" applyAlignment="1">
      <alignment horizontal="left" vertical="center"/>
    </xf>
    <xf numFmtId="0" fontId="35" fillId="2" borderId="57" xfId="8" applyFont="1" applyBorder="1" applyAlignment="1">
      <alignment horizontal="left" vertical="center"/>
    </xf>
    <xf numFmtId="43" fontId="10" fillId="0" borderId="58" xfId="1" applyFont="1" applyFill="1" applyBorder="1" applyAlignment="1">
      <alignment horizontal="right" vertical="center"/>
    </xf>
    <xf numFmtId="43" fontId="10" fillId="0" borderId="65" xfId="1" applyFont="1" applyFill="1" applyBorder="1" applyAlignment="1">
      <alignment horizontal="right" vertical="center"/>
    </xf>
    <xf numFmtId="0" fontId="7" fillId="2" borderId="57" xfId="8" applyFont="1" applyBorder="1" applyAlignment="1">
      <alignment horizontal="left" vertical="center"/>
    </xf>
    <xf numFmtId="0" fontId="78" fillId="0" borderId="16" xfId="0" applyFont="1" applyBorder="1" applyAlignment="1"/>
    <xf numFmtId="0" fontId="9" fillId="2" borderId="73" xfId="8" applyFont="1" applyBorder="1" applyAlignment="1">
      <alignment vertical="center"/>
    </xf>
    <xf numFmtId="0" fontId="34" fillId="2" borderId="57" xfId="8" applyFont="1" applyBorder="1" applyAlignment="1">
      <alignment horizontal="left" vertical="center"/>
    </xf>
    <xf numFmtId="0" fontId="39" fillId="0" borderId="57" xfId="0" applyFont="1" applyFill="1" applyBorder="1" applyAlignment="1"/>
    <xf numFmtId="0" fontId="34" fillId="0" borderId="57" xfId="0" applyFont="1" applyBorder="1" applyAlignment="1"/>
    <xf numFmtId="0" fontId="30" fillId="0" borderId="57" xfId="0" quotePrefix="1" applyFont="1" applyBorder="1" applyAlignment="1"/>
    <xf numFmtId="0" fontId="38" fillId="0" borderId="57" xfId="0" quotePrefix="1" applyFont="1" applyBorder="1" applyAlignment="1"/>
    <xf numFmtId="0" fontId="9" fillId="2" borderId="57" xfId="8" applyFont="1" applyBorder="1" applyAlignment="1">
      <alignment vertical="center"/>
    </xf>
    <xf numFmtId="0" fontId="6" fillId="0" borderId="73" xfId="6" applyFont="1" applyFill="1" applyBorder="1" applyAlignment="1">
      <alignment vertical="center"/>
    </xf>
    <xf numFmtId="0" fontId="6" fillId="2" borderId="75" xfId="6" applyFont="1" applyBorder="1" applyAlignment="1">
      <alignment vertical="center"/>
    </xf>
    <xf numFmtId="0" fontId="6" fillId="2" borderId="57" xfId="8" applyFont="1" applyBorder="1" applyAlignment="1">
      <alignment horizontal="left" vertical="center"/>
    </xf>
    <xf numFmtId="0" fontId="7" fillId="2" borderId="58" xfId="9" applyFont="1" applyBorder="1" applyAlignment="1">
      <alignment horizontal="right" vertical="center"/>
    </xf>
    <xf numFmtId="0" fontId="6" fillId="3" borderId="62" xfId="6" applyFont="1" applyFill="1" applyBorder="1" applyAlignment="1">
      <alignment horizontal="left" vertical="center"/>
    </xf>
    <xf numFmtId="0" fontId="7" fillId="3" borderId="61" xfId="9" applyFont="1" applyFill="1" applyBorder="1" applyAlignment="1">
      <alignment horizontal="right" vertical="center"/>
    </xf>
    <xf numFmtId="14" fontId="50" fillId="0" borderId="0" xfId="0" applyNumberFormat="1" applyFont="1" applyBorder="1" applyAlignment="1"/>
    <xf numFmtId="0" fontId="56" fillId="0" borderId="57" xfId="0" applyFont="1" applyFill="1" applyBorder="1" applyAlignment="1"/>
    <xf numFmtId="0" fontId="7" fillId="0" borderId="57" xfId="8" applyFont="1" applyFill="1" applyBorder="1" applyAlignment="1">
      <alignment vertical="center"/>
    </xf>
    <xf numFmtId="0" fontId="79" fillId="0" borderId="57" xfId="8" applyFont="1" applyFill="1" applyBorder="1" applyAlignment="1">
      <alignment vertical="center"/>
    </xf>
    <xf numFmtId="0" fontId="50" fillId="0" borderId="73" xfId="0" applyFont="1" applyBorder="1" applyAlignment="1"/>
    <xf numFmtId="0" fontId="10" fillId="0" borderId="57" xfId="2" applyFont="1" applyBorder="1" applyAlignment="1">
      <alignment vertical="center"/>
    </xf>
    <xf numFmtId="0" fontId="73" fillId="0" borderId="76" xfId="8" applyFont="1" applyFill="1" applyBorder="1" applyAlignment="1">
      <alignment vertical="center"/>
    </xf>
    <xf numFmtId="0" fontId="50" fillId="0" borderId="0" xfId="0" applyFont="1" applyBorder="1" applyAlignment="1">
      <alignment horizontal="center"/>
    </xf>
    <xf numFmtId="0" fontId="55" fillId="0" borderId="0" xfId="0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55" fillId="0" borderId="57" xfId="0" applyFont="1" applyBorder="1" applyAlignment="1"/>
    <xf numFmtId="0" fontId="69" fillId="0" borderId="57" xfId="0" quotePrefix="1" applyFont="1" applyBorder="1" applyAlignment="1"/>
    <xf numFmtId="0" fontId="80" fillId="0" borderId="57" xfId="8" applyFont="1" applyFill="1" applyBorder="1" applyAlignment="1">
      <alignment vertical="center"/>
    </xf>
    <xf numFmtId="0" fontId="43" fillId="2" borderId="31" xfId="8" applyFont="1" applyBorder="1" applyAlignment="1">
      <alignment vertical="center"/>
    </xf>
    <xf numFmtId="43" fontId="10" fillId="2" borderId="31" xfId="8" applyNumberFormat="1" applyFont="1" applyBorder="1" applyAlignment="1">
      <alignment vertical="center"/>
    </xf>
    <xf numFmtId="0" fontId="6" fillId="2" borderId="47" xfId="8" applyFont="1" applyBorder="1" applyAlignment="1">
      <alignment vertical="center"/>
    </xf>
    <xf numFmtId="0" fontId="57" fillId="0" borderId="37" xfId="0" applyFont="1" applyFill="1" applyBorder="1" applyAlignment="1">
      <alignment wrapText="1"/>
    </xf>
    <xf numFmtId="0" fontId="9" fillId="0" borderId="0" xfId="2" applyFont="1" applyBorder="1" applyAlignment="1">
      <alignment vertical="center"/>
    </xf>
    <xf numFmtId="0" fontId="82" fillId="0" borderId="57" xfId="0" applyFont="1" applyBorder="1" applyAlignment="1"/>
    <xf numFmtId="0" fontId="6" fillId="2" borderId="82" xfId="6" applyFont="1" applyBorder="1" applyAlignment="1">
      <alignment vertical="center"/>
    </xf>
    <xf numFmtId="0" fontId="9" fillId="0" borderId="57" xfId="8" applyFont="1" applyFill="1" applyBorder="1" applyAlignment="1">
      <alignment vertical="center"/>
    </xf>
    <xf numFmtId="0" fontId="45" fillId="0" borderId="57" xfId="0" applyFont="1" applyFill="1" applyBorder="1" applyAlignment="1"/>
    <xf numFmtId="0" fontId="53" fillId="0" borderId="57" xfId="0" applyFont="1" applyFill="1" applyBorder="1" applyAlignment="1"/>
    <xf numFmtId="0" fontId="76" fillId="0" borderId="57" xfId="0" applyFont="1" applyFill="1" applyBorder="1" applyAlignment="1"/>
    <xf numFmtId="0" fontId="81" fillId="0" borderId="57" xfId="0" applyFont="1" applyBorder="1" applyAlignment="1"/>
    <xf numFmtId="0" fontId="48" fillId="0" borderId="57" xfId="0" quotePrefix="1" applyFont="1" applyFill="1" applyBorder="1" applyAlignment="1"/>
    <xf numFmtId="0" fontId="5" fillId="0" borderId="76" xfId="8" applyFont="1" applyFill="1" applyBorder="1" applyAlignment="1">
      <alignment vertical="center"/>
    </xf>
    <xf numFmtId="0" fontId="69" fillId="0" borderId="57" xfId="0" quotePrefix="1" applyFont="1" applyBorder="1" applyAlignment="1">
      <alignment wrapText="1"/>
    </xf>
    <xf numFmtId="0" fontId="33" fillId="0" borderId="73" xfId="0" applyFont="1" applyBorder="1" applyAlignment="1"/>
    <xf numFmtId="0" fontId="50" fillId="0" borderId="57" xfId="0" applyFont="1" applyBorder="1" applyAlignment="1"/>
    <xf numFmtId="0" fontId="73" fillId="0" borderId="57" xfId="8" applyFont="1" applyFill="1" applyBorder="1" applyAlignment="1">
      <alignment vertical="center"/>
    </xf>
    <xf numFmtId="0" fontId="9" fillId="0" borderId="76" xfId="2" applyFont="1" applyBorder="1" applyAlignment="1">
      <alignment vertical="center"/>
    </xf>
    <xf numFmtId="0" fontId="6" fillId="0" borderId="60" xfId="6" applyFont="1" applyFill="1" applyBorder="1" applyAlignment="1">
      <alignment vertical="center" wrapText="1"/>
    </xf>
    <xf numFmtId="0" fontId="45" fillId="0" borderId="57" xfId="0" applyFont="1" applyFill="1" applyBorder="1" applyAlignment="1">
      <alignment wrapText="1"/>
    </xf>
    <xf numFmtId="0" fontId="50" fillId="0" borderId="57" xfId="0" applyFont="1" applyFill="1" applyBorder="1" applyAlignment="1"/>
    <xf numFmtId="0" fontId="34" fillId="0" borderId="57" xfId="0" quotePrefix="1" applyFont="1" applyFill="1" applyBorder="1" applyAlignment="1">
      <alignment horizontal="right"/>
    </xf>
    <xf numFmtId="0" fontId="5" fillId="0" borderId="76" xfId="8" applyFont="1" applyFill="1" applyBorder="1" applyAlignment="1">
      <alignment vertical="center" wrapText="1"/>
    </xf>
    <xf numFmtId="43" fontId="86" fillId="2" borderId="90" xfId="1" applyFont="1" applyFill="1" applyBorder="1" applyAlignment="1">
      <alignment horizontal="left" vertical="center"/>
    </xf>
    <xf numFmtId="43" fontId="86" fillId="2" borderId="92" xfId="1" applyFont="1" applyFill="1" applyBorder="1" applyAlignment="1">
      <alignment horizontal="left" vertical="center"/>
    </xf>
    <xf numFmtId="43" fontId="86" fillId="2" borderId="94" xfId="1" applyFont="1" applyFill="1" applyBorder="1" applyAlignment="1">
      <alignment horizontal="left" vertical="center"/>
    </xf>
    <xf numFmtId="0" fontId="85" fillId="2" borderId="98" xfId="5" applyFont="1" applyBorder="1" applyAlignment="1">
      <alignment horizontal="left" vertical="center"/>
    </xf>
    <xf numFmtId="43" fontId="85" fillId="2" borderId="99" xfId="5" applyNumberFormat="1" applyFont="1" applyBorder="1" applyAlignment="1">
      <alignment horizontal="left" vertical="center"/>
    </xf>
    <xf numFmtId="0" fontId="85" fillId="2" borderId="99" xfId="5" applyFont="1" applyBorder="1" applyAlignment="1">
      <alignment horizontal="left" vertical="center"/>
    </xf>
    <xf numFmtId="0" fontId="87" fillId="2" borderId="99" xfId="4" applyFont="1" applyBorder="1" applyAlignment="1">
      <alignment vertical="center"/>
    </xf>
    <xf numFmtId="0" fontId="88" fillId="2" borderId="89" xfId="6" applyFont="1" applyBorder="1" applyAlignment="1">
      <alignment vertical="center"/>
    </xf>
    <xf numFmtId="164" fontId="91" fillId="2" borderId="96" xfId="9" applyNumberFormat="1" applyFont="1" applyBorder="1" applyAlignment="1">
      <alignment vertical="center"/>
    </xf>
    <xf numFmtId="164" fontId="91" fillId="2" borderId="91" xfId="9" applyNumberFormat="1" applyFont="1" applyBorder="1" applyAlignment="1">
      <alignment vertical="center"/>
    </xf>
    <xf numFmtId="164" fontId="91" fillId="2" borderId="99" xfId="9" applyNumberFormat="1" applyFont="1" applyBorder="1" applyAlignment="1">
      <alignment vertical="center"/>
    </xf>
    <xf numFmtId="164" fontId="91" fillId="2" borderId="100" xfId="9" applyNumberFormat="1" applyFont="1" applyBorder="1" applyAlignment="1">
      <alignment vertical="center"/>
    </xf>
    <xf numFmtId="0" fontId="88" fillId="2" borderId="92" xfId="8" applyFont="1" applyBorder="1" applyAlignment="1">
      <alignment horizontal="left" vertical="center"/>
    </xf>
    <xf numFmtId="0" fontId="88" fillId="2" borderId="0" xfId="8" applyFont="1" applyBorder="1" applyAlignment="1">
      <alignment vertical="center"/>
    </xf>
    <xf numFmtId="164" fontId="91" fillId="2" borderId="0" xfId="9" applyNumberFormat="1" applyFont="1" applyBorder="1" applyAlignment="1">
      <alignment vertical="center"/>
    </xf>
    <xf numFmtId="164" fontId="91" fillId="2" borderId="58" xfId="9" applyNumberFormat="1" applyFont="1" applyBorder="1" applyAlignment="1">
      <alignment vertical="center"/>
    </xf>
    <xf numFmtId="0" fontId="88" fillId="2" borderId="90" xfId="8" applyFont="1" applyBorder="1" applyAlignment="1">
      <alignment horizontal="left" vertical="center"/>
    </xf>
    <xf numFmtId="43" fontId="88" fillId="2" borderId="96" xfId="8" applyNumberFormat="1" applyFont="1" applyBorder="1" applyAlignment="1">
      <alignment horizontal="left" vertical="center"/>
    </xf>
    <xf numFmtId="0" fontId="89" fillId="2" borderId="96" xfId="10" applyFont="1" applyBorder="1" applyAlignment="1">
      <alignment horizontal="left" vertical="center"/>
    </xf>
    <xf numFmtId="0" fontId="89" fillId="2" borderId="96" xfId="4" applyFont="1" applyBorder="1" applyAlignment="1">
      <alignment vertical="center"/>
    </xf>
    <xf numFmtId="0" fontId="89" fillId="2" borderId="91" xfId="9" applyFont="1" applyBorder="1" applyAlignment="1">
      <alignment horizontal="right" vertical="center"/>
    </xf>
    <xf numFmtId="0" fontId="93" fillId="0" borderId="90" xfId="0" applyFont="1" applyBorder="1" applyAlignment="1"/>
    <xf numFmtId="0" fontId="87" fillId="0" borderId="96" xfId="2" applyFont="1" applyBorder="1" applyAlignment="1">
      <alignment vertical="center"/>
    </xf>
    <xf numFmtId="43" fontId="91" fillId="0" borderId="96" xfId="8" applyNumberFormat="1" applyFont="1" applyFill="1" applyBorder="1" applyAlignment="1">
      <alignment vertical="center"/>
    </xf>
    <xf numFmtId="0" fontId="91" fillId="0" borderId="96" xfId="8" applyFont="1" applyFill="1" applyBorder="1" applyAlignment="1">
      <alignment vertical="center"/>
    </xf>
    <xf numFmtId="0" fontId="87" fillId="0" borderId="96" xfId="2" applyFont="1" applyFill="1" applyBorder="1" applyAlignment="1">
      <alignment vertical="center"/>
    </xf>
    <xf numFmtId="0" fontId="89" fillId="2" borderId="90" xfId="4" applyFont="1" applyBorder="1" applyAlignment="1">
      <alignment vertical="center"/>
    </xf>
    <xf numFmtId="0" fontId="88" fillId="2" borderId="102" xfId="8" applyFont="1" applyBorder="1" applyAlignment="1">
      <alignment horizontal="left" vertical="center"/>
    </xf>
    <xf numFmtId="0" fontId="94" fillId="0" borderId="92" xfId="0" applyFont="1" applyFill="1" applyBorder="1" applyAlignment="1"/>
    <xf numFmtId="0" fontId="93" fillId="0" borderId="0" xfId="0" applyFont="1" applyBorder="1" applyAlignment="1"/>
    <xf numFmtId="0" fontId="91" fillId="0" borderId="0" xfId="2" applyFont="1" applyBorder="1" applyAlignment="1">
      <alignment vertical="center"/>
    </xf>
    <xf numFmtId="14" fontId="93" fillId="0" borderId="0" xfId="0" applyNumberFormat="1" applyFont="1" applyBorder="1" applyAlignment="1"/>
    <xf numFmtId="0" fontId="91" fillId="2" borderId="103" xfId="8" applyFont="1" applyBorder="1" applyAlignment="1">
      <alignment horizontal="center" vertical="center"/>
    </xf>
    <xf numFmtId="0" fontId="93" fillId="0" borderId="92" xfId="0" applyFont="1" applyBorder="1" applyAlignment="1"/>
    <xf numFmtId="0" fontId="95" fillId="0" borderId="0" xfId="0" applyFont="1" applyBorder="1" applyAlignment="1"/>
    <xf numFmtId="0" fontId="95" fillId="0" borderId="0" xfId="0" applyFont="1" applyBorder="1" applyAlignment="1">
      <alignment horizontal="center"/>
    </xf>
    <xf numFmtId="0" fontId="91" fillId="0" borderId="92" xfId="2" applyFont="1" applyBorder="1" applyAlignment="1">
      <alignment vertical="center"/>
    </xf>
    <xf numFmtId="0" fontId="95" fillId="0" borderId="0" xfId="0" applyFont="1" applyFill="1" applyBorder="1" applyAlignment="1"/>
    <xf numFmtId="43" fontId="89" fillId="0" borderId="0" xfId="8" applyNumberFormat="1" applyFont="1" applyFill="1" applyBorder="1" applyAlignment="1">
      <alignment horizontal="center" vertical="center"/>
    </xf>
    <xf numFmtId="0" fontId="96" fillId="0" borderId="92" xfId="8" applyFont="1" applyFill="1" applyBorder="1" applyAlignment="1">
      <alignment vertical="center"/>
    </xf>
    <xf numFmtId="0" fontId="89" fillId="0" borderId="92" xfId="8" applyFont="1" applyFill="1" applyBorder="1" applyAlignment="1">
      <alignment vertical="center"/>
    </xf>
    <xf numFmtId="0" fontId="89" fillId="0" borderId="0" xfId="8" applyFont="1" applyFill="1" applyBorder="1" applyAlignment="1">
      <alignment horizontal="center" vertical="center"/>
    </xf>
    <xf numFmtId="0" fontId="97" fillId="0" borderId="92" xfId="8" applyFont="1" applyFill="1" applyBorder="1" applyAlignment="1">
      <alignment vertical="center"/>
    </xf>
    <xf numFmtId="43" fontId="98" fillId="0" borderId="0" xfId="8" applyNumberFormat="1" applyFont="1" applyFill="1" applyBorder="1" applyAlignment="1">
      <alignment vertical="center"/>
    </xf>
    <xf numFmtId="0" fontId="99" fillId="0" borderId="0" xfId="8" applyFont="1" applyFill="1" applyBorder="1" applyAlignment="1">
      <alignment horizontal="center" vertical="center"/>
    </xf>
    <xf numFmtId="43" fontId="99" fillId="0" borderId="0" xfId="8" applyNumberFormat="1" applyFont="1" applyFill="1" applyBorder="1" applyAlignment="1">
      <alignment horizontal="center" vertical="center"/>
    </xf>
    <xf numFmtId="0" fontId="99" fillId="2" borderId="92" xfId="4" applyFont="1" applyBorder="1" applyAlignment="1">
      <alignment horizontal="center" vertical="center"/>
    </xf>
    <xf numFmtId="0" fontId="99" fillId="2" borderId="103" xfId="8" applyFont="1" applyBorder="1" applyAlignment="1">
      <alignment horizontal="center" vertical="center"/>
    </xf>
    <xf numFmtId="43" fontId="87" fillId="0" borderId="0" xfId="8" applyNumberFormat="1" applyFont="1" applyFill="1" applyBorder="1" applyAlignment="1">
      <alignment horizontal="right" vertical="center"/>
    </xf>
    <xf numFmtId="0" fontId="91" fillId="0" borderId="0" xfId="8" applyFont="1" applyFill="1" applyBorder="1" applyAlignment="1">
      <alignment horizontal="center" vertical="center"/>
    </xf>
    <xf numFmtId="43" fontId="91" fillId="0" borderId="0" xfId="8" applyNumberFormat="1" applyFont="1" applyFill="1" applyBorder="1" applyAlignment="1">
      <alignment horizontal="center" vertical="center"/>
    </xf>
    <xf numFmtId="0" fontId="91" fillId="0" borderId="0" xfId="8" applyFont="1" applyFill="1" applyBorder="1" applyAlignment="1">
      <alignment vertical="center"/>
    </xf>
    <xf numFmtId="0" fontId="88" fillId="0" borderId="90" xfId="6" applyFont="1" applyFill="1" applyBorder="1" applyAlignment="1">
      <alignment vertical="center"/>
    </xf>
    <xf numFmtId="0" fontId="88" fillId="0" borderId="96" xfId="6" applyFont="1" applyFill="1" applyBorder="1" applyAlignment="1">
      <alignment horizontal="left" vertical="center"/>
    </xf>
    <xf numFmtId="43" fontId="88" fillId="0" borderId="96" xfId="6" applyNumberFormat="1" applyFont="1" applyFill="1" applyBorder="1" applyAlignment="1">
      <alignment horizontal="left" vertical="center"/>
    </xf>
    <xf numFmtId="0" fontId="89" fillId="0" borderId="96" xfId="7" applyFont="1" applyFill="1" applyBorder="1" applyAlignment="1">
      <alignment horizontal="left" vertical="center"/>
    </xf>
    <xf numFmtId="0" fontId="89" fillId="0" borderId="96" xfId="4" applyFont="1" applyFill="1" applyBorder="1" applyAlignment="1">
      <alignment vertical="center"/>
    </xf>
    <xf numFmtId="0" fontId="88" fillId="0" borderId="98" xfId="6" applyFont="1" applyFill="1" applyBorder="1" applyAlignment="1">
      <alignment vertical="center"/>
    </xf>
    <xf numFmtId="0" fontId="100" fillId="0" borderId="99" xfId="0" applyFont="1" applyBorder="1" applyAlignment="1"/>
    <xf numFmtId="0" fontId="92" fillId="2" borderId="99" xfId="8" applyFont="1" applyBorder="1" applyAlignment="1">
      <alignment vertical="center"/>
    </xf>
    <xf numFmtId="0" fontId="88" fillId="2" borderId="99" xfId="8" applyFont="1" applyBorder="1" applyAlignment="1">
      <alignment vertical="center"/>
    </xf>
    <xf numFmtId="0" fontId="88" fillId="0" borderId="99" xfId="6" applyFont="1" applyFill="1" applyBorder="1" applyAlignment="1">
      <alignment horizontal="left" vertical="center"/>
    </xf>
    <xf numFmtId="0" fontId="89" fillId="0" borderId="99" xfId="7" applyFont="1" applyFill="1" applyBorder="1" applyAlignment="1">
      <alignment horizontal="left" vertical="center"/>
    </xf>
    <xf numFmtId="0" fontId="89" fillId="0" borderId="99" xfId="4" applyFont="1" applyFill="1" applyBorder="1" applyAlignment="1">
      <alignment vertical="center"/>
    </xf>
    <xf numFmtId="43" fontId="88" fillId="0" borderId="98" xfId="1" applyFont="1" applyFill="1" applyBorder="1" applyAlignment="1">
      <alignment horizontal="left" vertical="center"/>
    </xf>
    <xf numFmtId="43" fontId="88" fillId="0" borderId="99" xfId="1" applyFont="1" applyFill="1" applyBorder="1" applyAlignment="1">
      <alignment horizontal="left" vertical="center"/>
    </xf>
    <xf numFmtId="43" fontId="99" fillId="0" borderId="99" xfId="1" applyFont="1" applyFill="1" applyBorder="1" applyAlignment="1">
      <alignment horizontal="right" vertical="center"/>
    </xf>
    <xf numFmtId="43" fontId="99" fillId="0" borderId="100" xfId="1" applyFont="1" applyFill="1" applyBorder="1" applyAlignment="1">
      <alignment horizontal="right" vertical="center"/>
    </xf>
    <xf numFmtId="0" fontId="88" fillId="0" borderId="92" xfId="6" applyFont="1" applyFill="1" applyBorder="1" applyAlignment="1">
      <alignment vertical="center"/>
    </xf>
    <xf numFmtId="0" fontId="88" fillId="0" borderId="0" xfId="6" applyFont="1" applyFill="1" applyBorder="1" applyAlignment="1">
      <alignment horizontal="left" vertical="center"/>
    </xf>
    <xf numFmtId="0" fontId="88" fillId="0" borderId="17" xfId="6" applyFont="1" applyFill="1" applyBorder="1" applyAlignment="1">
      <alignment horizontal="left" vertical="center"/>
    </xf>
    <xf numFmtId="43" fontId="88" fillId="0" borderId="17" xfId="6" applyNumberFormat="1" applyFont="1" applyFill="1" applyBorder="1" applyAlignment="1">
      <alignment horizontal="left" vertical="center"/>
    </xf>
    <xf numFmtId="0" fontId="89" fillId="0" borderId="17" xfId="7" applyFont="1" applyFill="1" applyBorder="1" applyAlignment="1">
      <alignment horizontal="left" vertical="center"/>
    </xf>
    <xf numFmtId="0" fontId="89" fillId="0" borderId="17" xfId="4" applyFont="1" applyFill="1" applyBorder="1" applyAlignment="1">
      <alignment vertical="center"/>
    </xf>
    <xf numFmtId="43" fontId="88" fillId="0" borderId="107" xfId="1" applyFont="1" applyFill="1" applyBorder="1" applyAlignment="1">
      <alignment horizontal="left" vertical="center"/>
    </xf>
    <xf numFmtId="43" fontId="88" fillId="0" borderId="17" xfId="1" applyFont="1" applyFill="1" applyBorder="1" applyAlignment="1">
      <alignment horizontal="left" vertical="center"/>
    </xf>
    <xf numFmtId="43" fontId="99" fillId="0" borderId="17" xfId="1" applyFont="1" applyFill="1" applyBorder="1" applyAlignment="1">
      <alignment horizontal="right" vertical="center"/>
    </xf>
    <xf numFmtId="43" fontId="99" fillId="0" borderId="105" xfId="1" applyFont="1" applyFill="1" applyBorder="1" applyAlignment="1">
      <alignment horizontal="right" vertical="center"/>
    </xf>
    <xf numFmtId="0" fontId="88" fillId="0" borderId="106" xfId="6" applyFont="1" applyFill="1" applyBorder="1" applyAlignment="1">
      <alignment vertical="center"/>
    </xf>
    <xf numFmtId="0" fontId="88" fillId="2" borderId="19" xfId="8" applyFont="1" applyBorder="1" applyAlignment="1">
      <alignment vertical="center"/>
    </xf>
    <xf numFmtId="0" fontId="88" fillId="0" borderId="0" xfId="6" applyFont="1" applyFill="1" applyBorder="1" applyAlignment="1">
      <alignment vertical="center"/>
    </xf>
    <xf numFmtId="43" fontId="88" fillId="0" borderId="0" xfId="6" applyNumberFormat="1" applyFont="1" applyFill="1" applyBorder="1" applyAlignment="1">
      <alignment vertical="center"/>
    </xf>
    <xf numFmtId="43" fontId="88" fillId="0" borderId="0" xfId="1" applyFont="1" applyFill="1" applyBorder="1" applyAlignment="1">
      <alignment vertical="center"/>
    </xf>
    <xf numFmtId="0" fontId="88" fillId="0" borderId="17" xfId="6" applyFont="1" applyFill="1" applyBorder="1" applyAlignment="1">
      <alignment vertical="center"/>
    </xf>
    <xf numFmtId="0" fontId="88" fillId="2" borderId="108" xfId="8" applyFont="1" applyBorder="1" applyAlignment="1">
      <alignment vertical="center"/>
    </xf>
    <xf numFmtId="0" fontId="99" fillId="2" borderId="16" xfId="8" applyFont="1" applyBorder="1" applyAlignment="1">
      <alignment vertical="center"/>
    </xf>
    <xf numFmtId="0" fontId="88" fillId="2" borderId="16" xfId="8" applyFont="1" applyBorder="1" applyAlignment="1">
      <alignment vertical="center" wrapText="1"/>
    </xf>
    <xf numFmtId="43" fontId="88" fillId="2" borderId="19" xfId="1" applyFont="1" applyFill="1" applyBorder="1" applyAlignment="1">
      <alignment vertical="center"/>
    </xf>
    <xf numFmtId="43" fontId="89" fillId="2" borderId="96" xfId="4" applyNumberFormat="1" applyFont="1" applyBorder="1" applyAlignment="1">
      <alignment vertical="center"/>
    </xf>
    <xf numFmtId="0" fontId="88" fillId="6" borderId="57" xfId="6" applyFont="1" applyFill="1" applyBorder="1">
      <alignment horizontal="left" vertical="center"/>
    </xf>
    <xf numFmtId="0" fontId="88" fillId="6" borderId="0" xfId="6" applyFont="1" applyFill="1" applyBorder="1">
      <alignment horizontal="left" vertical="center"/>
    </xf>
    <xf numFmtId="43" fontId="88" fillId="6" borderId="0" xfId="6" applyNumberFormat="1" applyFont="1" applyFill="1" applyBorder="1">
      <alignment horizontal="left" vertical="center"/>
    </xf>
    <xf numFmtId="0" fontId="89" fillId="6" borderId="0" xfId="7" applyFont="1" applyFill="1" applyBorder="1">
      <alignment horizontal="left" vertical="center"/>
    </xf>
    <xf numFmtId="0" fontId="89" fillId="6" borderId="0" xfId="4" applyFont="1" applyFill="1" applyBorder="1" applyAlignment="1">
      <alignment vertical="center"/>
    </xf>
    <xf numFmtId="0" fontId="88" fillId="6" borderId="0" xfId="8" applyFont="1" applyFill="1" applyBorder="1">
      <alignment horizontal="left" vertical="center"/>
    </xf>
    <xf numFmtId="0" fontId="89" fillId="6" borderId="58" xfId="9" applyFont="1" applyFill="1" applyBorder="1">
      <alignment horizontal="right" vertical="center"/>
    </xf>
    <xf numFmtId="0" fontId="88" fillId="6" borderId="90" xfId="6" applyFont="1" applyFill="1" applyBorder="1" applyAlignment="1">
      <alignment horizontal="center" vertical="center"/>
    </xf>
    <xf numFmtId="0" fontId="88" fillId="6" borderId="90" xfId="4" applyFont="1" applyFill="1" applyBorder="1" applyAlignment="1">
      <alignment horizontal="center" vertical="center"/>
    </xf>
    <xf numFmtId="0" fontId="101" fillId="0" borderId="92" xfId="0" applyFont="1" applyFill="1" applyBorder="1" applyAlignment="1"/>
    <xf numFmtId="0" fontId="102" fillId="0" borderId="0" xfId="0" applyFont="1" applyBorder="1" applyAlignment="1"/>
    <xf numFmtId="0" fontId="88" fillId="0" borderId="0" xfId="8" applyFont="1" applyFill="1" applyBorder="1" applyAlignment="1">
      <alignment vertical="center"/>
    </xf>
    <xf numFmtId="164" fontId="99" fillId="2" borderId="96" xfId="9" quotePrefix="1" applyNumberFormat="1" applyFont="1" applyBorder="1" applyAlignment="1">
      <alignment vertical="center"/>
    </xf>
    <xf numFmtId="164" fontId="99" fillId="2" borderId="0" xfId="9" applyNumberFormat="1" applyFont="1" applyBorder="1" applyAlignment="1">
      <alignment vertical="center"/>
    </xf>
    <xf numFmtId="0" fontId="6" fillId="4" borderId="41" xfId="6" applyFont="1" applyFill="1" applyBorder="1" applyAlignment="1">
      <alignment horizontal="center" vertical="center"/>
    </xf>
    <xf numFmtId="0" fontId="7" fillId="2" borderId="112" xfId="4" applyFont="1" applyBorder="1" applyAlignment="1">
      <alignment vertical="center"/>
    </xf>
    <xf numFmtId="0" fontId="9" fillId="2" borderId="37" xfId="4" applyFont="1" applyBorder="1" applyAlignment="1">
      <alignment horizontal="center" vertical="center"/>
    </xf>
    <xf numFmtId="0" fontId="10" fillId="2" borderId="37" xfId="4" applyFont="1" applyBorder="1" applyAlignment="1">
      <alignment horizontal="center" vertical="center"/>
    </xf>
    <xf numFmtId="0" fontId="9" fillId="2" borderId="45" xfId="4" applyFont="1" applyBorder="1" applyAlignment="1">
      <alignment horizontal="center" vertical="center"/>
    </xf>
    <xf numFmtId="0" fontId="6" fillId="4" borderId="43" xfId="4" applyFont="1" applyFill="1" applyBorder="1" applyAlignment="1">
      <alignment horizontal="center" vertical="center" wrapText="1"/>
    </xf>
    <xf numFmtId="0" fontId="6" fillId="2" borderId="111" xfId="8" applyFont="1" applyBorder="1">
      <alignment horizontal="left" vertical="center"/>
    </xf>
    <xf numFmtId="0" fontId="9" fillId="2" borderId="38" xfId="8" applyFont="1" applyBorder="1" applyAlignment="1">
      <alignment horizontal="center" vertical="center"/>
    </xf>
    <xf numFmtId="0" fontId="10" fillId="2" borderId="38" xfId="8" applyFont="1" applyBorder="1" applyAlignment="1">
      <alignment horizontal="center" vertical="center"/>
    </xf>
    <xf numFmtId="0" fontId="9" fillId="2" borderId="48" xfId="8" applyFont="1" applyBorder="1" applyAlignment="1">
      <alignment horizontal="center" vertical="center"/>
    </xf>
    <xf numFmtId="0" fontId="6" fillId="4" borderId="41" xfId="4" applyFont="1" applyFill="1" applyBorder="1" applyAlignment="1">
      <alignment horizontal="center" vertical="center"/>
    </xf>
    <xf numFmtId="164" fontId="103" fillId="2" borderId="5" xfId="9" applyNumberFormat="1" applyFont="1" applyBorder="1" applyAlignment="1">
      <alignment vertical="center"/>
    </xf>
    <xf numFmtId="0" fontId="9" fillId="0" borderId="0" xfId="2" applyFont="1" applyAlignment="1">
      <alignment vertical="center" wrapText="1"/>
    </xf>
    <xf numFmtId="0" fontId="6" fillId="3" borderId="57" xfId="6" applyFont="1" applyFill="1" applyBorder="1" applyAlignment="1">
      <alignment horizontal="left" vertical="center"/>
    </xf>
    <xf numFmtId="0" fontId="6" fillId="3" borderId="0" xfId="6" applyFont="1" applyFill="1" applyBorder="1" applyAlignment="1">
      <alignment horizontal="left" vertical="center"/>
    </xf>
    <xf numFmtId="43" fontId="6" fillId="3" borderId="0" xfId="6" applyNumberFormat="1" applyFont="1" applyFill="1" applyBorder="1" applyAlignment="1">
      <alignment horizontal="left" vertical="center"/>
    </xf>
    <xf numFmtId="0" fontId="7" fillId="3" borderId="0" xfId="7" applyFont="1" applyFill="1" applyBorder="1" applyAlignment="1">
      <alignment horizontal="left" vertical="center"/>
    </xf>
    <xf numFmtId="0" fontId="6" fillId="3" borderId="60" xfId="6" applyFont="1" applyFill="1" applyBorder="1" applyAlignment="1">
      <alignment horizontal="left" vertical="center"/>
    </xf>
    <xf numFmtId="0" fontId="6" fillId="3" borderId="7" xfId="6" applyFont="1" applyFill="1" applyBorder="1" applyAlignment="1">
      <alignment horizontal="left" vertical="center"/>
    </xf>
    <xf numFmtId="43" fontId="6" fillId="3" borderId="31" xfId="6" applyNumberFormat="1" applyFont="1" applyFill="1" applyBorder="1" applyAlignment="1">
      <alignment horizontal="left" vertical="center"/>
    </xf>
    <xf numFmtId="0" fontId="7" fillId="3" borderId="7" xfId="7" applyFont="1" applyFill="1" applyBorder="1" applyAlignment="1">
      <alignment horizontal="left" vertical="center"/>
    </xf>
    <xf numFmtId="0" fontId="6" fillId="3" borderId="2" xfId="8" applyFont="1" applyFill="1" applyBorder="1" applyAlignment="1">
      <alignment horizontal="left" vertical="center"/>
    </xf>
    <xf numFmtId="0" fontId="6" fillId="4" borderId="43" xfId="4" applyFont="1" applyFill="1" applyBorder="1" applyAlignment="1">
      <alignment horizontal="center" vertical="center"/>
    </xf>
    <xf numFmtId="0" fontId="6" fillId="2" borderId="111" xfId="8" applyFont="1" applyBorder="1" applyAlignment="1">
      <alignment horizontal="left" vertical="center"/>
    </xf>
    <xf numFmtId="0" fontId="22" fillId="0" borderId="57" xfId="0" applyFont="1" applyBorder="1" applyAlignment="1"/>
    <xf numFmtId="0" fontId="7" fillId="0" borderId="16" xfId="7" applyFont="1" applyFill="1" applyBorder="1" applyAlignment="1">
      <alignment horizontal="left" vertical="center"/>
    </xf>
    <xf numFmtId="0" fontId="105" fillId="0" borderId="0" xfId="0" applyFont="1" applyBorder="1" applyAlignment="1"/>
    <xf numFmtId="0" fontId="105" fillId="0" borderId="32" xfId="0" applyFont="1" applyBorder="1" applyAlignment="1"/>
    <xf numFmtId="0" fontId="106" fillId="0" borderId="31" xfId="0" applyFont="1" applyFill="1" applyBorder="1" applyAlignment="1"/>
    <xf numFmtId="0" fontId="106" fillId="0" borderId="47" xfId="0" applyFont="1" applyFill="1" applyBorder="1" applyAlignment="1"/>
    <xf numFmtId="0" fontId="107" fillId="0" borderId="57" xfId="0" applyFont="1" applyBorder="1" applyAlignment="1"/>
    <xf numFmtId="0" fontId="69" fillId="0" borderId="57" xfId="0" applyFont="1" applyBorder="1" applyAlignment="1"/>
    <xf numFmtId="43" fontId="6" fillId="0" borderId="16" xfId="6" applyNumberFormat="1" applyFont="1" applyFill="1" applyBorder="1" applyAlignment="1">
      <alignment horizontal="left" vertical="center"/>
    </xf>
    <xf numFmtId="0" fontId="22" fillId="0" borderId="57" xfId="0" applyFont="1" applyFill="1" applyBorder="1" applyAlignment="1"/>
    <xf numFmtId="43" fontId="9" fillId="2" borderId="0" xfId="8" applyNumberFormat="1" applyFont="1" applyBorder="1" applyAlignment="1">
      <alignment vertical="center"/>
    </xf>
    <xf numFmtId="0" fontId="5" fillId="0" borderId="57" xfId="2" applyFont="1" applyBorder="1" applyAlignment="1">
      <alignment vertical="center"/>
    </xf>
    <xf numFmtId="0" fontId="6" fillId="0" borderId="75" xfId="6" applyFont="1" applyFill="1" applyBorder="1" applyAlignment="1">
      <alignment vertical="center"/>
    </xf>
    <xf numFmtId="0" fontId="53" fillId="0" borderId="57" xfId="0" applyFont="1" applyFill="1" applyBorder="1" applyAlignment="1">
      <alignment wrapText="1"/>
    </xf>
    <xf numFmtId="0" fontId="49" fillId="0" borderId="16" xfId="0" applyFont="1" applyFill="1" applyBorder="1" applyAlignment="1">
      <alignment wrapText="1"/>
    </xf>
    <xf numFmtId="0" fontId="5" fillId="2" borderId="57" xfId="8" applyFont="1" applyBorder="1" applyAlignment="1">
      <alignment horizontal="left" vertical="center"/>
    </xf>
    <xf numFmtId="0" fontId="60" fillId="0" borderId="57" xfId="0" applyFont="1" applyBorder="1" applyAlignment="1">
      <alignment wrapText="1"/>
    </xf>
    <xf numFmtId="0" fontId="7" fillId="2" borderId="0" xfId="8" applyFont="1" applyBorder="1" applyAlignment="1">
      <alignment horizontal="center" vertical="center"/>
    </xf>
    <xf numFmtId="43" fontId="108" fillId="0" borderId="0" xfId="0" applyNumberFormat="1" applyFont="1" applyBorder="1" applyAlignment="1"/>
    <xf numFmtId="43" fontId="7" fillId="2" borderId="0" xfId="8" applyNumberFormat="1" applyFont="1" applyBorder="1" applyAlignment="1">
      <alignment vertical="center"/>
    </xf>
    <xf numFmtId="0" fontId="109" fillId="0" borderId="57" xfId="0" quotePrefix="1" applyFont="1" applyBorder="1" applyAlignment="1"/>
    <xf numFmtId="0" fontId="4" fillId="2" borderId="57" xfId="5" applyFont="1" applyBorder="1" applyAlignment="1">
      <alignment horizontal="left" vertical="center"/>
    </xf>
    <xf numFmtId="0" fontId="4" fillId="2" borderId="0" xfId="5" applyFont="1" applyBorder="1" applyAlignment="1">
      <alignment horizontal="left" vertical="center"/>
    </xf>
    <xf numFmtId="43" fontId="4" fillId="2" borderId="0" xfId="5" applyNumberFormat="1" applyFont="1" applyBorder="1" applyAlignment="1">
      <alignment horizontal="left" vertical="center"/>
    </xf>
    <xf numFmtId="0" fontId="5" fillId="2" borderId="0" xfId="4" applyFont="1" applyBorder="1" applyAlignment="1">
      <alignment vertical="center"/>
    </xf>
    <xf numFmtId="0" fontId="41" fillId="0" borderId="31" xfId="0" applyFont="1" applyBorder="1"/>
    <xf numFmtId="0" fontId="6" fillId="0" borderId="16" xfId="6" applyFont="1" applyFill="1">
      <alignment horizontal="left" vertical="center"/>
    </xf>
    <xf numFmtId="43" fontId="5" fillId="2" borderId="0" xfId="8" applyNumberFormat="1" applyFont="1" applyAlignment="1">
      <alignment vertical="center"/>
    </xf>
    <xf numFmtId="43" fontId="8" fillId="2" borderId="0" xfId="8" applyNumberFormat="1" applyFont="1" applyAlignment="1">
      <alignment vertical="center"/>
    </xf>
    <xf numFmtId="0" fontId="105" fillId="0" borderId="0" xfId="0" applyFont="1"/>
    <xf numFmtId="43" fontId="104" fillId="0" borderId="0" xfId="0" applyNumberFormat="1" applyFont="1"/>
    <xf numFmtId="0" fontId="30" fillId="0" borderId="0" xfId="0" applyFont="1" applyAlignment="1">
      <alignment horizontal="center"/>
    </xf>
    <xf numFmtId="0" fontId="37" fillId="2" borderId="0" xfId="8" applyFont="1" applyAlignment="1">
      <alignment vertical="center"/>
    </xf>
    <xf numFmtId="43" fontId="7" fillId="0" borderId="0" xfId="8" applyNumberFormat="1" applyFont="1" applyFill="1">
      <alignment horizontal="left" vertical="center"/>
    </xf>
    <xf numFmtId="43" fontId="4" fillId="2" borderId="7" xfId="5" applyNumberFormat="1" applyBorder="1" applyAlignment="1">
      <alignment horizontal="left" vertical="center"/>
    </xf>
    <xf numFmtId="43" fontId="6" fillId="2" borderId="0" xfId="8" applyNumberFormat="1" applyFont="1">
      <alignment horizontal="left" vertical="center"/>
    </xf>
    <xf numFmtId="43" fontId="9" fillId="2" borderId="0" xfId="8" applyNumberFormat="1" applyFont="1" applyAlignment="1">
      <alignment vertical="center"/>
    </xf>
    <xf numFmtId="43" fontId="9" fillId="2" borderId="0" xfId="8" applyNumberFormat="1" applyFont="1" applyAlignment="1">
      <alignment horizontal="center" vertical="center"/>
    </xf>
    <xf numFmtId="0" fontId="34" fillId="2" borderId="57" xfId="8" applyFont="1" applyBorder="1">
      <alignment horizontal="left" vertical="center"/>
    </xf>
    <xf numFmtId="0" fontId="37" fillId="2" borderId="0" xfId="8" applyFont="1" applyAlignment="1">
      <alignment horizontal="center" vertical="center"/>
    </xf>
    <xf numFmtId="0" fontId="9" fillId="2" borderId="0" xfId="8" applyFont="1" applyAlignment="1">
      <alignment horizontal="center" vertical="center"/>
    </xf>
    <xf numFmtId="0" fontId="22" fillId="0" borderId="57" xfId="0" applyFont="1" applyBorder="1"/>
    <xf numFmtId="0" fontId="105" fillId="0" borderId="32" xfId="0" applyFont="1" applyBorder="1"/>
    <xf numFmtId="0" fontId="107" fillId="0" borderId="57" xfId="0" applyFont="1" applyBorder="1"/>
    <xf numFmtId="0" fontId="38" fillId="0" borderId="57" xfId="0" applyFont="1" applyBorder="1"/>
    <xf numFmtId="0" fontId="10" fillId="2" borderId="0" xfId="8" applyFont="1" applyAlignment="1">
      <alignment horizontal="center" vertical="center"/>
    </xf>
    <xf numFmtId="43" fontId="10" fillId="2" borderId="0" xfId="8" applyNumberFormat="1" applyFont="1" applyAlignment="1">
      <alignment horizontal="center" vertical="center"/>
    </xf>
    <xf numFmtId="0" fontId="10" fillId="2" borderId="0" xfId="8" applyFont="1" applyAlignment="1">
      <alignment vertical="center"/>
    </xf>
    <xf numFmtId="0" fontId="106" fillId="0" borderId="31" xfId="0" applyFont="1" applyBorder="1"/>
    <xf numFmtId="0" fontId="106" fillId="0" borderId="47" xfId="0" applyFont="1" applyBorder="1"/>
    <xf numFmtId="0" fontId="110" fillId="0" borderId="0" xfId="0" applyFont="1" applyFill="1" applyAlignment="1">
      <alignment vertical="center"/>
    </xf>
    <xf numFmtId="43" fontId="20" fillId="0" borderId="0" xfId="1" applyFont="1" applyFill="1"/>
    <xf numFmtId="0" fontId="112" fillId="0" borderId="0" xfId="0" applyFont="1" applyFill="1"/>
    <xf numFmtId="0" fontId="8" fillId="2" borderId="16" xfId="8" applyFont="1" applyBorder="1" applyAlignment="1">
      <alignment vertical="center"/>
    </xf>
    <xf numFmtId="0" fontId="20" fillId="0" borderId="0" xfId="0" applyFont="1" applyFill="1"/>
    <xf numFmtId="0" fontId="113" fillId="0" borderId="81" xfId="0" applyFont="1" applyBorder="1" applyAlignment="1">
      <alignment vertical="center"/>
    </xf>
    <xf numFmtId="0" fontId="114" fillId="0" borderId="81" xfId="0" applyFont="1" applyFill="1" applyBorder="1" applyAlignment="1">
      <alignment vertical="center"/>
    </xf>
    <xf numFmtId="0" fontId="5" fillId="2" borderId="57" xfId="8" applyFont="1" applyBorder="1" applyAlignment="1">
      <alignment vertical="center"/>
    </xf>
    <xf numFmtId="0" fontId="30" fillId="0" borderId="0" xfId="0" applyFont="1" applyBorder="1" applyAlignment="1">
      <alignment horizontal="center"/>
    </xf>
    <xf numFmtId="43" fontId="104" fillId="0" borderId="0" xfId="0" applyNumberFormat="1" applyFont="1" applyBorder="1"/>
    <xf numFmtId="0" fontId="105" fillId="0" borderId="0" xfId="0" applyFont="1" applyBorder="1"/>
    <xf numFmtId="0" fontId="67" fillId="0" borderId="57" xfId="0" applyFont="1" applyBorder="1"/>
    <xf numFmtId="0" fontId="9" fillId="0" borderId="38" xfId="2" applyFont="1" applyBorder="1" applyAlignment="1">
      <alignment vertical="center"/>
    </xf>
    <xf numFmtId="0" fontId="7" fillId="2" borderId="41" xfId="4" applyFont="1" applyBorder="1" applyAlignment="1">
      <alignment vertical="center"/>
    </xf>
    <xf numFmtId="0" fontId="9" fillId="0" borderId="37" xfId="2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6" fillId="2" borderId="44" xfId="8" applyFont="1" applyBorder="1">
      <alignment horizontal="left" vertical="center"/>
    </xf>
    <xf numFmtId="0" fontId="9" fillId="2" borderId="32" xfId="8" applyFont="1" applyBorder="1" applyAlignment="1">
      <alignment horizontal="center" vertical="center"/>
    </xf>
    <xf numFmtId="0" fontId="10" fillId="2" borderId="32" xfId="8" applyFont="1" applyBorder="1" applyAlignment="1">
      <alignment horizontal="center" vertical="center"/>
    </xf>
    <xf numFmtId="0" fontId="9" fillId="2" borderId="49" xfId="8" applyFont="1" applyBorder="1" applyAlignment="1">
      <alignment horizontal="center" vertical="center"/>
    </xf>
    <xf numFmtId="43" fontId="6" fillId="2" borderId="45" xfId="8" applyNumberFormat="1" applyFont="1" applyBorder="1">
      <alignment horizontal="left" vertical="center"/>
    </xf>
    <xf numFmtId="43" fontId="6" fillId="3" borderId="30" xfId="6" applyNumberFormat="1" applyFont="1" applyFill="1" applyBorder="1">
      <alignment horizontal="left" vertical="center"/>
    </xf>
    <xf numFmtId="0" fontId="115" fillId="0" borderId="46" xfId="0" applyFont="1" applyFill="1" applyBorder="1" applyAlignment="1">
      <alignment vertical="center"/>
    </xf>
    <xf numFmtId="0" fontId="112" fillId="0" borderId="0" xfId="0" applyFont="1"/>
    <xf numFmtId="0" fontId="111" fillId="0" borderId="37" xfId="0" applyFont="1" applyFill="1" applyBorder="1" applyAlignment="1"/>
    <xf numFmtId="0" fontId="55" fillId="0" borderId="0" xfId="0" applyFont="1"/>
    <xf numFmtId="43" fontId="6" fillId="0" borderId="0" xfId="1" applyFont="1" applyAlignment="1">
      <alignment horizontal="right" vertical="center"/>
    </xf>
    <xf numFmtId="43" fontId="7" fillId="0" borderId="0" xfId="1" applyFont="1" applyAlignment="1">
      <alignment horizontal="right" vertical="center"/>
    </xf>
    <xf numFmtId="0" fontId="7" fillId="0" borderId="0" xfId="8" applyFont="1" applyFill="1" applyAlignment="1">
      <alignment horizontal="left" vertical="center"/>
    </xf>
    <xf numFmtId="0" fontId="9" fillId="2" borderId="0" xfId="4" applyFont="1" applyBorder="1" applyAlignment="1">
      <alignment horizontal="center" vertical="center"/>
    </xf>
    <xf numFmtId="0" fontId="5" fillId="2" borderId="0" xfId="4" applyFont="1" applyBorder="1" applyAlignment="1">
      <alignment horizontal="center" vertical="center"/>
    </xf>
    <xf numFmtId="0" fontId="7" fillId="2" borderId="0" xfId="4" applyFont="1" applyBorder="1" applyAlignment="1">
      <alignment horizontal="center" vertical="center"/>
    </xf>
    <xf numFmtId="43" fontId="6" fillId="0" borderId="0" xfId="1" applyFont="1" applyBorder="1" applyAlignment="1">
      <alignment horizontal="left" vertical="center"/>
    </xf>
    <xf numFmtId="43" fontId="6" fillId="3" borderId="6" xfId="1" applyFont="1" applyFill="1" applyBorder="1" applyAlignment="1">
      <alignment horizontal="left" vertical="center"/>
    </xf>
    <xf numFmtId="43" fontId="6" fillId="3" borderId="7" xfId="1" applyFont="1" applyFill="1" applyBorder="1" applyAlignment="1">
      <alignment horizontal="left" vertical="center"/>
    </xf>
    <xf numFmtId="165" fontId="9" fillId="2" borderId="0" xfId="1" applyNumberFormat="1" applyFont="1" applyFill="1" applyBorder="1" applyAlignment="1">
      <alignment horizontal="center" vertical="center"/>
    </xf>
    <xf numFmtId="0" fontId="6" fillId="2" borderId="0" xfId="8" applyFont="1" applyBorder="1" applyAlignment="1">
      <alignment horizontal="left" vertical="center"/>
    </xf>
    <xf numFmtId="43" fontId="5" fillId="2" borderId="0" xfId="1" applyFont="1" applyFill="1" applyBorder="1" applyAlignment="1">
      <alignment horizontal="center" vertical="center"/>
    </xf>
    <xf numFmtId="43" fontId="5" fillId="2" borderId="11" xfId="1" applyFont="1" applyFill="1" applyBorder="1" applyAlignment="1">
      <alignment horizontal="center" vertical="center"/>
    </xf>
    <xf numFmtId="0" fontId="6" fillId="2" borderId="6" xfId="8" applyFont="1" applyBorder="1" applyAlignment="1">
      <alignment horizontal="left" vertical="center"/>
    </xf>
    <xf numFmtId="0" fontId="7" fillId="2" borderId="11" xfId="4" applyFont="1" applyBorder="1" applyAlignment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7" xfId="1" applyFont="1" applyFill="1" applyBorder="1" applyAlignment="1">
      <alignment horizontal="left" vertical="center"/>
    </xf>
    <xf numFmtId="43" fontId="10" fillId="0" borderId="7" xfId="1" applyFont="1" applyFill="1" applyBorder="1" applyAlignment="1">
      <alignment horizontal="right" vertical="center"/>
    </xf>
    <xf numFmtId="43" fontId="10" fillId="0" borderId="8" xfId="1" applyFont="1" applyFill="1" applyBorder="1" applyAlignment="1">
      <alignment horizontal="right" vertical="center"/>
    </xf>
    <xf numFmtId="43" fontId="6" fillId="0" borderId="0" xfId="1" applyFont="1" applyFill="1" applyBorder="1" applyAlignment="1">
      <alignment horizontal="left" vertical="center"/>
    </xf>
    <xf numFmtId="43" fontId="6" fillId="3" borderId="8" xfId="1" applyFont="1" applyFill="1" applyBorder="1" applyAlignment="1">
      <alignment horizontal="left" vertical="center"/>
    </xf>
    <xf numFmtId="43" fontId="6" fillId="0" borderId="0" xfId="1" applyFont="1" applyFill="1" applyBorder="1" applyAlignment="1">
      <alignment horizontal="right" vertical="center"/>
    </xf>
    <xf numFmtId="43" fontId="7" fillId="0" borderId="0" xfId="1" applyFont="1" applyFill="1" applyBorder="1" applyAlignment="1">
      <alignment horizontal="right" vertical="center"/>
    </xf>
    <xf numFmtId="0" fontId="6" fillId="2" borderId="60" xfId="8" applyFont="1" applyBorder="1" applyAlignment="1">
      <alignment horizontal="left" vertical="center"/>
    </xf>
    <xf numFmtId="0" fontId="7" fillId="2" borderId="5" xfId="4" applyFont="1" applyBorder="1" applyAlignment="1">
      <alignment horizontal="center" vertical="center"/>
    </xf>
    <xf numFmtId="0" fontId="7" fillId="0" borderId="0" xfId="8" applyFont="1" applyFill="1" applyBorder="1" applyAlignment="1">
      <alignment vertical="center"/>
    </xf>
    <xf numFmtId="0" fontId="7" fillId="0" borderId="32" xfId="8" applyFont="1" applyFill="1" applyBorder="1" applyAlignment="1">
      <alignment vertical="center"/>
    </xf>
    <xf numFmtId="43" fontId="9" fillId="2" borderId="58" xfId="1" applyNumberFormat="1" applyFont="1" applyFill="1" applyBorder="1" applyAlignment="1">
      <alignment horizontal="center" vertical="center"/>
    </xf>
    <xf numFmtId="0" fontId="89" fillId="0" borderId="0" xfId="8" applyFont="1" applyFill="1" applyBorder="1" applyAlignment="1">
      <alignment vertical="center"/>
    </xf>
    <xf numFmtId="0" fontId="91" fillId="2" borderId="92" xfId="4" applyFont="1" applyBorder="1" applyAlignment="1">
      <alignment horizontal="center" vertical="center"/>
    </xf>
    <xf numFmtId="0" fontId="88" fillId="2" borderId="96" xfId="8" applyFont="1" applyBorder="1" applyAlignment="1">
      <alignment horizontal="left" vertical="center"/>
    </xf>
    <xf numFmtId="0" fontId="7" fillId="2" borderId="0" xfId="4" applyFont="1" applyAlignment="1">
      <alignment horizontal="center" vertical="center"/>
    </xf>
    <xf numFmtId="43" fontId="6" fillId="0" borderId="0" xfId="1" applyFont="1" applyAlignment="1">
      <alignment horizontal="left" vertical="center"/>
    </xf>
    <xf numFmtId="0" fontId="25" fillId="0" borderId="0" xfId="0" applyFont="1" applyBorder="1" applyAlignment="1">
      <alignment horizontal="center"/>
    </xf>
    <xf numFmtId="43" fontId="5" fillId="2" borderId="0" xfId="1" applyFont="1" applyFill="1" applyAlignment="1">
      <alignment horizontal="center" vertical="center"/>
    </xf>
    <xf numFmtId="43" fontId="5" fillId="2" borderId="58" xfId="1" applyFont="1" applyFill="1" applyBorder="1" applyAlignment="1">
      <alignment horizontal="center" vertical="center"/>
    </xf>
    <xf numFmtId="0" fontId="116" fillId="0" borderId="0" xfId="0" applyFont="1" applyFill="1" applyAlignment="1">
      <alignment vertical="center"/>
    </xf>
    <xf numFmtId="0" fontId="6" fillId="2" borderId="0" xfId="8" applyFont="1" applyBorder="1" applyAlignment="1">
      <alignment horizontal="left" vertical="center"/>
    </xf>
    <xf numFmtId="0" fontId="3" fillId="3" borderId="53" xfId="3" applyFont="1" applyFill="1" applyBorder="1" applyAlignment="1">
      <alignment horizontal="center" vertical="center"/>
    </xf>
    <xf numFmtId="0" fontId="3" fillId="3" borderId="52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3" fillId="3" borderId="0" xfId="3" applyFont="1" applyFill="1" applyBorder="1" applyAlignment="1">
      <alignment horizontal="center" vertical="center"/>
    </xf>
    <xf numFmtId="0" fontId="4" fillId="2" borderId="54" xfId="3" applyFont="1" applyBorder="1" applyAlignment="1">
      <alignment horizontal="center" vertical="center"/>
    </xf>
    <xf numFmtId="0" fontId="4" fillId="2" borderId="55" xfId="3" applyFont="1" applyBorder="1" applyAlignment="1">
      <alignment horizontal="center" vertical="center"/>
    </xf>
    <xf numFmtId="0" fontId="4" fillId="2" borderId="56" xfId="3" applyFont="1" applyBorder="1" applyAlignment="1">
      <alignment horizontal="center" vertical="center"/>
    </xf>
    <xf numFmtId="0" fontId="11" fillId="2" borderId="0" xfId="3" applyBorder="1" applyAlignment="1">
      <alignment horizontal="left" vertical="center"/>
    </xf>
    <xf numFmtId="0" fontId="11" fillId="2" borderId="58" xfId="3" applyBorder="1" applyAlignment="1">
      <alignment horizontal="left" vertical="center"/>
    </xf>
    <xf numFmtId="49" fontId="11" fillId="2" borderId="5" xfId="3" quotePrefix="1" applyNumberFormat="1" applyBorder="1" applyAlignment="1">
      <alignment horizontal="left" vertical="center"/>
    </xf>
    <xf numFmtId="49" fontId="11" fillId="2" borderId="5" xfId="3" applyNumberFormat="1" applyBorder="1" applyAlignment="1">
      <alignment horizontal="left" vertical="center"/>
    </xf>
    <xf numFmtId="49" fontId="11" fillId="2" borderId="59" xfId="3" applyNumberFormat="1" applyBorder="1" applyAlignment="1">
      <alignment horizontal="left" vertical="center"/>
    </xf>
    <xf numFmtId="43" fontId="9" fillId="2" borderId="0" xfId="1" applyFont="1" applyFill="1" applyBorder="1" applyAlignment="1">
      <alignment vertical="center"/>
    </xf>
    <xf numFmtId="43" fontId="9" fillId="2" borderId="58" xfId="1" applyFont="1" applyFill="1" applyBorder="1" applyAlignment="1">
      <alignment vertical="center"/>
    </xf>
    <xf numFmtId="0" fontId="6" fillId="2" borderId="82" xfId="8" applyFont="1" applyBorder="1" applyAlignment="1">
      <alignment horizontal="left" vertical="center"/>
    </xf>
    <xf numFmtId="0" fontId="6" fillId="2" borderId="35" xfId="8" applyFont="1" applyBorder="1" applyAlignment="1">
      <alignment horizontal="left" vertical="center"/>
    </xf>
    <xf numFmtId="0" fontId="5" fillId="2" borderId="5" xfId="8" applyFont="1" applyBorder="1" applyAlignment="1">
      <alignment horizontal="left" vertical="center"/>
    </xf>
    <xf numFmtId="0" fontId="5" fillId="2" borderId="50" xfId="8" applyFont="1" applyBorder="1" applyAlignment="1">
      <alignment horizontal="left" vertical="center"/>
    </xf>
    <xf numFmtId="0" fontId="6" fillId="2" borderId="29" xfId="8" applyFont="1" applyBorder="1" applyAlignment="1">
      <alignment horizontal="left" vertical="center"/>
    </xf>
    <xf numFmtId="0" fontId="6" fillId="2" borderId="7" xfId="8" applyFont="1" applyBorder="1" applyAlignment="1">
      <alignment horizontal="left" vertical="center"/>
    </xf>
    <xf numFmtId="0" fontId="6" fillId="2" borderId="7" xfId="8" applyFont="1" applyBorder="1" applyAlignment="1">
      <alignment horizontal="center" vertical="center"/>
    </xf>
    <xf numFmtId="0" fontId="6" fillId="2" borderId="27" xfId="8" applyFont="1" applyBorder="1" applyAlignment="1">
      <alignment horizontal="center" vertical="center"/>
    </xf>
    <xf numFmtId="0" fontId="6" fillId="2" borderId="28" xfId="8" applyFont="1" applyBorder="1" applyAlignment="1">
      <alignment horizontal="left" vertical="center"/>
    </xf>
    <xf numFmtId="0" fontId="6" fillId="2" borderId="5" xfId="8" applyFont="1" applyBorder="1" applyAlignment="1">
      <alignment horizontal="left" vertical="center"/>
    </xf>
    <xf numFmtId="0" fontId="8" fillId="4" borderId="76" xfId="6" applyFont="1" applyFill="1" applyBorder="1" applyAlignment="1">
      <alignment horizontal="center" vertical="center"/>
    </xf>
    <xf numFmtId="0" fontId="8" fillId="4" borderId="30" xfId="6" applyFont="1" applyFill="1" applyBorder="1" applyAlignment="1">
      <alignment horizontal="center" vertical="center"/>
    </xf>
    <xf numFmtId="0" fontId="6" fillId="4" borderId="0" xfId="8" applyFont="1" applyFill="1" applyBorder="1" applyAlignment="1">
      <alignment horizontal="center" vertical="center"/>
    </xf>
    <xf numFmtId="0" fontId="6" fillId="4" borderId="58" xfId="8" applyFont="1" applyFill="1" applyBorder="1" applyAlignment="1">
      <alignment horizontal="center" vertical="center"/>
    </xf>
    <xf numFmtId="0" fontId="6" fillId="2" borderId="2" xfId="8" applyFont="1" applyBorder="1" applyAlignment="1">
      <alignment horizontal="center" vertical="center"/>
    </xf>
    <xf numFmtId="0" fontId="6" fillId="2" borderId="63" xfId="8" applyFont="1" applyBorder="1" applyAlignment="1">
      <alignment horizontal="center" vertical="center"/>
    </xf>
    <xf numFmtId="165" fontId="9" fillId="2" borderId="0" xfId="1" applyNumberFormat="1" applyFont="1" applyFill="1" applyBorder="1" applyAlignment="1">
      <alignment horizontal="center" vertical="center"/>
    </xf>
    <xf numFmtId="165" fontId="9" fillId="2" borderId="58" xfId="1" applyNumberFormat="1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right" vertical="center"/>
    </xf>
    <xf numFmtId="43" fontId="9" fillId="2" borderId="58" xfId="1" applyFont="1" applyFill="1" applyBorder="1" applyAlignment="1">
      <alignment horizontal="right" vertical="center"/>
    </xf>
    <xf numFmtId="165" fontId="9" fillId="2" borderId="37" xfId="1" applyNumberFormat="1" applyFont="1" applyFill="1" applyBorder="1" applyAlignment="1">
      <alignment horizontal="center" vertical="center" wrapText="1"/>
    </xf>
    <xf numFmtId="165" fontId="9" fillId="2" borderId="0" xfId="1" applyNumberFormat="1" applyFont="1" applyFill="1" applyBorder="1" applyAlignment="1">
      <alignment horizontal="center" vertical="center" wrapText="1"/>
    </xf>
    <xf numFmtId="165" fontId="9" fillId="2" borderId="58" xfId="1" applyNumberFormat="1" applyFont="1" applyFill="1" applyBorder="1" applyAlignment="1">
      <alignment horizontal="center" vertical="center" wrapText="1"/>
    </xf>
    <xf numFmtId="0" fontId="7" fillId="2" borderId="1" xfId="4" applyFont="1" applyBorder="1" applyAlignment="1">
      <alignment horizontal="center" vertical="center"/>
    </xf>
    <xf numFmtId="0" fontId="7" fillId="2" borderId="2" xfId="4" applyFont="1" applyBorder="1" applyAlignment="1">
      <alignment horizontal="center" vertical="center"/>
    </xf>
    <xf numFmtId="0" fontId="7" fillId="2" borderId="13" xfId="4" applyFont="1" applyBorder="1" applyAlignment="1">
      <alignment horizontal="center" vertical="center"/>
    </xf>
    <xf numFmtId="0" fontId="7" fillId="2" borderId="0" xfId="4" applyFont="1" applyBorder="1" applyAlignment="1">
      <alignment horizontal="center" vertical="center"/>
    </xf>
    <xf numFmtId="0" fontId="7" fillId="2" borderId="58" xfId="4" applyFont="1" applyBorder="1" applyAlignment="1">
      <alignment horizontal="center" vertical="center"/>
    </xf>
    <xf numFmtId="0" fontId="7" fillId="2" borderId="30" xfId="4" applyFont="1" applyBorder="1" applyAlignment="1">
      <alignment horizontal="center" vertical="center"/>
    </xf>
    <xf numFmtId="0" fontId="7" fillId="2" borderId="77" xfId="4" applyFont="1" applyBorder="1" applyAlignment="1">
      <alignment horizontal="center" vertical="center"/>
    </xf>
    <xf numFmtId="43" fontId="9" fillId="2" borderId="0" xfId="1" applyFont="1" applyFill="1" applyBorder="1" applyAlignment="1">
      <alignment horizontal="center" vertical="center"/>
    </xf>
    <xf numFmtId="43" fontId="9" fillId="2" borderId="58" xfId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horizontal="center" vertical="center"/>
    </xf>
    <xf numFmtId="43" fontId="10" fillId="2" borderId="58" xfId="1" applyFont="1" applyFill="1" applyBorder="1" applyAlignment="1">
      <alignment horizontal="center" vertical="center"/>
    </xf>
    <xf numFmtId="43" fontId="6" fillId="0" borderId="4" xfId="1" applyFont="1" applyBorder="1" applyAlignment="1">
      <alignment horizontal="left" vertical="center"/>
    </xf>
    <xf numFmtId="43" fontId="6" fillId="0" borderId="5" xfId="1" applyFont="1" applyBorder="1" applyAlignment="1">
      <alignment horizontal="left" vertical="center"/>
    </xf>
    <xf numFmtId="43" fontId="10" fillId="0" borderId="35" xfId="1" applyFont="1" applyBorder="1" applyAlignment="1">
      <alignment horizontal="right" vertical="center"/>
    </xf>
    <xf numFmtId="43" fontId="10" fillId="0" borderId="74" xfId="1" applyFont="1" applyBorder="1" applyAlignment="1">
      <alignment horizontal="right" vertical="center"/>
    </xf>
    <xf numFmtId="43" fontId="6" fillId="0" borderId="0" xfId="1" applyFont="1" applyBorder="1" applyAlignment="1">
      <alignment horizontal="left" vertical="center"/>
    </xf>
    <xf numFmtId="43" fontId="9" fillId="0" borderId="0" xfId="1" applyFont="1" applyBorder="1" applyAlignment="1">
      <alignment horizontal="right" vertical="center"/>
    </xf>
    <xf numFmtId="43" fontId="9" fillId="0" borderId="58" xfId="1" applyFont="1" applyBorder="1" applyAlignment="1">
      <alignment horizontal="right" vertical="center"/>
    </xf>
    <xf numFmtId="43" fontId="6" fillId="2" borderId="7" xfId="1" applyFont="1" applyFill="1" applyBorder="1" applyAlignment="1">
      <alignment horizontal="left" vertical="center"/>
    </xf>
    <xf numFmtId="43" fontId="10" fillId="2" borderId="7" xfId="1" applyFont="1" applyFill="1" applyBorder="1" applyAlignment="1">
      <alignment horizontal="right" vertical="center"/>
    </xf>
    <xf numFmtId="43" fontId="10" fillId="2" borderId="61" xfId="1" applyFont="1" applyFill="1" applyBorder="1" applyAlignment="1">
      <alignment horizontal="right" vertical="center"/>
    </xf>
    <xf numFmtId="43" fontId="6" fillId="3" borderId="6" xfId="1" applyFont="1" applyFill="1" applyBorder="1" applyAlignment="1">
      <alignment horizontal="left" vertical="center"/>
    </xf>
    <xf numFmtId="43" fontId="6" fillId="3" borderId="7" xfId="1" applyFont="1" applyFill="1" applyBorder="1" applyAlignment="1">
      <alignment horizontal="left" vertical="center"/>
    </xf>
    <xf numFmtId="43" fontId="6" fillId="3" borderId="61" xfId="1" applyFont="1" applyFill="1" applyBorder="1" applyAlignment="1">
      <alignment horizontal="left" vertical="center"/>
    </xf>
    <xf numFmtId="0" fontId="9" fillId="2" borderId="64" xfId="4" applyFont="1" applyBorder="1" applyAlignment="1">
      <alignment horizontal="center" vertical="center"/>
    </xf>
    <xf numFmtId="0" fontId="9" fillId="2" borderId="12" xfId="4" applyFont="1" applyBorder="1" applyAlignment="1">
      <alignment horizontal="center" vertical="center"/>
    </xf>
    <xf numFmtId="0" fontId="9" fillId="2" borderId="0" xfId="4" applyFont="1" applyBorder="1" applyAlignment="1">
      <alignment horizontal="center" vertical="center"/>
    </xf>
    <xf numFmtId="0" fontId="9" fillId="2" borderId="11" xfId="4" applyFont="1" applyBorder="1" applyAlignment="1">
      <alignment horizontal="center" vertical="center"/>
    </xf>
    <xf numFmtId="0" fontId="5" fillId="2" borderId="3" xfId="4" applyFont="1" applyBorder="1" applyAlignment="1">
      <alignment horizontal="center" vertical="center"/>
    </xf>
    <xf numFmtId="0" fontId="5" fillId="2" borderId="0" xfId="4" applyFont="1" applyBorder="1" applyAlignment="1">
      <alignment horizontal="center" vertical="center"/>
    </xf>
    <xf numFmtId="0" fontId="5" fillId="2" borderId="11" xfId="4" applyFont="1" applyBorder="1" applyAlignment="1">
      <alignment horizontal="center" vertical="center"/>
    </xf>
    <xf numFmtId="0" fontId="7" fillId="2" borderId="68" xfId="4" applyFont="1" applyBorder="1" applyAlignment="1">
      <alignment horizontal="center" vertical="center"/>
    </xf>
    <xf numFmtId="0" fontId="7" fillId="2" borderId="69" xfId="4" applyFont="1" applyBorder="1" applyAlignment="1">
      <alignment horizontal="center" vertical="center"/>
    </xf>
    <xf numFmtId="0" fontId="7" fillId="2" borderId="70" xfId="4" applyFont="1" applyBorder="1" applyAlignment="1">
      <alignment horizontal="center" vertical="center"/>
    </xf>
    <xf numFmtId="0" fontId="7" fillId="2" borderId="71" xfId="4" applyFont="1" applyBorder="1" applyAlignment="1">
      <alignment horizontal="center" vertical="center"/>
    </xf>
    <xf numFmtId="0" fontId="6" fillId="0" borderId="0" xfId="6" applyFont="1" applyFill="1" applyBorder="1" applyAlignment="1">
      <alignment horizontal="center" vertical="center"/>
    </xf>
    <xf numFmtId="43" fontId="7" fillId="0" borderId="0" xfId="1" applyFont="1" applyAlignment="1">
      <alignment horizontal="right" vertical="center"/>
    </xf>
    <xf numFmtId="0" fontId="7" fillId="2" borderId="78" xfId="4" applyFont="1" applyBorder="1" applyAlignment="1">
      <alignment horizontal="center" vertical="center"/>
    </xf>
    <xf numFmtId="0" fontId="7" fillId="2" borderId="79" xfId="4" applyFont="1" applyBorder="1" applyAlignment="1">
      <alignment horizontal="center" vertical="center"/>
    </xf>
    <xf numFmtId="0" fontId="7" fillId="2" borderId="80" xfId="4" applyFont="1" applyBorder="1" applyAlignment="1">
      <alignment horizontal="center" vertical="center"/>
    </xf>
    <xf numFmtId="0" fontId="18" fillId="0" borderId="0" xfId="3" applyFont="1" applyFill="1" applyAlignment="1">
      <alignment horizontal="center" vertical="center"/>
    </xf>
    <xf numFmtId="0" fontId="4" fillId="0" borderId="0" xfId="3" applyFont="1" applyFill="1" applyAlignment="1">
      <alignment horizontal="center" vertical="center"/>
    </xf>
    <xf numFmtId="0" fontId="7" fillId="0" borderId="0" xfId="6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/>
    </xf>
    <xf numFmtId="0" fontId="7" fillId="0" borderId="0" xfId="9" applyFont="1" applyFill="1" applyAlignment="1">
      <alignment horizontal="left" vertical="center"/>
    </xf>
    <xf numFmtId="0" fontId="7" fillId="0" borderId="0" xfId="8" applyFont="1" applyFill="1" applyAlignment="1">
      <alignment horizontal="left" vertical="center"/>
    </xf>
    <xf numFmtId="43" fontId="6" fillId="0" borderId="0" xfId="1" applyFont="1" applyAlignment="1">
      <alignment horizontal="right" vertical="center"/>
    </xf>
    <xf numFmtId="0" fontId="7" fillId="0" borderId="0" xfId="4" applyFont="1" applyFill="1" applyAlignment="1">
      <alignment horizontal="center" vertical="center"/>
    </xf>
    <xf numFmtId="43" fontId="7" fillId="0" borderId="0" xfId="1" applyFont="1" applyFill="1" applyBorder="1" applyAlignment="1">
      <alignment horizontal="right" vertical="center"/>
    </xf>
    <xf numFmtId="43" fontId="6" fillId="0" borderId="0" xfId="1" applyFont="1" applyFill="1" applyBorder="1" applyAlignment="1">
      <alignment horizontal="right" vertical="center"/>
    </xf>
    <xf numFmtId="0" fontId="7" fillId="2" borderId="6" xfId="4" applyFont="1" applyBorder="1" applyAlignment="1">
      <alignment horizontal="center" vertical="center"/>
    </xf>
    <xf numFmtId="0" fontId="7" fillId="2" borderId="7" xfId="4" applyFont="1" applyBorder="1" applyAlignment="1">
      <alignment horizontal="center" vertical="center"/>
    </xf>
    <xf numFmtId="0" fontId="7" fillId="2" borderId="8" xfId="4" applyFont="1" applyBorder="1" applyAlignment="1">
      <alignment horizontal="center" vertical="center"/>
    </xf>
    <xf numFmtId="0" fontId="6" fillId="0" borderId="0" xfId="8" applyFont="1" applyFill="1" applyBorder="1" applyAlignment="1">
      <alignment horizontal="left" vertical="center"/>
    </xf>
    <xf numFmtId="0" fontId="9" fillId="2" borderId="3" xfId="4" applyFont="1" applyBorder="1" applyAlignment="1">
      <alignment horizontal="center" vertical="center"/>
    </xf>
    <xf numFmtId="0" fontId="7" fillId="2" borderId="11" xfId="4" applyFont="1" applyBorder="1" applyAlignment="1">
      <alignment horizontal="center" vertical="center"/>
    </xf>
    <xf numFmtId="43" fontId="5" fillId="2" borderId="0" xfId="1" applyFont="1" applyFill="1" applyBorder="1" applyAlignment="1">
      <alignment horizontal="center" vertical="center"/>
    </xf>
    <xf numFmtId="43" fontId="5" fillId="2" borderId="11" xfId="1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43" fontId="5" fillId="2" borderId="5" xfId="1" applyFont="1" applyFill="1" applyBorder="1" applyAlignment="1">
      <alignment horizontal="center" vertical="center"/>
    </xf>
    <xf numFmtId="43" fontId="5" fillId="2" borderId="12" xfId="1" applyFont="1" applyFill="1" applyBorder="1" applyAlignment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7" xfId="1" applyFont="1" applyFill="1" applyBorder="1" applyAlignment="1">
      <alignment horizontal="left" vertical="center"/>
    </xf>
    <xf numFmtId="43" fontId="10" fillId="0" borderId="7" xfId="1" applyFont="1" applyFill="1" applyBorder="1" applyAlignment="1">
      <alignment horizontal="right" vertical="center"/>
    </xf>
    <xf numFmtId="43" fontId="10" fillId="0" borderId="8" xfId="1" applyFont="1" applyFill="1" applyBorder="1" applyAlignment="1">
      <alignment horizontal="right" vertical="center"/>
    </xf>
    <xf numFmtId="43" fontId="6" fillId="0" borderId="0" xfId="1" applyFont="1" applyFill="1" applyBorder="1" applyAlignment="1">
      <alignment horizontal="left" vertical="center"/>
    </xf>
    <xf numFmtId="43" fontId="9" fillId="0" borderId="0" xfId="1" applyFont="1" applyFill="1" applyBorder="1" applyAlignment="1">
      <alignment horizontal="right" vertical="center"/>
    </xf>
    <xf numFmtId="43" fontId="9" fillId="0" borderId="11" xfId="1" applyFont="1" applyFill="1" applyBorder="1" applyAlignment="1">
      <alignment horizontal="right" vertical="center"/>
    </xf>
    <xf numFmtId="43" fontId="10" fillId="2" borderId="8" xfId="1" applyFont="1" applyFill="1" applyBorder="1" applyAlignment="1">
      <alignment horizontal="right" vertical="center"/>
    </xf>
    <xf numFmtId="43" fontId="6" fillId="3" borderId="8" xfId="1" applyFont="1" applyFill="1" applyBorder="1" applyAlignment="1">
      <alignment horizontal="left" vertical="center"/>
    </xf>
    <xf numFmtId="0" fontId="6" fillId="2" borderId="6" xfId="8" applyFont="1" applyBorder="1" applyAlignment="1">
      <alignment horizontal="left" vertical="center"/>
    </xf>
    <xf numFmtId="0" fontId="5" fillId="2" borderId="7" xfId="8" applyFont="1" applyBorder="1" applyAlignment="1">
      <alignment horizontal="left" vertical="center"/>
    </xf>
    <xf numFmtId="0" fontId="5" fillId="2" borderId="27" xfId="8" applyFont="1" applyBorder="1" applyAlignment="1">
      <alignment horizontal="left" vertical="center"/>
    </xf>
    <xf numFmtId="0" fontId="8" fillId="4" borderId="3" xfId="6" applyFont="1" applyFill="1" applyBorder="1" applyAlignment="1">
      <alignment horizontal="center" vertical="center"/>
    </xf>
    <xf numFmtId="0" fontId="8" fillId="4" borderId="0" xfId="6" applyFont="1" applyFill="1" applyBorder="1" applyAlignment="1">
      <alignment horizontal="center" vertical="center"/>
    </xf>
    <xf numFmtId="0" fontId="6" fillId="4" borderId="0" xfId="8" applyFont="1" applyFill="1" applyBorder="1" applyAlignment="1">
      <alignment horizontal="center" vertical="center" wrapText="1"/>
    </xf>
    <xf numFmtId="0" fontId="6" fillId="4" borderId="11" xfId="8" applyFont="1" applyFill="1" applyBorder="1" applyAlignment="1">
      <alignment horizontal="center" vertical="center" wrapText="1"/>
    </xf>
    <xf numFmtId="0" fontId="6" fillId="2" borderId="13" xfId="8" applyFont="1" applyBorder="1" applyAlignment="1">
      <alignment horizontal="center" vertical="center"/>
    </xf>
    <xf numFmtId="43" fontId="5" fillId="2" borderId="0" xfId="1" applyFont="1" applyFill="1" applyBorder="1" applyAlignment="1">
      <alignment horizontal="right" vertical="center"/>
    </xf>
    <xf numFmtId="43" fontId="5" fillId="2" borderId="11" xfId="1" applyFont="1" applyFill="1" applyBorder="1" applyAlignment="1">
      <alignment horizontal="right" vertical="center"/>
    </xf>
    <xf numFmtId="0" fontId="3" fillId="3" borderId="1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 wrapText="1"/>
    </xf>
    <xf numFmtId="0" fontId="3" fillId="3" borderId="0" xfId="3" applyFont="1" applyFill="1" applyBorder="1" applyAlignment="1">
      <alignment horizontal="center" vertical="center" wrapText="1"/>
    </xf>
    <xf numFmtId="0" fontId="4" fillId="2" borderId="6" xfId="3" applyFont="1" applyBorder="1" applyAlignment="1">
      <alignment horizontal="center" vertical="center"/>
    </xf>
    <xf numFmtId="0" fontId="4" fillId="2" borderId="7" xfId="3" applyFont="1" applyBorder="1" applyAlignment="1">
      <alignment horizontal="center" vertical="center"/>
    </xf>
    <xf numFmtId="0" fontId="4" fillId="2" borderId="8" xfId="3" applyFont="1" applyBorder="1" applyAlignment="1">
      <alignment horizontal="center" vertical="center"/>
    </xf>
    <xf numFmtId="0" fontId="11" fillId="2" borderId="0" xfId="3" applyFont="1" applyBorder="1" applyAlignment="1">
      <alignment horizontal="left" vertical="center"/>
    </xf>
    <xf numFmtId="0" fontId="11" fillId="2" borderId="11" xfId="3" applyFont="1" applyBorder="1" applyAlignment="1">
      <alignment horizontal="left" vertical="center"/>
    </xf>
    <xf numFmtId="49" fontId="11" fillId="2" borderId="5" xfId="3" quotePrefix="1" applyNumberFormat="1" applyFont="1" applyBorder="1" applyAlignment="1">
      <alignment horizontal="left" vertical="center"/>
    </xf>
    <xf numFmtId="49" fontId="11" fillId="2" borderId="5" xfId="3" applyNumberFormat="1" applyFont="1" applyBorder="1" applyAlignment="1">
      <alignment horizontal="left" vertical="center"/>
    </xf>
    <xf numFmtId="49" fontId="11" fillId="2" borderId="12" xfId="3" applyNumberFormat="1" applyFont="1" applyBorder="1" applyAlignment="1">
      <alignment horizontal="left" vertical="center"/>
    </xf>
    <xf numFmtId="43" fontId="6" fillId="0" borderId="34" xfId="1" applyFont="1" applyFill="1" applyBorder="1" applyAlignment="1">
      <alignment horizontal="left" vertical="center"/>
    </xf>
    <xf numFmtId="43" fontId="6" fillId="0" borderId="35" xfId="1" applyFont="1" applyFill="1" applyBorder="1" applyAlignment="1">
      <alignment horizontal="left" vertical="center"/>
    </xf>
    <xf numFmtId="43" fontId="10" fillId="0" borderId="35" xfId="1" applyFont="1" applyFill="1" applyBorder="1" applyAlignment="1">
      <alignment horizontal="right" vertical="center"/>
    </xf>
    <xf numFmtId="43" fontId="10" fillId="0" borderId="36" xfId="1" applyFont="1" applyFill="1" applyBorder="1" applyAlignment="1">
      <alignment horizontal="right" vertical="center"/>
    </xf>
    <xf numFmtId="43" fontId="9" fillId="2" borderId="11" xfId="1" applyFont="1" applyFill="1" applyBorder="1" applyAlignment="1">
      <alignment horizontal="center" vertical="center"/>
    </xf>
    <xf numFmtId="165" fontId="9" fillId="2" borderId="11" xfId="1" applyNumberFormat="1" applyFont="1" applyFill="1" applyBorder="1" applyAlignment="1">
      <alignment horizontal="center" vertical="center"/>
    </xf>
    <xf numFmtId="43" fontId="9" fillId="2" borderId="11" xfId="1" applyFont="1" applyFill="1" applyBorder="1" applyAlignment="1">
      <alignment vertical="center"/>
    </xf>
    <xf numFmtId="0" fontId="7" fillId="2" borderId="72" xfId="4" applyFont="1" applyBorder="1" applyAlignment="1">
      <alignment horizontal="center" vertical="center"/>
    </xf>
    <xf numFmtId="0" fontId="9" fillId="2" borderId="57" xfId="4" applyFont="1" applyBorder="1" applyAlignment="1">
      <alignment horizontal="center" vertical="center"/>
    </xf>
    <xf numFmtId="43" fontId="9" fillId="2" borderId="3" xfId="1" applyFont="1" applyFill="1" applyBorder="1" applyAlignment="1">
      <alignment horizontal="center" vertical="center"/>
    </xf>
    <xf numFmtId="43" fontId="10" fillId="0" borderId="74" xfId="1" applyFont="1" applyFill="1" applyBorder="1" applyAlignment="1">
      <alignment horizontal="right" vertical="center"/>
    </xf>
    <xf numFmtId="43" fontId="9" fillId="0" borderId="58" xfId="1" applyFont="1" applyFill="1" applyBorder="1" applyAlignment="1">
      <alignment horizontal="right" vertical="center"/>
    </xf>
    <xf numFmtId="0" fontId="6" fillId="2" borderId="60" xfId="8" applyFont="1" applyBorder="1" applyAlignment="1">
      <alignment horizontal="left" vertical="center"/>
    </xf>
    <xf numFmtId="0" fontId="8" fillId="4" borderId="57" xfId="6" applyFont="1" applyFill="1" applyBorder="1" applyAlignment="1">
      <alignment horizontal="center" vertical="center"/>
    </xf>
    <xf numFmtId="0" fontId="6" fillId="4" borderId="58" xfId="8" applyFont="1" applyFill="1" applyBorder="1" applyAlignment="1">
      <alignment horizontal="center" vertical="center" wrapText="1"/>
    </xf>
    <xf numFmtId="43" fontId="9" fillId="2" borderId="3" xfId="1" applyNumberFormat="1" applyFont="1" applyFill="1" applyBorder="1" applyAlignment="1">
      <alignment horizontal="right" vertical="center"/>
    </xf>
    <xf numFmtId="43" fontId="9" fillId="2" borderId="0" xfId="1" applyNumberFormat="1" applyFont="1" applyFill="1" applyBorder="1" applyAlignment="1">
      <alignment horizontal="right" vertical="center"/>
    </xf>
    <xf numFmtId="43" fontId="9" fillId="2" borderId="58" xfId="1" applyNumberFormat="1" applyFont="1" applyFill="1" applyBorder="1" applyAlignment="1">
      <alignment horizontal="right" vertical="center"/>
    </xf>
    <xf numFmtId="0" fontId="3" fillId="3" borderId="53" xfId="3" applyFont="1" applyFill="1" applyBorder="1" applyAlignment="1">
      <alignment horizontal="center" vertical="center" wrapText="1"/>
    </xf>
    <xf numFmtId="0" fontId="3" fillId="3" borderId="52" xfId="3" applyFont="1" applyFill="1" applyBorder="1" applyAlignment="1">
      <alignment horizontal="center" vertical="center" wrapText="1"/>
    </xf>
    <xf numFmtId="0" fontId="11" fillId="2" borderId="58" xfId="3" applyFont="1" applyBorder="1" applyAlignment="1">
      <alignment horizontal="left" vertical="center"/>
    </xf>
    <xf numFmtId="49" fontId="11" fillId="2" borderId="59" xfId="3" applyNumberFormat="1" applyFont="1" applyBorder="1" applyAlignment="1">
      <alignment horizontal="left" vertical="center"/>
    </xf>
    <xf numFmtId="165" fontId="9" fillId="2" borderId="0" xfId="1" applyNumberFormat="1" applyFont="1" applyFill="1" applyBorder="1" applyAlignment="1">
      <alignment horizontal="right" vertical="center"/>
    </xf>
    <xf numFmtId="165" fontId="9" fillId="2" borderId="58" xfId="1" applyNumberFormat="1" applyFont="1" applyFill="1" applyBorder="1" applyAlignment="1">
      <alignment horizontal="right" vertical="center"/>
    </xf>
    <xf numFmtId="14" fontId="10" fillId="2" borderId="0" xfId="1" applyNumberFormat="1" applyFont="1" applyFill="1" applyBorder="1" applyAlignment="1">
      <alignment horizontal="center" vertical="center"/>
    </xf>
    <xf numFmtId="0" fontId="54" fillId="0" borderId="57" xfId="0" quotePrefix="1" applyFont="1" applyFill="1" applyBorder="1" applyAlignment="1">
      <alignment horizontal="center"/>
    </xf>
    <xf numFmtId="0" fontId="54" fillId="0" borderId="0" xfId="0" quotePrefix="1" applyFont="1" applyFill="1" applyBorder="1" applyAlignment="1">
      <alignment horizontal="center"/>
    </xf>
    <xf numFmtId="43" fontId="9" fillId="2" borderId="0" xfId="1" applyFont="1" applyFill="1" applyBorder="1" applyAlignment="1">
      <alignment horizontal="right" vertical="center" wrapText="1"/>
    </xf>
    <xf numFmtId="43" fontId="9" fillId="2" borderId="58" xfId="1" applyFont="1" applyFill="1" applyBorder="1" applyAlignment="1">
      <alignment horizontal="right" vertical="center" wrapText="1"/>
    </xf>
    <xf numFmtId="0" fontId="8" fillId="4" borderId="75" xfId="6" applyFont="1" applyFill="1" applyBorder="1" applyAlignment="1">
      <alignment horizontal="center" vertical="center"/>
    </xf>
    <xf numFmtId="0" fontId="8" fillId="4" borderId="31" xfId="6" applyFont="1" applyFill="1" applyBorder="1" applyAlignment="1">
      <alignment horizontal="center" vertical="center"/>
    </xf>
    <xf numFmtId="0" fontId="8" fillId="4" borderId="47" xfId="6" applyFont="1" applyFill="1" applyBorder="1" applyAlignment="1">
      <alignment horizontal="center" vertical="center"/>
    </xf>
    <xf numFmtId="0" fontId="6" fillId="2" borderId="1" xfId="8" applyFont="1" applyBorder="1" applyAlignment="1">
      <alignment horizontal="center" vertical="center"/>
    </xf>
    <xf numFmtId="43" fontId="9" fillId="2" borderId="11" xfId="1" applyFont="1" applyFill="1" applyBorder="1" applyAlignment="1">
      <alignment horizontal="right" vertical="center" wrapText="1"/>
    </xf>
    <xf numFmtId="0" fontId="8" fillId="4" borderId="46" xfId="6" applyFont="1" applyFill="1" applyBorder="1" applyAlignment="1">
      <alignment horizontal="center" vertical="center"/>
    </xf>
    <xf numFmtId="0" fontId="6" fillId="4" borderId="11" xfId="8" applyFont="1" applyFill="1" applyBorder="1" applyAlignment="1">
      <alignment horizontal="center" vertical="center"/>
    </xf>
    <xf numFmtId="165" fontId="9" fillId="2" borderId="11" xfId="1" applyNumberFormat="1" applyFont="1" applyFill="1" applyBorder="1" applyAlignment="1">
      <alignment horizontal="right" vertical="center"/>
    </xf>
    <xf numFmtId="43" fontId="9" fillId="2" borderId="11" xfId="1" applyNumberFormat="1" applyFont="1" applyFill="1" applyBorder="1" applyAlignment="1">
      <alignment horizontal="right" vertical="center"/>
    </xf>
    <xf numFmtId="0" fontId="7" fillId="2" borderId="42" xfId="4" applyFont="1" applyBorder="1" applyAlignment="1">
      <alignment horizontal="center" vertical="center"/>
    </xf>
    <xf numFmtId="43" fontId="10" fillId="2" borderId="11" xfId="1" applyFont="1" applyFill="1" applyBorder="1" applyAlignment="1">
      <alignment horizontal="center" vertical="center"/>
    </xf>
    <xf numFmtId="0" fontId="7" fillId="2" borderId="4" xfId="4" applyFont="1" applyBorder="1" applyAlignment="1">
      <alignment horizontal="center" vertical="center"/>
    </xf>
    <xf numFmtId="0" fontId="7" fillId="2" borderId="5" xfId="4" applyFont="1" applyBorder="1" applyAlignment="1">
      <alignment horizontal="center" vertical="center"/>
    </xf>
    <xf numFmtId="0" fontId="7" fillId="2" borderId="12" xfId="4" applyFont="1" applyBorder="1" applyAlignment="1">
      <alignment horizontal="center" vertical="center"/>
    </xf>
    <xf numFmtId="0" fontId="8" fillId="4" borderId="41" xfId="6" applyFont="1" applyFill="1" applyBorder="1" applyAlignment="1">
      <alignment horizontal="center" vertical="center"/>
    </xf>
    <xf numFmtId="0" fontId="8" fillId="4" borderId="16" xfId="6" applyFont="1" applyFill="1" applyBorder="1" applyAlignment="1">
      <alignment horizontal="center" vertical="center"/>
    </xf>
    <xf numFmtId="0" fontId="8" fillId="4" borderId="44" xfId="6" applyFont="1" applyFill="1" applyBorder="1" applyAlignment="1">
      <alignment horizontal="center" vertical="center"/>
    </xf>
    <xf numFmtId="43" fontId="50" fillId="2" borderId="3" xfId="1" applyNumberFormat="1" applyFont="1" applyFill="1" applyBorder="1" applyAlignment="1">
      <alignment horizontal="right" vertical="center"/>
    </xf>
    <xf numFmtId="0" fontId="62" fillId="2" borderId="31" xfId="0" applyFont="1" applyFill="1" applyBorder="1" applyAlignment="1"/>
    <xf numFmtId="0" fontId="72" fillId="2" borderId="31" xfId="0" applyFont="1" applyFill="1" applyBorder="1" applyAlignment="1">
      <alignment wrapText="1"/>
    </xf>
    <xf numFmtId="0" fontId="72" fillId="2" borderId="47" xfId="0" applyFont="1" applyFill="1" applyBorder="1" applyAlignment="1">
      <alignment wrapText="1"/>
    </xf>
    <xf numFmtId="0" fontId="6" fillId="2" borderId="64" xfId="8" applyFont="1" applyBorder="1" applyAlignment="1">
      <alignment horizontal="left" vertical="center"/>
    </xf>
    <xf numFmtId="0" fontId="8" fillId="4" borderId="73" xfId="6" applyFont="1" applyFill="1" applyBorder="1" applyAlignment="1">
      <alignment horizontal="center" vertical="center"/>
    </xf>
    <xf numFmtId="0" fontId="7" fillId="0" borderId="0" xfId="8" applyFont="1" applyFill="1" applyBorder="1" applyAlignment="1">
      <alignment vertical="center"/>
    </xf>
    <xf numFmtId="0" fontId="7" fillId="0" borderId="32" xfId="8" applyFont="1" applyFill="1" applyBorder="1" applyAlignment="1">
      <alignment vertical="center"/>
    </xf>
    <xf numFmtId="43" fontId="9" fillId="2" borderId="3" xfId="1" applyNumberFormat="1" applyFont="1" applyFill="1" applyBorder="1" applyAlignment="1">
      <alignment horizontal="center" vertical="center"/>
    </xf>
    <xf numFmtId="43" fontId="9" fillId="2" borderId="0" xfId="1" applyNumberFormat="1" applyFont="1" applyFill="1" applyBorder="1" applyAlignment="1">
      <alignment horizontal="center" vertical="center"/>
    </xf>
    <xf numFmtId="43" fontId="9" fillId="2" borderId="58" xfId="1" applyNumberFormat="1" applyFont="1" applyFill="1" applyBorder="1" applyAlignment="1">
      <alignment horizontal="center" vertical="center"/>
    </xf>
    <xf numFmtId="0" fontId="7" fillId="2" borderId="63" xfId="4" applyFont="1" applyBorder="1" applyAlignment="1">
      <alignment horizontal="center" vertical="center"/>
    </xf>
    <xf numFmtId="0" fontId="7" fillId="2" borderId="88" xfId="4" applyFont="1" applyBorder="1" applyAlignment="1">
      <alignment horizontal="center" vertical="center"/>
    </xf>
    <xf numFmtId="43" fontId="6" fillId="0" borderId="87" xfId="1" applyFont="1" applyFill="1" applyBorder="1" applyAlignment="1">
      <alignment horizontal="left" vertical="center"/>
    </xf>
    <xf numFmtId="43" fontId="6" fillId="0" borderId="25" xfId="1" applyFont="1" applyFill="1" applyBorder="1" applyAlignment="1">
      <alignment horizontal="left" vertical="center"/>
    </xf>
    <xf numFmtId="43" fontId="9" fillId="0" borderId="25" xfId="1" applyFont="1" applyFill="1" applyBorder="1" applyAlignment="1">
      <alignment horizontal="right" vertical="center"/>
    </xf>
    <xf numFmtId="43" fontId="9" fillId="0" borderId="86" xfId="1" applyFont="1" applyFill="1" applyBorder="1" applyAlignment="1">
      <alignment horizontal="right" vertical="center"/>
    </xf>
    <xf numFmtId="43" fontId="6" fillId="2" borderId="6" xfId="1" applyFont="1" applyFill="1" applyBorder="1" applyAlignment="1">
      <alignment horizontal="left" vertical="center"/>
    </xf>
    <xf numFmtId="0" fontId="9" fillId="2" borderId="4" xfId="4" applyFont="1" applyBorder="1" applyAlignment="1">
      <alignment horizontal="center" vertical="center"/>
    </xf>
    <xf numFmtId="0" fontId="5" fillId="2" borderId="4" xfId="4" applyFont="1" applyBorder="1" applyAlignment="1">
      <alignment horizontal="center" vertical="center"/>
    </xf>
    <xf numFmtId="0" fontId="5" fillId="2" borderId="5" xfId="4" applyFont="1" applyBorder="1" applyAlignment="1">
      <alignment horizontal="center" vertical="center"/>
    </xf>
    <xf numFmtId="0" fontId="5" fillId="2" borderId="12" xfId="4" applyFont="1" applyBorder="1" applyAlignment="1">
      <alignment horizontal="center" vertical="center"/>
    </xf>
    <xf numFmtId="0" fontId="7" fillId="2" borderId="83" xfId="4" applyFont="1" applyBorder="1" applyAlignment="1">
      <alignment horizontal="center" vertical="center"/>
    </xf>
    <xf numFmtId="0" fontId="7" fillId="2" borderId="84" xfId="4" applyFont="1" applyBorder="1" applyAlignment="1">
      <alignment horizontal="center" vertical="center"/>
    </xf>
    <xf numFmtId="0" fontId="7" fillId="2" borderId="85" xfId="4" applyFont="1" applyBorder="1" applyAlignment="1">
      <alignment horizontal="center" vertical="center"/>
    </xf>
    <xf numFmtId="0" fontId="62" fillId="0" borderId="81" xfId="0" applyFont="1" applyFill="1" applyBorder="1" applyAlignment="1"/>
    <xf numFmtId="0" fontId="72" fillId="0" borderId="81" xfId="0" applyFont="1" applyFill="1" applyBorder="1" applyAlignment="1">
      <alignment wrapText="1"/>
    </xf>
    <xf numFmtId="43" fontId="91" fillId="2" borderId="0" xfId="1" applyFont="1" applyFill="1" applyBorder="1" applyAlignment="1">
      <alignment horizontal="right" vertical="center" wrapText="1"/>
    </xf>
    <xf numFmtId="43" fontId="91" fillId="2" borderId="93" xfId="1" applyFont="1" applyFill="1" applyBorder="1" applyAlignment="1">
      <alignment horizontal="right" vertical="center" wrapText="1"/>
    </xf>
    <xf numFmtId="0" fontId="88" fillId="2" borderId="94" xfId="8" applyFont="1" applyBorder="1" applyAlignment="1">
      <alignment horizontal="left" vertical="center"/>
    </xf>
    <xf numFmtId="0" fontId="88" fillId="2" borderId="97" xfId="8" applyFont="1" applyBorder="1" applyAlignment="1">
      <alignment horizontal="left" vertical="center"/>
    </xf>
    <xf numFmtId="0" fontId="87" fillId="2" borderId="97" xfId="8" applyFont="1" applyBorder="1" applyAlignment="1">
      <alignment horizontal="left" vertical="center"/>
    </xf>
    <xf numFmtId="0" fontId="87" fillId="2" borderId="95" xfId="8" applyFont="1" applyBorder="1" applyAlignment="1">
      <alignment horizontal="left" vertical="center"/>
    </xf>
    <xf numFmtId="0" fontId="88" fillId="2" borderId="99" xfId="8" applyFont="1" applyBorder="1" applyAlignment="1">
      <alignment horizontal="left" vertical="center"/>
    </xf>
    <xf numFmtId="0" fontId="88" fillId="2" borderId="0" xfId="8" applyFont="1" applyBorder="1" applyAlignment="1">
      <alignment horizontal="center" vertical="center"/>
    </xf>
    <xf numFmtId="0" fontId="88" fillId="2" borderId="93" xfId="8" applyFont="1" applyBorder="1" applyAlignment="1">
      <alignment horizontal="center" vertical="center"/>
    </xf>
    <xf numFmtId="0" fontId="88" fillId="2" borderId="0" xfId="8" applyFont="1" applyBorder="1" applyAlignment="1">
      <alignment horizontal="left" vertical="center"/>
    </xf>
    <xf numFmtId="0" fontId="92" fillId="6" borderId="90" xfId="6" applyFont="1" applyFill="1" applyBorder="1" applyAlignment="1">
      <alignment horizontal="center" vertical="center"/>
    </xf>
    <xf numFmtId="0" fontId="92" fillId="6" borderId="96" xfId="6" applyFont="1" applyFill="1" applyBorder="1" applyAlignment="1">
      <alignment horizontal="center" vertical="center"/>
    </xf>
    <xf numFmtId="0" fontId="88" fillId="6" borderId="90" xfId="8" applyFont="1" applyFill="1" applyBorder="1" applyAlignment="1">
      <alignment horizontal="center" vertical="center"/>
    </xf>
    <xf numFmtId="0" fontId="88" fillId="6" borderId="96" xfId="8" applyFont="1" applyFill="1" applyBorder="1" applyAlignment="1">
      <alignment horizontal="center" vertical="center"/>
    </xf>
    <xf numFmtId="0" fontId="88" fillId="6" borderId="91" xfId="8" applyFont="1" applyFill="1" applyBorder="1" applyAlignment="1">
      <alignment horizontal="center" vertical="center"/>
    </xf>
    <xf numFmtId="0" fontId="88" fillId="2" borderId="96" xfId="8" applyFont="1" applyBorder="1" applyAlignment="1">
      <alignment horizontal="center" vertical="center"/>
    </xf>
    <xf numFmtId="0" fontId="88" fillId="2" borderId="91" xfId="8" applyFont="1" applyBorder="1" applyAlignment="1">
      <alignment horizontal="center" vertical="center"/>
    </xf>
    <xf numFmtId="43" fontId="91" fillId="2" borderId="0" xfId="1" applyNumberFormat="1" applyFont="1" applyFill="1" applyBorder="1" applyAlignment="1">
      <alignment horizontal="right" vertical="center"/>
    </xf>
    <xf numFmtId="43" fontId="91" fillId="2" borderId="93" xfId="1" applyNumberFormat="1" applyFont="1" applyFill="1" applyBorder="1" applyAlignment="1">
      <alignment horizontal="right" vertical="center"/>
    </xf>
    <xf numFmtId="43" fontId="99" fillId="2" borderId="0" xfId="1" applyNumberFormat="1" applyFont="1" applyFill="1" applyBorder="1" applyAlignment="1">
      <alignment horizontal="center" vertical="center"/>
    </xf>
    <xf numFmtId="43" fontId="99" fillId="2" borderId="93" xfId="1" applyNumberFormat="1" applyFont="1" applyFill="1" applyBorder="1" applyAlignment="1">
      <alignment horizontal="center" vertical="center"/>
    </xf>
    <xf numFmtId="0" fontId="89" fillId="0" borderId="0" xfId="8" applyFont="1" applyFill="1" applyBorder="1" applyAlignment="1">
      <alignment vertical="center"/>
    </xf>
    <xf numFmtId="0" fontId="88" fillId="6" borderId="90" xfId="6" applyFont="1" applyFill="1" applyBorder="1" applyAlignment="1">
      <alignment horizontal="left" vertical="center"/>
    </xf>
    <xf numFmtId="0" fontId="88" fillId="6" borderId="96" xfId="6" applyFont="1" applyFill="1" applyBorder="1" applyAlignment="1">
      <alignment horizontal="left" vertical="center"/>
    </xf>
    <xf numFmtId="0" fontId="88" fillId="6" borderId="91" xfId="6" applyFont="1" applyFill="1" applyBorder="1" applyAlignment="1">
      <alignment horizontal="left" vertical="center"/>
    </xf>
    <xf numFmtId="0" fontId="88" fillId="2" borderId="96" xfId="8" applyFont="1" applyBorder="1" applyAlignment="1">
      <alignment horizontal="left" vertical="center"/>
    </xf>
    <xf numFmtId="0" fontId="84" fillId="6" borderId="90" xfId="3" applyFont="1" applyFill="1" applyBorder="1" applyAlignment="1">
      <alignment horizontal="center" vertical="center" wrapText="1"/>
    </xf>
    <xf numFmtId="0" fontId="84" fillId="6" borderId="96" xfId="3" applyFont="1" applyFill="1" applyBorder="1" applyAlignment="1">
      <alignment horizontal="center" vertical="center" wrapText="1"/>
    </xf>
    <xf numFmtId="0" fontId="84" fillId="6" borderId="92" xfId="3" applyFont="1" applyFill="1" applyBorder="1" applyAlignment="1">
      <alignment horizontal="center" vertical="center" wrapText="1"/>
    </xf>
    <xf numFmtId="0" fontId="84" fillId="6" borderId="0" xfId="3" applyFont="1" applyFill="1" applyBorder="1" applyAlignment="1">
      <alignment horizontal="center" vertical="center" wrapText="1"/>
    </xf>
    <xf numFmtId="0" fontId="85" fillId="2" borderId="90" xfId="3" applyFont="1" applyBorder="1" applyAlignment="1">
      <alignment horizontal="center" vertical="center"/>
    </xf>
    <xf numFmtId="0" fontId="85" fillId="2" borderId="96" xfId="3" applyFont="1" applyBorder="1" applyAlignment="1">
      <alignment horizontal="center" vertical="center"/>
    </xf>
    <xf numFmtId="0" fontId="85" fillId="2" borderId="91" xfId="3" applyFont="1" applyBorder="1" applyAlignment="1">
      <alignment horizontal="center" vertical="center"/>
    </xf>
    <xf numFmtId="0" fontId="86" fillId="2" borderId="96" xfId="3" applyFont="1" applyBorder="1" applyAlignment="1">
      <alignment horizontal="left" vertical="center"/>
    </xf>
    <xf numFmtId="0" fontId="86" fillId="2" borderId="91" xfId="3" applyFont="1" applyBorder="1" applyAlignment="1">
      <alignment horizontal="left" vertical="center"/>
    </xf>
    <xf numFmtId="0" fontId="86" fillId="2" borderId="0" xfId="3" applyFont="1" applyBorder="1" applyAlignment="1">
      <alignment horizontal="left" vertical="center"/>
    </xf>
    <xf numFmtId="0" fontId="86" fillId="2" borderId="93" xfId="3" applyFont="1" applyBorder="1" applyAlignment="1">
      <alignment horizontal="left" vertical="center"/>
    </xf>
    <xf numFmtId="49" fontId="86" fillId="2" borderId="97" xfId="3" quotePrefix="1" applyNumberFormat="1" applyFont="1" applyBorder="1" applyAlignment="1">
      <alignment horizontal="left" vertical="center"/>
    </xf>
    <xf numFmtId="49" fontId="86" fillId="2" borderId="97" xfId="3" applyNumberFormat="1" applyFont="1" applyBorder="1" applyAlignment="1">
      <alignment horizontal="left" vertical="center"/>
    </xf>
    <xf numFmtId="49" fontId="86" fillId="2" borderId="95" xfId="3" applyNumberFormat="1" applyFont="1" applyBorder="1" applyAlignment="1">
      <alignment horizontal="left" vertical="center"/>
    </xf>
    <xf numFmtId="0" fontId="90" fillId="2" borderId="99" xfId="0" applyFont="1" applyFill="1" applyBorder="1" applyAlignment="1">
      <alignment wrapText="1"/>
    </xf>
    <xf numFmtId="0" fontId="90" fillId="2" borderId="100" xfId="0" applyFont="1" applyFill="1" applyBorder="1" applyAlignment="1">
      <alignment wrapText="1"/>
    </xf>
    <xf numFmtId="0" fontId="83" fillId="2" borderId="90" xfId="3" applyFont="1" applyBorder="1" applyAlignment="1">
      <alignment horizontal="center" vertical="center"/>
    </xf>
    <xf numFmtId="0" fontId="83" fillId="2" borderId="91" xfId="3" applyFont="1" applyBorder="1" applyAlignment="1">
      <alignment horizontal="center" vertical="center"/>
    </xf>
    <xf numFmtId="0" fontId="83" fillId="2" borderId="92" xfId="3" applyFont="1" applyBorder="1" applyAlignment="1">
      <alignment horizontal="center" vertical="center"/>
    </xf>
    <xf numFmtId="0" fontId="83" fillId="2" borderId="93" xfId="3" applyFont="1" applyBorder="1" applyAlignment="1">
      <alignment horizontal="center" vertical="center"/>
    </xf>
    <xf numFmtId="0" fontId="83" fillId="2" borderId="94" xfId="3" applyFont="1" applyBorder="1" applyAlignment="1">
      <alignment horizontal="center" vertical="center"/>
    </xf>
    <xf numFmtId="0" fontId="83" fillId="2" borderId="95" xfId="3" applyFont="1" applyBorder="1" applyAlignment="1">
      <alignment horizontal="center" vertical="center"/>
    </xf>
    <xf numFmtId="0" fontId="85" fillId="2" borderId="98" xfId="5" applyFont="1" applyBorder="1" applyAlignment="1">
      <alignment horizontal="center" vertical="center"/>
    </xf>
    <xf numFmtId="0" fontId="85" fillId="2" borderId="100" xfId="5" applyFont="1" applyBorder="1" applyAlignment="1">
      <alignment horizontal="center" vertical="center"/>
    </xf>
    <xf numFmtId="0" fontId="87" fillId="2" borderId="98" xfId="4" applyFont="1" applyBorder="1" applyAlignment="1">
      <alignment horizontal="center" vertical="center"/>
    </xf>
    <xf numFmtId="0" fontId="87" fillId="2" borderId="99" xfId="4" applyFont="1" applyBorder="1" applyAlignment="1">
      <alignment horizontal="center" vertical="center"/>
    </xf>
    <xf numFmtId="0" fontId="87" fillId="2" borderId="100" xfId="4" applyFont="1" applyBorder="1" applyAlignment="1">
      <alignment horizontal="center" vertical="center"/>
    </xf>
    <xf numFmtId="0" fontId="89" fillId="2" borderId="90" xfId="4" applyFont="1" applyBorder="1" applyAlignment="1">
      <alignment horizontal="center" vertical="center"/>
    </xf>
    <xf numFmtId="0" fontId="89" fillId="2" borderId="96" xfId="4" applyFont="1" applyBorder="1" applyAlignment="1">
      <alignment horizontal="center" vertical="center"/>
    </xf>
    <xf numFmtId="0" fontId="89" fillId="2" borderId="91" xfId="4" applyFont="1" applyBorder="1" applyAlignment="1">
      <alignment horizontal="center" vertical="center"/>
    </xf>
    <xf numFmtId="0" fontId="89" fillId="2" borderId="92" xfId="4" applyFont="1" applyBorder="1" applyAlignment="1">
      <alignment horizontal="center" vertical="center"/>
    </xf>
    <xf numFmtId="0" fontId="89" fillId="2" borderId="0" xfId="4" applyFont="1" applyBorder="1" applyAlignment="1">
      <alignment horizontal="center" vertical="center"/>
    </xf>
    <xf numFmtId="0" fontId="89" fillId="2" borderId="93" xfId="4" applyFont="1" applyBorder="1" applyAlignment="1">
      <alignment horizontal="center" vertical="center"/>
    </xf>
    <xf numFmtId="43" fontId="91" fillId="2" borderId="0" xfId="1" applyFont="1" applyFill="1" applyBorder="1" applyAlignment="1">
      <alignment horizontal="center" vertical="center"/>
    </xf>
    <xf numFmtId="43" fontId="91" fillId="2" borderId="93" xfId="1" applyFont="1" applyFill="1" applyBorder="1" applyAlignment="1">
      <alignment horizontal="center" vertical="center"/>
    </xf>
    <xf numFmtId="14" fontId="99" fillId="2" borderId="0" xfId="1" applyNumberFormat="1" applyFont="1" applyFill="1" applyBorder="1" applyAlignment="1">
      <alignment horizontal="center" vertical="center"/>
    </xf>
    <xf numFmtId="43" fontId="99" fillId="2" borderId="0" xfId="1" applyFont="1" applyFill="1" applyBorder="1" applyAlignment="1">
      <alignment horizontal="center" vertical="center"/>
    </xf>
    <xf numFmtId="43" fontId="99" fillId="2" borderId="93" xfId="1" applyFont="1" applyFill="1" applyBorder="1" applyAlignment="1">
      <alignment horizontal="center" vertical="center"/>
    </xf>
    <xf numFmtId="43" fontId="88" fillId="0" borderId="90" xfId="1" applyFont="1" applyFill="1" applyBorder="1" applyAlignment="1">
      <alignment horizontal="left" vertical="center"/>
    </xf>
    <xf numFmtId="43" fontId="88" fillId="0" borderId="96" xfId="1" applyFont="1" applyFill="1" applyBorder="1" applyAlignment="1">
      <alignment horizontal="left" vertical="center"/>
    </xf>
    <xf numFmtId="43" fontId="99" fillId="0" borderId="96" xfId="1" applyFont="1" applyFill="1" applyBorder="1" applyAlignment="1">
      <alignment horizontal="right" vertical="center"/>
    </xf>
    <xf numFmtId="43" fontId="99" fillId="0" borderId="91" xfId="1" applyFont="1" applyFill="1" applyBorder="1" applyAlignment="1">
      <alignment horizontal="right" vertical="center"/>
    </xf>
    <xf numFmtId="43" fontId="88" fillId="0" borderId="92" xfId="1" applyFont="1" applyFill="1" applyBorder="1" applyAlignment="1">
      <alignment horizontal="left" vertical="center"/>
    </xf>
    <xf numFmtId="43" fontId="88" fillId="0" borderId="0" xfId="1" applyFont="1" applyFill="1" applyBorder="1" applyAlignment="1">
      <alignment horizontal="left" vertical="center"/>
    </xf>
    <xf numFmtId="43" fontId="91" fillId="0" borderId="0" xfId="1" applyFont="1" applyFill="1" applyBorder="1" applyAlignment="1">
      <alignment horizontal="right" vertical="center"/>
    </xf>
    <xf numFmtId="43" fontId="91" fillId="0" borderId="93" xfId="1" applyFont="1" applyFill="1" applyBorder="1" applyAlignment="1">
      <alignment horizontal="right" vertical="center"/>
    </xf>
    <xf numFmtId="43" fontId="88" fillId="2" borderId="109" xfId="1" applyFont="1" applyFill="1" applyBorder="1" applyAlignment="1">
      <alignment horizontal="left" vertical="center"/>
    </xf>
    <xf numFmtId="43" fontId="88" fillId="2" borderId="2" xfId="1" applyFont="1" applyFill="1" applyBorder="1" applyAlignment="1">
      <alignment horizontal="left" vertical="center"/>
    </xf>
    <xf numFmtId="43" fontId="99" fillId="2" borderId="2" xfId="1" applyFont="1" applyFill="1" applyBorder="1" applyAlignment="1">
      <alignment horizontal="right" vertical="center"/>
    </xf>
    <xf numFmtId="43" fontId="99" fillId="2" borderId="110" xfId="1" applyFont="1" applyFill="1" applyBorder="1" applyAlignment="1">
      <alignment horizontal="right" vertical="center"/>
    </xf>
    <xf numFmtId="43" fontId="88" fillId="6" borderId="101" xfId="1" applyFont="1" applyFill="1" applyBorder="1" applyAlignment="1">
      <alignment horizontal="left" vertical="center"/>
    </xf>
    <xf numFmtId="43" fontId="88" fillId="6" borderId="96" xfId="1" applyFont="1" applyFill="1" applyBorder="1" applyAlignment="1">
      <alignment horizontal="left" vertical="center"/>
    </xf>
    <xf numFmtId="43" fontId="88" fillId="6" borderId="91" xfId="1" applyFont="1" applyFill="1" applyBorder="1" applyAlignment="1">
      <alignment horizontal="left" vertical="center"/>
    </xf>
    <xf numFmtId="0" fontId="91" fillId="2" borderId="92" xfId="4" applyFont="1" applyBorder="1" applyAlignment="1">
      <alignment horizontal="center" vertical="center"/>
    </xf>
    <xf numFmtId="0" fontId="91" fillId="2" borderId="0" xfId="4" applyFont="1" applyBorder="1" applyAlignment="1">
      <alignment horizontal="center" vertical="center"/>
    </xf>
    <xf numFmtId="0" fontId="87" fillId="2" borderId="92" xfId="4" applyFont="1" applyBorder="1" applyAlignment="1">
      <alignment horizontal="center" vertical="center"/>
    </xf>
    <xf numFmtId="0" fontId="87" fillId="2" borderId="0" xfId="4" applyFont="1" applyBorder="1" applyAlignment="1">
      <alignment horizontal="center" vertical="center"/>
    </xf>
    <xf numFmtId="0" fontId="89" fillId="2" borderId="89" xfId="4" applyFont="1" applyBorder="1" applyAlignment="1">
      <alignment horizontal="center" vertical="center"/>
    </xf>
    <xf numFmtId="0" fontId="89" fillId="2" borderId="98" xfId="4" applyFont="1" applyBorder="1" applyAlignment="1">
      <alignment horizontal="center" vertical="center"/>
    </xf>
    <xf numFmtId="43" fontId="88" fillId="6" borderId="90" xfId="1" applyFont="1" applyFill="1" applyBorder="1" applyAlignment="1">
      <alignment horizontal="left" vertical="center"/>
    </xf>
    <xf numFmtId="43" fontId="88" fillId="6" borderId="104" xfId="1" applyFont="1" applyFill="1" applyBorder="1" applyAlignment="1">
      <alignment horizontal="left" vertical="center"/>
    </xf>
    <xf numFmtId="43" fontId="9" fillId="2" borderId="0" xfId="1" applyNumberFormat="1" applyFont="1" applyFill="1" applyBorder="1" applyAlignment="1">
      <alignment vertical="center"/>
    </xf>
    <xf numFmtId="43" fontId="9" fillId="2" borderId="58" xfId="1" applyNumberFormat="1" applyFont="1" applyFill="1" applyBorder="1" applyAlignment="1">
      <alignment vertical="center"/>
    </xf>
    <xf numFmtId="43" fontId="9" fillId="2" borderId="0" xfId="1" applyNumberFormat="1" applyFont="1" applyFill="1" applyBorder="1" applyAlignment="1">
      <alignment horizontal="center" vertical="center" wrapText="1"/>
    </xf>
    <xf numFmtId="43" fontId="9" fillId="2" borderId="58" xfId="1" applyNumberFormat="1" applyFont="1" applyFill="1" applyBorder="1" applyAlignment="1">
      <alignment horizontal="center" vertical="center" wrapText="1"/>
    </xf>
    <xf numFmtId="0" fontId="6" fillId="2" borderId="0" xfId="8" applyFont="1" applyAlignment="1">
      <alignment horizontal="left" vertical="center"/>
    </xf>
    <xf numFmtId="0" fontId="3" fillId="3" borderId="0" xfId="3" applyFont="1" applyFill="1" applyAlignment="1">
      <alignment horizontal="center" vertical="center"/>
    </xf>
    <xf numFmtId="0" fontId="11" fillId="2" borderId="0" xfId="3" applyAlignment="1">
      <alignment horizontal="left" vertical="center"/>
    </xf>
    <xf numFmtId="43" fontId="9" fillId="2" borderId="0" xfId="1" applyFont="1" applyFill="1" applyAlignment="1">
      <alignment vertical="center"/>
    </xf>
    <xf numFmtId="0" fontId="6" fillId="4" borderId="0" xfId="8" applyFont="1" applyFill="1" applyAlignment="1">
      <alignment horizontal="center" vertical="center"/>
    </xf>
    <xf numFmtId="165" fontId="9" fillId="2" borderId="0" xfId="1" applyNumberFormat="1" applyFont="1" applyFill="1" applyAlignment="1">
      <alignment horizontal="center" vertical="center"/>
    </xf>
    <xf numFmtId="43" fontId="9" fillId="2" borderId="0" xfId="1" applyFont="1" applyFill="1" applyAlignment="1">
      <alignment horizontal="right" vertical="center"/>
    </xf>
    <xf numFmtId="165" fontId="9" fillId="2" borderId="0" xfId="1" applyNumberFormat="1" applyFont="1" applyFill="1" applyAlignment="1">
      <alignment horizontal="center" vertical="center" wrapText="1"/>
    </xf>
    <xf numFmtId="0" fontId="7" fillId="2" borderId="0" xfId="4" applyFont="1" applyAlignment="1">
      <alignment horizontal="center" vertical="center"/>
    </xf>
    <xf numFmtId="43" fontId="9" fillId="2" borderId="0" xfId="1" applyFont="1" applyFill="1" applyAlignment="1">
      <alignment horizontal="center" vertical="center"/>
    </xf>
    <xf numFmtId="43" fontId="10" fillId="2" borderId="0" xfId="1" applyFont="1" applyFill="1" applyAlignment="1">
      <alignment horizontal="center" vertical="center"/>
    </xf>
    <xf numFmtId="43" fontId="6" fillId="0" borderId="0" xfId="1" applyFont="1" applyAlignment="1">
      <alignment horizontal="left" vertical="center"/>
    </xf>
    <xf numFmtId="43" fontId="9" fillId="0" borderId="0" xfId="1" applyFont="1" applyAlignment="1">
      <alignment horizontal="right" vertical="center"/>
    </xf>
    <xf numFmtId="0" fontId="9" fillId="2" borderId="0" xfId="4" applyFont="1" applyAlignment="1">
      <alignment horizontal="center" vertical="center"/>
    </xf>
    <xf numFmtId="0" fontId="5" fillId="2" borderId="0" xfId="4" applyFont="1" applyAlignment="1">
      <alignment horizontal="center" vertical="center"/>
    </xf>
    <xf numFmtId="43" fontId="6" fillId="0" borderId="4" xfId="1" applyFont="1" applyFill="1" applyBorder="1" applyAlignment="1">
      <alignment horizontal="left" vertical="center"/>
    </xf>
    <xf numFmtId="43" fontId="6" fillId="0" borderId="5" xfId="1" applyFont="1" applyFill="1" applyBorder="1" applyAlignment="1">
      <alignment horizontal="left" vertical="center"/>
    </xf>
    <xf numFmtId="0" fontId="6" fillId="2" borderId="4" xfId="8" applyFont="1" applyBorder="1" applyAlignment="1">
      <alignment horizontal="left" vertical="center"/>
    </xf>
    <xf numFmtId="43" fontId="10" fillId="2" borderId="3" xfId="1" applyNumberFormat="1" applyFont="1" applyFill="1" applyBorder="1" applyAlignment="1">
      <alignment horizontal="right" vertical="center"/>
    </xf>
    <xf numFmtId="43" fontId="10" fillId="2" borderId="0" xfId="1" applyNumberFormat="1" applyFont="1" applyFill="1" applyBorder="1" applyAlignment="1">
      <alignment horizontal="right" vertical="center"/>
    </xf>
    <xf numFmtId="43" fontId="10" fillId="2" borderId="11" xfId="1" applyNumberFormat="1" applyFont="1" applyFill="1" applyBorder="1" applyAlignment="1">
      <alignment horizontal="right" vertical="center"/>
    </xf>
    <xf numFmtId="0" fontId="54" fillId="0" borderId="37" xfId="0" quotePrefix="1" applyFont="1" applyFill="1" applyBorder="1" applyAlignment="1">
      <alignment horizontal="center"/>
    </xf>
    <xf numFmtId="0" fontId="25" fillId="0" borderId="0" xfId="0" applyFont="1" applyAlignment="1">
      <alignment horizontal="center" wrapText="1"/>
    </xf>
    <xf numFmtId="0" fontId="25" fillId="0" borderId="32" xfId="0" applyFont="1" applyBorder="1" applyAlignment="1">
      <alignment horizontal="center" wrapText="1"/>
    </xf>
    <xf numFmtId="0" fontId="25" fillId="0" borderId="0" xfId="0" applyFont="1" applyBorder="1" applyAlignment="1">
      <alignment horizontal="center"/>
    </xf>
    <xf numFmtId="0" fontId="25" fillId="0" borderId="32" xfId="0" applyFont="1" applyBorder="1" applyAlignment="1">
      <alignment horizontal="center"/>
    </xf>
    <xf numFmtId="43" fontId="5" fillId="2" borderId="0" xfId="1" applyFont="1" applyFill="1" applyAlignment="1">
      <alignment horizontal="center" vertical="center"/>
    </xf>
    <xf numFmtId="43" fontId="6" fillId="0" borderId="6" xfId="1" applyFont="1" applyBorder="1" applyAlignment="1">
      <alignment horizontal="left" vertical="center"/>
    </xf>
    <xf numFmtId="43" fontId="6" fillId="0" borderId="7" xfId="1" applyFont="1" applyBorder="1" applyAlignment="1">
      <alignment horizontal="left" vertical="center"/>
    </xf>
    <xf numFmtId="43" fontId="10" fillId="0" borderId="7" xfId="1" applyFont="1" applyBorder="1" applyAlignment="1">
      <alignment horizontal="right" vertical="center"/>
    </xf>
    <xf numFmtId="43" fontId="10" fillId="0" borderId="8" xfId="1" applyFont="1" applyBorder="1" applyAlignment="1">
      <alignment horizontal="right" vertical="center"/>
    </xf>
    <xf numFmtId="43" fontId="9" fillId="0" borderId="11" xfId="1" applyFont="1" applyBorder="1" applyAlignment="1">
      <alignment horizontal="right" vertical="center"/>
    </xf>
    <xf numFmtId="0" fontId="6" fillId="4" borderId="0" xfId="8" applyFont="1" applyFill="1" applyAlignment="1">
      <alignment horizontal="center" vertical="center" wrapText="1"/>
    </xf>
    <xf numFmtId="43" fontId="5" fillId="2" borderId="0" xfId="1" applyFont="1" applyFill="1" applyAlignment="1">
      <alignment horizontal="right" vertical="center"/>
    </xf>
    <xf numFmtId="0" fontId="3" fillId="3" borderId="0" xfId="3" applyFont="1" applyFill="1" applyAlignment="1">
      <alignment horizontal="center" vertical="center" wrapText="1"/>
    </xf>
    <xf numFmtId="0" fontId="11" fillId="2" borderId="11" xfId="3" applyBorder="1" applyAlignment="1">
      <alignment horizontal="left" vertical="center"/>
    </xf>
    <xf numFmtId="49" fontId="11" fillId="2" borderId="12" xfId="3" applyNumberFormat="1" applyBorder="1" applyAlignment="1">
      <alignment horizontal="left" vertical="center"/>
    </xf>
    <xf numFmtId="43" fontId="5" fillId="2" borderId="58" xfId="1" applyFont="1" applyFill="1" applyBorder="1" applyAlignment="1">
      <alignment horizontal="center" vertical="center"/>
    </xf>
    <xf numFmtId="43" fontId="5" fillId="2" borderId="58" xfId="1" applyFont="1" applyFill="1" applyBorder="1" applyAlignment="1">
      <alignment horizontal="right" vertical="center"/>
    </xf>
    <xf numFmtId="0" fontId="77" fillId="0" borderId="57" xfId="0" applyFont="1" applyBorder="1" applyAlignment="1">
      <alignment horizontal="center"/>
    </xf>
    <xf numFmtId="0" fontId="77" fillId="0" borderId="0" xfId="0" applyFont="1" applyBorder="1" applyAlignment="1">
      <alignment horizontal="center"/>
    </xf>
    <xf numFmtId="43" fontId="5" fillId="2" borderId="59" xfId="1" applyFont="1" applyFill="1" applyBorder="1" applyAlignment="1">
      <alignment horizontal="center" vertical="center"/>
    </xf>
    <xf numFmtId="43" fontId="10" fillId="0" borderId="61" xfId="1" applyFont="1" applyBorder="1" applyAlignment="1">
      <alignment horizontal="right" vertical="center"/>
    </xf>
    <xf numFmtId="43" fontId="10" fillId="0" borderId="61" xfId="1" applyFont="1" applyFill="1" applyBorder="1" applyAlignment="1">
      <alignment horizontal="right" vertical="center"/>
    </xf>
    <xf numFmtId="43" fontId="33" fillId="0" borderId="0" xfId="1" applyFont="1" applyFill="1" applyBorder="1" applyAlignment="1">
      <alignment horizontal="right" vertical="center" wrapText="1"/>
    </xf>
    <xf numFmtId="43" fontId="5" fillId="0" borderId="0" xfId="1" applyFont="1" applyFill="1" applyBorder="1" applyAlignment="1">
      <alignment horizontal="right" vertical="center"/>
    </xf>
    <xf numFmtId="43" fontId="5" fillId="0" borderId="58" xfId="1" applyFont="1" applyFill="1" applyBorder="1" applyAlignment="1">
      <alignment horizontal="right" vertical="center"/>
    </xf>
    <xf numFmtId="43" fontId="5" fillId="2" borderId="0" xfId="1" applyFont="1" applyFill="1" applyBorder="1" applyAlignment="1">
      <alignment horizontal="center" vertical="center" wrapText="1"/>
    </xf>
    <xf numFmtId="43" fontId="5" fillId="2" borderId="11" xfId="1" applyFont="1" applyFill="1" applyBorder="1" applyAlignment="1">
      <alignment horizontal="center" vertical="center" wrapText="1"/>
    </xf>
    <xf numFmtId="0" fontId="11" fillId="2" borderId="2" xfId="3" applyBorder="1" applyAlignment="1">
      <alignment horizontal="left" vertical="center"/>
    </xf>
    <xf numFmtId="0" fontId="11" fillId="2" borderId="13" xfId="3" applyBorder="1" applyAlignment="1">
      <alignment horizontal="left" vertical="center"/>
    </xf>
    <xf numFmtId="0" fontId="3" fillId="3" borderId="13" xfId="3" applyFont="1" applyFill="1" applyBorder="1" applyAlignment="1">
      <alignment horizontal="center" vertical="center" wrapText="1"/>
    </xf>
    <xf numFmtId="0" fontId="3" fillId="3" borderId="11" xfId="3" applyFont="1" applyFill="1" applyBorder="1" applyAlignment="1">
      <alignment horizontal="center" vertical="center" wrapText="1"/>
    </xf>
    <xf numFmtId="0" fontId="3" fillId="3" borderId="4" xfId="3" applyFont="1" applyFill="1" applyBorder="1" applyAlignment="1">
      <alignment horizontal="center" vertical="center" wrapText="1"/>
    </xf>
    <xf numFmtId="0" fontId="3" fillId="3" borderId="5" xfId="3" applyFont="1" applyFill="1" applyBorder="1" applyAlignment="1">
      <alignment horizontal="center" vertical="center" wrapText="1"/>
    </xf>
    <xf numFmtId="0" fontId="3" fillId="3" borderId="12" xfId="3" applyFont="1" applyFill="1" applyBorder="1" applyAlignment="1">
      <alignment horizontal="center" vertical="center" wrapText="1"/>
    </xf>
    <xf numFmtId="0" fontId="6" fillId="2" borderId="8" xfId="8" applyFont="1" applyBorder="1" applyAlignment="1">
      <alignment horizontal="center" vertical="center"/>
    </xf>
    <xf numFmtId="0" fontId="8" fillId="4" borderId="6" xfId="6" applyFont="1" applyFill="1" applyBorder="1" applyAlignment="1">
      <alignment horizontal="center" vertical="center"/>
    </xf>
    <xf numFmtId="0" fontId="8" fillId="4" borderId="7" xfId="6" applyFont="1" applyFill="1" applyBorder="1" applyAlignment="1">
      <alignment horizontal="center" vertical="center"/>
    </xf>
    <xf numFmtId="0" fontId="8" fillId="4" borderId="8" xfId="6" applyFont="1" applyFill="1" applyBorder="1" applyAlignment="1">
      <alignment horizontal="center" vertical="center"/>
    </xf>
    <xf numFmtId="0" fontId="6" fillId="4" borderId="2" xfId="8" applyFont="1" applyFill="1" applyBorder="1" applyAlignment="1">
      <alignment horizontal="center" vertical="center" wrapText="1"/>
    </xf>
    <xf numFmtId="0" fontId="6" fillId="4" borderId="13" xfId="8" applyFont="1" applyFill="1" applyBorder="1" applyAlignment="1">
      <alignment horizontal="center" vertical="center" wrapText="1"/>
    </xf>
    <xf numFmtId="43" fontId="5" fillId="2" borderId="2" xfId="1" applyFont="1" applyFill="1" applyBorder="1" applyAlignment="1">
      <alignment horizontal="center" vertical="center"/>
    </xf>
    <xf numFmtId="43" fontId="9" fillId="0" borderId="7" xfId="1" applyFont="1" applyFill="1" applyBorder="1" applyAlignment="1">
      <alignment horizontal="right" vertical="center"/>
    </xf>
    <xf numFmtId="0" fontId="5" fillId="2" borderId="8" xfId="8" applyFont="1" applyBorder="1" applyAlignment="1">
      <alignment horizontal="left" vertical="center"/>
    </xf>
    <xf numFmtId="0" fontId="8" fillId="4" borderId="1" xfId="6" applyFont="1" applyFill="1" applyBorder="1" applyAlignment="1">
      <alignment horizontal="center" vertical="center"/>
    </xf>
    <xf numFmtId="0" fontId="8" fillId="4" borderId="2" xfId="6" applyFont="1" applyFill="1" applyBorder="1" applyAlignment="1">
      <alignment horizontal="center" vertical="center"/>
    </xf>
    <xf numFmtId="0" fontId="6" fillId="4" borderId="6" xfId="8" applyFont="1" applyFill="1" applyBorder="1" applyAlignment="1">
      <alignment horizontal="center" vertical="center" wrapText="1"/>
    </xf>
    <xf numFmtId="0" fontId="6" fillId="4" borderId="7" xfId="8" applyFont="1" applyFill="1" applyBorder="1" applyAlignment="1">
      <alignment horizontal="center" vertical="center" wrapText="1"/>
    </xf>
    <xf numFmtId="0" fontId="6" fillId="4" borderId="8" xfId="8" applyFont="1" applyFill="1" applyBorder="1" applyAlignment="1">
      <alignment horizontal="center" vertical="center" wrapText="1"/>
    </xf>
    <xf numFmtId="43" fontId="9" fillId="0" borderId="8" xfId="1" applyFont="1" applyFill="1" applyBorder="1" applyAlignment="1">
      <alignment horizontal="right" vertical="center"/>
    </xf>
  </cellXfs>
  <cellStyles count="14">
    <cellStyle name="Comma" xfId="1" builtinId="3"/>
    <cellStyle name="Normal" xfId="0" builtinId="0"/>
    <cellStyle name="Normal 2" xfId="2" xr:uid="{00000000-0005-0000-0000-000002000000}"/>
    <cellStyle name="Style 33" xfId="3" xr:uid="{00000000-0005-0000-0000-000003000000}"/>
    <cellStyle name="Style 34" xfId="4" xr:uid="{00000000-0005-0000-0000-000004000000}"/>
    <cellStyle name="Style 35" xfId="5" xr:uid="{00000000-0005-0000-0000-000005000000}"/>
    <cellStyle name="Style 36" xfId="6" xr:uid="{00000000-0005-0000-0000-000006000000}"/>
    <cellStyle name="Style 37" xfId="7" xr:uid="{00000000-0005-0000-0000-000007000000}"/>
    <cellStyle name="Style 38" xfId="8" xr:uid="{00000000-0005-0000-0000-000008000000}"/>
    <cellStyle name="Style 39" xfId="9" xr:uid="{00000000-0005-0000-0000-000009000000}"/>
    <cellStyle name="Style 42" xfId="10" xr:uid="{00000000-0005-0000-0000-00000A000000}"/>
    <cellStyle name="Style 45" xfId="11" xr:uid="{00000000-0005-0000-0000-00000B000000}"/>
    <cellStyle name="Style 46" xfId="12" xr:uid="{00000000-0005-0000-0000-00000C000000}"/>
    <cellStyle name="Style 50" xfId="13" xr:uid="{00000000-0005-0000-0000-00000D000000}"/>
  </cellStyles>
  <dxfs count="0"/>
  <tableStyles count="0" defaultTableStyle="TableStyleMedium2" defaultPivotStyle="PivotStyleLight16"/>
  <colors>
    <mruColors>
      <color rgb="FFE9C7FF"/>
      <color rgb="FFF1DBFF"/>
      <color rgb="FF73FA2F"/>
      <color rgb="FFFA2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</xdr:row>
      <xdr:rowOff>57150</xdr:rowOff>
    </xdr:from>
    <xdr:to>
      <xdr:col>2</xdr:col>
      <xdr:colOff>200025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A3C61-EAB9-409E-BEFF-1A78B122B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19075"/>
          <a:ext cx="1057275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1</xdr:row>
      <xdr:rowOff>38100</xdr:rowOff>
    </xdr:from>
    <xdr:to>
      <xdr:col>2</xdr:col>
      <xdr:colOff>361950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019175" cy="800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421005</xdr:colOff>
      <xdr:row>1</xdr:row>
      <xdr:rowOff>34290</xdr:rowOff>
    </xdr:from>
    <xdr:to>
      <xdr:col>2</xdr:col>
      <xdr:colOff>382905</xdr:colOff>
      <xdr:row>4</xdr:row>
      <xdr:rowOff>220419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445A61-C72A-4242-9137-F18AA7E30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196215"/>
          <a:ext cx="1228725" cy="900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506730</xdr:colOff>
      <xdr:row>0</xdr:row>
      <xdr:rowOff>158115</xdr:rowOff>
    </xdr:from>
    <xdr:to>
      <xdr:col>2</xdr:col>
      <xdr:colOff>468630</xdr:colOff>
      <xdr:row>4</xdr:row>
      <xdr:rowOff>182319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66FFC-3A0C-4CA8-B5CD-809A59F7D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" y="158115"/>
          <a:ext cx="1228725" cy="9005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1</xdr:row>
      <xdr:rowOff>76200</xdr:rowOff>
    </xdr:from>
    <xdr:to>
      <xdr:col>2</xdr:col>
      <xdr:colOff>342900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50377-C922-4A12-8647-511FF31C9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238125"/>
          <a:ext cx="1095375" cy="800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28575</xdr:rowOff>
    </xdr:from>
    <xdr:to>
      <xdr:col>1</xdr:col>
      <xdr:colOff>1495425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38B662-75A7-42DC-AF12-3CB74E05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0"/>
          <a:ext cx="1095375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1038225</xdr:colOff>
      <xdr:row>33</xdr:row>
      <xdr:rowOff>161925</xdr:rowOff>
    </xdr:from>
    <xdr:to>
      <xdr:col>10</xdr:col>
      <xdr:colOff>200025</xdr:colOff>
      <xdr:row>50</xdr:row>
      <xdr:rowOff>209550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6E911E5D-E2BB-A988-2F34-AF83E5D121E5}"/>
            </a:ext>
            <a:ext uri="{147F2762-F138-4A5C-976F-8EAC2B608ADB}">
              <a16:predDERef xmlns:a16="http://schemas.microsoft.com/office/drawing/2014/main" pred="{AE38B662-75A7-42DC-AF12-3CB74E05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657600" y="5229225"/>
          <a:ext cx="4010025" cy="8886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1447800</xdr:colOff>
      <xdr:row>1</xdr:row>
      <xdr:rowOff>57150</xdr:rowOff>
    </xdr:from>
    <xdr:to>
      <xdr:col>2</xdr:col>
      <xdr:colOff>923925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219075"/>
          <a:ext cx="1095375" cy="800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1</xdr:row>
      <xdr:rowOff>76200</xdr:rowOff>
    </xdr:from>
    <xdr:to>
      <xdr:col>2</xdr:col>
      <xdr:colOff>342900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1AF88-5FDA-450E-B3BB-0EF8A718C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238125"/>
          <a:ext cx="1095375" cy="8001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1</xdr:row>
      <xdr:rowOff>76200</xdr:rowOff>
    </xdr:from>
    <xdr:to>
      <xdr:col>2</xdr:col>
      <xdr:colOff>342900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D5ADB-EBC7-453F-8A09-FC7EA4EC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238125"/>
          <a:ext cx="1095375" cy="800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1</xdr:row>
      <xdr:rowOff>76200</xdr:rowOff>
    </xdr:from>
    <xdr:to>
      <xdr:col>2</xdr:col>
      <xdr:colOff>342900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9BF002-7F80-42D9-8F3F-DFF99305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238125"/>
          <a:ext cx="1095375" cy="800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1</xdr:row>
      <xdr:rowOff>114300</xdr:rowOff>
    </xdr:from>
    <xdr:to>
      <xdr:col>2</xdr:col>
      <xdr:colOff>0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D833D-EE69-4240-BE73-E393D87A4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76225"/>
          <a:ext cx="1095375" cy="800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28575</xdr:rowOff>
    </xdr:from>
    <xdr:to>
      <xdr:col>1</xdr:col>
      <xdr:colOff>1495425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9DB04-8156-4678-9C27-ECBAD8DC0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0"/>
          <a:ext cx="1095375" cy="8001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1</xdr:row>
      <xdr:rowOff>76200</xdr:rowOff>
    </xdr:from>
    <xdr:to>
      <xdr:col>2</xdr:col>
      <xdr:colOff>342900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1492A-35C4-4F25-9A17-ACC7FA92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238125"/>
          <a:ext cx="1095375" cy="8001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28575</xdr:rowOff>
    </xdr:from>
    <xdr:to>
      <xdr:col>1</xdr:col>
      <xdr:colOff>1495425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85D96-0727-43A6-B5A0-1E244B47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0"/>
          <a:ext cx="1095375" cy="8001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1</xdr:row>
      <xdr:rowOff>76200</xdr:rowOff>
    </xdr:from>
    <xdr:to>
      <xdr:col>2</xdr:col>
      <xdr:colOff>190500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378320-08AE-46FB-9885-417CE0C4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238125"/>
          <a:ext cx="1095375" cy="8001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1</xdr:row>
      <xdr:rowOff>95250</xdr:rowOff>
    </xdr:from>
    <xdr:to>
      <xdr:col>2</xdr:col>
      <xdr:colOff>200025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63C39-479B-46ED-A621-EEFE8CE99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257175"/>
          <a:ext cx="1095375" cy="8001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1</xdr:row>
      <xdr:rowOff>95250</xdr:rowOff>
    </xdr:from>
    <xdr:to>
      <xdr:col>2</xdr:col>
      <xdr:colOff>200025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FA5B0-33B2-4A53-A705-92012D9EA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257175"/>
          <a:ext cx="1095375" cy="8001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2</xdr:row>
      <xdr:rowOff>34290</xdr:rowOff>
    </xdr:from>
    <xdr:to>
      <xdr:col>2</xdr:col>
      <xdr:colOff>792480</xdr:colOff>
      <xdr:row>5</xdr:row>
      <xdr:rowOff>220419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7238B-5888-46E0-B4EA-5D05AE87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5" y="358140"/>
          <a:ext cx="1228725" cy="90050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2</xdr:row>
      <xdr:rowOff>34290</xdr:rowOff>
    </xdr:from>
    <xdr:to>
      <xdr:col>2</xdr:col>
      <xdr:colOff>792480</xdr:colOff>
      <xdr:row>5</xdr:row>
      <xdr:rowOff>220419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D27BE-045E-46AE-9C27-BCBDF4AC3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5" y="358140"/>
          <a:ext cx="1228725" cy="90050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2</xdr:row>
      <xdr:rowOff>34290</xdr:rowOff>
    </xdr:from>
    <xdr:to>
      <xdr:col>2</xdr:col>
      <xdr:colOff>792480</xdr:colOff>
      <xdr:row>5</xdr:row>
      <xdr:rowOff>220419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14DB1-2BB9-4A68-AF92-BBF069DDC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5" y="358140"/>
          <a:ext cx="1228725" cy="90050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2</xdr:row>
      <xdr:rowOff>34290</xdr:rowOff>
    </xdr:from>
    <xdr:to>
      <xdr:col>2</xdr:col>
      <xdr:colOff>792480</xdr:colOff>
      <xdr:row>5</xdr:row>
      <xdr:rowOff>220419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9700D3F-A1B2-4851-9EAE-F60040D5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55" y="358140"/>
          <a:ext cx="1228725" cy="90050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421005</xdr:colOff>
      <xdr:row>1</xdr:row>
      <xdr:rowOff>34290</xdr:rowOff>
    </xdr:from>
    <xdr:to>
      <xdr:col>2</xdr:col>
      <xdr:colOff>287655</xdr:colOff>
      <xdr:row>4</xdr:row>
      <xdr:rowOff>220419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8B7D5-B202-4F1B-B1BA-A49BB3A89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196215"/>
          <a:ext cx="1228725" cy="90050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421005</xdr:colOff>
      <xdr:row>0</xdr:row>
      <xdr:rowOff>158115</xdr:rowOff>
    </xdr:from>
    <xdr:to>
      <xdr:col>2</xdr:col>
      <xdr:colOff>287655</xdr:colOff>
      <xdr:row>4</xdr:row>
      <xdr:rowOff>182319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EBA81-7656-42D0-AC16-677D6C0A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158115"/>
          <a:ext cx="1228725" cy="90050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1</xdr:row>
      <xdr:rowOff>66675</xdr:rowOff>
    </xdr:from>
    <xdr:to>
      <xdr:col>2</xdr:col>
      <xdr:colOff>57150</xdr:colOff>
      <xdr:row>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07D79B-1F6B-4F58-BC7F-4B0EA874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28600"/>
          <a:ext cx="1095375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-66675</xdr:colOff>
      <xdr:row>0</xdr:row>
      <xdr:rowOff>9525</xdr:rowOff>
    </xdr:from>
    <xdr:to>
      <xdr:col>0</xdr:col>
      <xdr:colOff>-66675</xdr:colOff>
      <xdr:row>0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42A6E6D3-8E17-47BA-9001-8FFF15259F7B}"/>
            </a:ext>
            <a:ext uri="{147F2762-F138-4A5C-976F-8EAC2B608ADB}">
              <a16:predDERef xmlns:a16="http://schemas.microsoft.com/office/drawing/2014/main" pred="{B907D79B-1F6B-4F58-BC7F-4B0EA874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66675" y="9525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28575</xdr:rowOff>
    </xdr:from>
    <xdr:to>
      <xdr:col>1</xdr:col>
      <xdr:colOff>1495425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A1FDA-25FB-4854-9B1E-1A0CC946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0"/>
          <a:ext cx="1095375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-66675</xdr:colOff>
      <xdr:row>0</xdr:row>
      <xdr:rowOff>9525</xdr:rowOff>
    </xdr:from>
    <xdr:to>
      <xdr:col>0</xdr:col>
      <xdr:colOff>-66675</xdr:colOff>
      <xdr:row>0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48BF6918-CF12-4A0C-8040-18405FE780D0}"/>
            </a:ext>
            <a:ext uri="{147F2762-F138-4A5C-976F-8EAC2B608ADB}">
              <a16:predDERef xmlns:a16="http://schemas.microsoft.com/office/drawing/2014/main" pred="{579A1FDA-25FB-4854-9B1E-1A0CC946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66675" y="9525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28575</xdr:rowOff>
    </xdr:from>
    <xdr:to>
      <xdr:col>1</xdr:col>
      <xdr:colOff>1495425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A84CB-4A30-40A2-8F0E-6AC754C90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0"/>
          <a:ext cx="1095375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-66675</xdr:colOff>
      <xdr:row>0</xdr:row>
      <xdr:rowOff>9525</xdr:rowOff>
    </xdr:from>
    <xdr:to>
      <xdr:col>0</xdr:col>
      <xdr:colOff>-66675</xdr:colOff>
      <xdr:row>0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F286E1-A442-247D-101F-D730815E55A3}"/>
            </a:ext>
            <a:ext uri="{147F2762-F138-4A5C-976F-8EAC2B608ADB}">
              <a16:predDERef xmlns:a16="http://schemas.microsoft.com/office/drawing/2014/main" pred="{BC2A84CB-4A30-40A2-8F0E-6AC754C90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66675" y="9525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66675</xdr:rowOff>
    </xdr:from>
    <xdr:to>
      <xdr:col>2</xdr:col>
      <xdr:colOff>304800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669B6F-1737-4E89-A898-50344E837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28600"/>
          <a:ext cx="1000125" cy="8096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66675</xdr:rowOff>
    </xdr:from>
    <xdr:to>
      <xdr:col>2</xdr:col>
      <xdr:colOff>304800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C5487-1326-4820-99CB-E1295F46F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28600"/>
          <a:ext cx="1000125" cy="8096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66675</xdr:rowOff>
    </xdr:from>
    <xdr:to>
      <xdr:col>2</xdr:col>
      <xdr:colOff>304800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3812A3-4FB4-499C-90BE-67BB7639B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28600"/>
          <a:ext cx="1000125" cy="8096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66675</xdr:rowOff>
    </xdr:from>
    <xdr:to>
      <xdr:col>2</xdr:col>
      <xdr:colOff>304800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635FD-1303-45C3-8BD2-FA383150D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28600"/>
          <a:ext cx="1000125" cy="8096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66675</xdr:rowOff>
    </xdr:from>
    <xdr:to>
      <xdr:col>2</xdr:col>
      <xdr:colOff>304800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28600"/>
          <a:ext cx="1000125" cy="8096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</xdr:row>
      <xdr:rowOff>57150</xdr:rowOff>
    </xdr:from>
    <xdr:to>
      <xdr:col>2</xdr:col>
      <xdr:colOff>200025</xdr:colOff>
      <xdr:row>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EE1FED-1552-4675-BD6F-81B233B0D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19075"/>
          <a:ext cx="1057275" cy="8191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</xdr:row>
      <xdr:rowOff>53340</xdr:rowOff>
    </xdr:from>
    <xdr:to>
      <xdr:col>2</xdr:col>
      <xdr:colOff>373380</xdr:colOff>
      <xdr:row>5</xdr:row>
      <xdr:rowOff>1344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" y="215265"/>
          <a:ext cx="1066800" cy="9004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</xdr:row>
      <xdr:rowOff>53340</xdr:rowOff>
    </xdr:from>
    <xdr:to>
      <xdr:col>2</xdr:col>
      <xdr:colOff>373380</xdr:colOff>
      <xdr:row>5</xdr:row>
      <xdr:rowOff>1344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605" y="215265"/>
          <a:ext cx="1066800" cy="9004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</xdr:row>
      <xdr:rowOff>53340</xdr:rowOff>
    </xdr:from>
    <xdr:to>
      <xdr:col>2</xdr:col>
      <xdr:colOff>373380</xdr:colOff>
      <xdr:row>3</xdr:row>
      <xdr:rowOff>58494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243840"/>
          <a:ext cx="561975" cy="70993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</xdr:row>
      <xdr:rowOff>53340</xdr:rowOff>
    </xdr:from>
    <xdr:to>
      <xdr:col>2</xdr:col>
      <xdr:colOff>373380</xdr:colOff>
      <xdr:row>2</xdr:row>
      <xdr:rowOff>87069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" y="243840"/>
          <a:ext cx="561975" cy="38608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</xdr:row>
      <xdr:rowOff>53340</xdr:rowOff>
    </xdr:from>
    <xdr:to>
      <xdr:col>2</xdr:col>
      <xdr:colOff>373380</xdr:colOff>
      <xdr:row>2</xdr:row>
      <xdr:rowOff>87069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" y="243840"/>
          <a:ext cx="561975" cy="38608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</xdr:row>
      <xdr:rowOff>53340</xdr:rowOff>
    </xdr:from>
    <xdr:to>
      <xdr:col>2</xdr:col>
      <xdr:colOff>373380</xdr:colOff>
      <xdr:row>5</xdr:row>
      <xdr:rowOff>1344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" y="215265"/>
          <a:ext cx="1066800" cy="900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46C2-B014-4B3C-924E-15BEE1460B61}">
  <sheetPr>
    <pageSetUpPr fitToPage="1"/>
  </sheetPr>
  <dimension ref="B1:T63"/>
  <sheetViews>
    <sheetView showGridLines="0" view="pageBreakPreview" topLeftCell="A5" zoomScale="70" zoomScaleNormal="100" zoomScaleSheetLayoutView="70" workbookViewId="0">
      <selection activeCell="G15" sqref="G15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" style="74"/>
    <col min="18" max="18" width="14.25" style="75" customWidth="1"/>
    <col min="19" max="16384" width="9.25" style="74"/>
  </cols>
  <sheetData>
    <row r="1" spans="2:18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2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2:18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2:18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2:18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2:18" ht="18.75" customHeight="1">
      <c r="B6" s="144"/>
      <c r="C6" s="145"/>
      <c r="D6" s="145"/>
      <c r="E6" s="145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2:18" ht="18.75" customHeight="1">
      <c r="B7" s="147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2:18" ht="18.75" customHeight="1">
      <c r="B8" s="13" t="s">
        <v>9</v>
      </c>
      <c r="C8" s="194" t="s">
        <v>10</v>
      </c>
      <c r="D8" s="14"/>
      <c r="E8" s="15"/>
      <c r="F8" s="15"/>
      <c r="G8" s="15"/>
      <c r="H8" s="16"/>
      <c r="I8" s="752" t="s">
        <v>11</v>
      </c>
      <c r="J8" s="752"/>
      <c r="K8" s="152" t="s">
        <v>12</v>
      </c>
      <c r="L8" s="127"/>
      <c r="M8" s="127"/>
      <c r="N8" s="127"/>
      <c r="O8" s="132"/>
      <c r="R8" s="74"/>
    </row>
    <row r="9" spans="2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2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17</v>
      </c>
      <c r="L10" s="138"/>
      <c r="M10" s="138"/>
      <c r="N10" s="138"/>
      <c r="O10" s="139"/>
      <c r="R10" s="125" t="str">
        <f>K10</f>
        <v>A1337</v>
      </c>
    </row>
    <row r="11" spans="2:18" ht="18.75" customHeight="1">
      <c r="B11" s="140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142"/>
      <c r="R11" s="74"/>
    </row>
    <row r="12" spans="2:18" ht="18.75" customHeight="1">
      <c r="B12" s="153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2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66"/>
      <c r="R13" s="74"/>
    </row>
    <row r="14" spans="2:18" ht="18.75" customHeight="1">
      <c r="B14" s="156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2:18" ht="18.75" customHeight="1">
      <c r="B15" s="293" t="s">
        <v>24</v>
      </c>
      <c r="C15" s="24"/>
      <c r="D15" s="24"/>
      <c r="E15" s="24"/>
      <c r="F15" s="24"/>
      <c r="G15" s="24"/>
      <c r="H15" s="26" t="s">
        <v>25</v>
      </c>
      <c r="I15" s="720" t="s">
        <v>26</v>
      </c>
      <c r="J15" s="61" t="s">
        <v>27</v>
      </c>
      <c r="K15" s="868">
        <v>100000</v>
      </c>
      <c r="L15" s="868"/>
      <c r="M15" s="868"/>
      <c r="N15" s="868"/>
      <c r="O15" s="869"/>
      <c r="R15" s="74"/>
    </row>
    <row r="16" spans="2:18" ht="23.25" customHeight="1">
      <c r="B16" s="382" t="s">
        <v>28</v>
      </c>
      <c r="C16" s="159"/>
      <c r="D16" s="24"/>
      <c r="E16" s="24"/>
      <c r="F16" s="24"/>
      <c r="G16" s="24"/>
      <c r="H16" s="26"/>
      <c r="I16" s="720"/>
      <c r="J16" s="61"/>
      <c r="K16" s="846"/>
      <c r="L16" s="846"/>
      <c r="M16" s="846"/>
      <c r="N16" s="846"/>
      <c r="O16" s="847"/>
      <c r="R16" s="74"/>
    </row>
    <row r="17" spans="2:20" ht="18.75" customHeight="1">
      <c r="B17" s="158"/>
      <c r="C17" s="24"/>
      <c r="D17" s="24"/>
      <c r="E17" s="24"/>
      <c r="F17" s="24"/>
      <c r="G17" s="24"/>
      <c r="H17" s="26"/>
      <c r="I17" s="720"/>
      <c r="J17" s="61"/>
      <c r="K17" s="846"/>
      <c r="L17" s="846"/>
      <c r="M17" s="846"/>
      <c r="N17" s="846"/>
      <c r="O17" s="847"/>
      <c r="R17" s="74"/>
    </row>
    <row r="18" spans="2:20" ht="18.75" customHeight="1">
      <c r="B18" s="158"/>
      <c r="C18" s="159"/>
      <c r="D18" s="80"/>
      <c r="E18" s="80"/>
      <c r="F18" s="80"/>
      <c r="G18" s="80"/>
      <c r="H18" s="26"/>
      <c r="I18" s="720"/>
      <c r="J18" s="61"/>
      <c r="K18" s="846"/>
      <c r="L18" s="846"/>
      <c r="M18" s="846"/>
      <c r="N18" s="846"/>
      <c r="O18" s="847"/>
      <c r="R18" s="74"/>
    </row>
    <row r="19" spans="2:20" ht="18.75" customHeight="1">
      <c r="B19" s="158"/>
      <c r="C19" s="24"/>
      <c r="D19" s="80"/>
      <c r="E19" s="80"/>
      <c r="F19" s="80"/>
      <c r="G19" s="80"/>
      <c r="H19" s="26"/>
      <c r="I19" s="720"/>
      <c r="J19" s="61"/>
      <c r="K19" s="846"/>
      <c r="L19" s="846"/>
      <c r="M19" s="846"/>
      <c r="N19" s="846"/>
      <c r="O19" s="847"/>
      <c r="R19" s="74"/>
    </row>
    <row r="20" spans="2:20" ht="18.75" customHeight="1">
      <c r="B20" s="294"/>
      <c r="C20" s="295" t="s">
        <v>29</v>
      </c>
      <c r="D20" s="80"/>
      <c r="E20" s="80"/>
      <c r="F20" s="80"/>
      <c r="G20" s="80"/>
      <c r="H20" s="26"/>
      <c r="I20" s="720"/>
      <c r="J20" s="61"/>
      <c r="K20" s="848"/>
      <c r="L20" s="846"/>
      <c r="M20" s="846"/>
      <c r="N20" s="846"/>
      <c r="O20" s="847"/>
      <c r="R20" s="74"/>
    </row>
    <row r="21" spans="2:20" ht="18.75" hidden="1" customHeight="1">
      <c r="B21" s="158"/>
      <c r="C21" s="24"/>
      <c r="D21" s="80"/>
      <c r="E21" s="80"/>
      <c r="F21" s="80"/>
      <c r="G21" s="80"/>
      <c r="H21" s="26"/>
      <c r="I21" s="720"/>
      <c r="J21" s="61"/>
      <c r="K21" s="846"/>
      <c r="L21" s="846"/>
      <c r="M21" s="846"/>
      <c r="N21" s="846"/>
      <c r="O21" s="847"/>
      <c r="R21" s="74"/>
    </row>
    <row r="22" spans="2:20" ht="22.5" hidden="1" customHeight="1">
      <c r="B22" s="158"/>
      <c r="C22" s="160"/>
      <c r="D22" s="80"/>
      <c r="E22" s="161"/>
      <c r="F22" s="80"/>
      <c r="G22" s="80"/>
      <c r="H22" s="26"/>
      <c r="I22" s="720"/>
      <c r="J22" s="61"/>
      <c r="K22" s="846"/>
      <c r="L22" s="846"/>
      <c r="M22" s="846"/>
      <c r="N22" s="846"/>
      <c r="O22" s="847"/>
      <c r="R22" s="74"/>
    </row>
    <row r="23" spans="2:20" ht="28.5" customHeight="1">
      <c r="B23" s="162"/>
      <c r="C23" s="344" t="s">
        <v>30</v>
      </c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850"/>
    </row>
    <row r="24" spans="2:20" ht="18.75" customHeight="1">
      <c r="B24" s="167" t="s">
        <v>31</v>
      </c>
      <c r="C24" s="94"/>
      <c r="D24" s="94"/>
      <c r="E24" s="94"/>
      <c r="F24" s="94"/>
      <c r="G24" s="168"/>
      <c r="H24" s="130"/>
      <c r="I24" s="851" t="s">
        <v>32</v>
      </c>
      <c r="J24" s="852"/>
      <c r="K24" s="853">
        <f>SUM(K15:O23)</f>
        <v>100000</v>
      </c>
      <c r="L24" s="853"/>
      <c r="M24" s="853"/>
      <c r="N24" s="853"/>
      <c r="O24" s="854"/>
      <c r="P24" s="121">
        <f>SUM(K15:O22)</f>
        <v>100000</v>
      </c>
      <c r="R24" s="123">
        <v>17892</v>
      </c>
    </row>
    <row r="25" spans="2:20" ht="18.75" customHeight="1">
      <c r="B25" s="37" t="s">
        <v>33</v>
      </c>
      <c r="C25" s="15" t="s">
        <v>34</v>
      </c>
      <c r="D25" s="34"/>
      <c r="E25" s="34"/>
      <c r="F25" s="34"/>
      <c r="G25" s="35"/>
      <c r="H25" s="36"/>
      <c r="I25" s="734"/>
      <c r="J25" s="169"/>
      <c r="K25" s="170"/>
      <c r="L25" s="170"/>
      <c r="M25" s="170"/>
      <c r="N25" s="170"/>
      <c r="O25" s="171"/>
      <c r="P25" s="121"/>
      <c r="R25" s="123"/>
      <c r="T25" s="74" t="s">
        <v>35</v>
      </c>
    </row>
    <row r="26" spans="2:20" ht="18.75" hidden="1" customHeight="1">
      <c r="B26" s="167" t="s">
        <v>36</v>
      </c>
      <c r="C26" s="94" t="s">
        <v>37</v>
      </c>
      <c r="D26" s="172"/>
      <c r="E26" s="172"/>
      <c r="F26" s="172"/>
      <c r="G26" s="173"/>
      <c r="H26" s="174"/>
      <c r="I26" s="175"/>
      <c r="J26" s="176"/>
      <c r="K26" s="177"/>
      <c r="L26" s="177"/>
      <c r="M26" s="177"/>
      <c r="N26" s="177"/>
      <c r="O26" s="178"/>
      <c r="P26" s="121"/>
      <c r="R26" s="123"/>
    </row>
    <row r="27" spans="2:20" ht="18.75" hidden="1" customHeight="1">
      <c r="B27" s="179" t="s">
        <v>33</v>
      </c>
      <c r="C27" s="180" t="s">
        <v>38</v>
      </c>
      <c r="D27" s="181"/>
      <c r="E27" s="18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57"/>
    </row>
    <row r="28" spans="2:20" ht="18.75" customHeight="1">
      <c r="B28" s="18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100000</v>
      </c>
      <c r="L28" s="809"/>
      <c r="M28" s="809"/>
      <c r="N28" s="809"/>
      <c r="O28" s="858"/>
    </row>
    <row r="29" spans="2:20" ht="18.75" customHeight="1">
      <c r="B29" s="722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59"/>
    </row>
    <row r="30" spans="2:20" s="73" customFormat="1" ht="18.75" customHeight="1">
      <c r="B30" s="46"/>
      <c r="C30" s="47"/>
      <c r="D30" s="141"/>
      <c r="E30" s="47"/>
      <c r="F30" s="141"/>
      <c r="G30" s="47"/>
      <c r="H30" s="790"/>
      <c r="I30" s="791"/>
      <c r="J30" s="792"/>
      <c r="K30" s="793"/>
      <c r="L30" s="793"/>
      <c r="M30" s="793"/>
      <c r="N30" s="793"/>
      <c r="O30" s="845"/>
      <c r="R30" s="110"/>
    </row>
    <row r="31" spans="2:20" ht="18.75" customHeight="1">
      <c r="B31" s="844" t="s">
        <v>45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3"/>
      <c r="L31" s="793"/>
      <c r="M31" s="793"/>
      <c r="N31" s="793"/>
      <c r="O31" s="845"/>
    </row>
    <row r="32" spans="2:20" ht="18.75" customHeight="1">
      <c r="B32" s="840" t="s">
        <v>47</v>
      </c>
      <c r="C32" s="842"/>
      <c r="D32" s="841" t="s">
        <v>48</v>
      </c>
      <c r="E32" s="842"/>
      <c r="F32" s="841" t="s">
        <v>49</v>
      </c>
      <c r="G32" s="842"/>
      <c r="H32" s="840" t="s">
        <v>50</v>
      </c>
      <c r="I32" s="841"/>
      <c r="J32" s="842"/>
      <c r="K32" s="840" t="s">
        <v>51</v>
      </c>
      <c r="L32" s="841"/>
      <c r="M32" s="841"/>
      <c r="N32" s="841"/>
      <c r="O32" s="842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5" spans="2:19">
      <c r="C35" s="118"/>
    </row>
    <row r="36" spans="2:19" ht="15.75">
      <c r="J36" s="12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91"/>
      <c r="D39" s="128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1"/>
      <c r="R39" s="74"/>
    </row>
    <row r="40" spans="2:19" ht="18.75" customHeight="1">
      <c r="B40" s="91"/>
      <c r="C40" s="119"/>
      <c r="D40" s="91"/>
      <c r="E40" s="830"/>
      <c r="F40" s="830"/>
      <c r="G40" s="830"/>
      <c r="H40" s="830"/>
      <c r="I40" s="830"/>
      <c r="J40" s="830"/>
      <c r="K40" s="110"/>
      <c r="L40" s="110"/>
      <c r="M40" s="110"/>
      <c r="N40" s="110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131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130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43"/>
      <c r="I43" s="843"/>
      <c r="J43" s="84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37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116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37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36"/>
      <c r="K54" s="839"/>
      <c r="L54" s="839"/>
      <c r="M54" s="839"/>
      <c r="N54" s="839"/>
      <c r="O54" s="839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37"/>
      <c r="K55" s="838"/>
      <c r="L55" s="838"/>
      <c r="M55" s="838"/>
      <c r="N55" s="838"/>
      <c r="O55" s="838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36"/>
      <c r="K56" s="839"/>
      <c r="L56" s="839"/>
      <c r="M56" s="839"/>
      <c r="N56" s="839"/>
      <c r="O56" s="839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37"/>
      <c r="K57" s="838"/>
      <c r="L57" s="838"/>
      <c r="M57" s="838"/>
      <c r="N57" s="838"/>
      <c r="O57" s="838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36"/>
      <c r="K58" s="839"/>
      <c r="L58" s="839"/>
      <c r="M58" s="839"/>
      <c r="N58" s="839"/>
      <c r="O58" s="839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34"/>
      <c r="C60" s="734"/>
      <c r="D60" s="734"/>
      <c r="E60" s="734"/>
      <c r="F60" s="734"/>
      <c r="G60" s="734"/>
      <c r="H60" s="101"/>
      <c r="I60" s="101"/>
      <c r="J60" s="734"/>
      <c r="K60" s="734"/>
      <c r="L60" s="734"/>
      <c r="M60" s="734"/>
      <c r="N60" s="734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2">
    <mergeCell ref="I8:J8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H30:J30"/>
    <mergeCell ref="K30:O31"/>
    <mergeCell ref="K19:O19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B31:C31"/>
    <mergeCell ref="D31:E31"/>
    <mergeCell ref="F31:G31"/>
    <mergeCell ref="H31:J31"/>
    <mergeCell ref="B32:C32"/>
    <mergeCell ref="D32:E32"/>
    <mergeCell ref="F32:G32"/>
    <mergeCell ref="H32:J32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63:C63"/>
    <mergeCell ref="D63:E63"/>
    <mergeCell ref="F63:G63"/>
    <mergeCell ref="H63:J63"/>
    <mergeCell ref="K63:O63"/>
    <mergeCell ref="B55:G55"/>
    <mergeCell ref="K55:O55"/>
    <mergeCell ref="K56:O56"/>
    <mergeCell ref="K57:O57"/>
    <mergeCell ref="K58:O58"/>
  </mergeCells>
  <printOptions horizontalCentered="1"/>
  <pageMargins left="0" right="0" top="0.23622047244094499" bottom="0.23622047244094499" header="0" footer="0"/>
  <pageSetup scale="6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63"/>
  <sheetViews>
    <sheetView showGridLines="0" view="pageBreakPreview" zoomScale="70" zoomScaleNormal="100" zoomScaleSheetLayoutView="70" workbookViewId="0">
      <selection activeCell="K10" sqref="K10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.25" style="74"/>
    <col min="18" max="18" width="14.25" style="75" customWidth="1"/>
    <col min="19" max="16384" width="9.25" style="74"/>
  </cols>
  <sheetData>
    <row r="1" spans="2:18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2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2:18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2:18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2:18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2:18" ht="18.75" customHeight="1">
      <c r="B6" s="144"/>
      <c r="C6" s="145"/>
      <c r="D6" s="145"/>
      <c r="E6" s="145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2:18" ht="18.75" customHeight="1">
      <c r="B7" s="147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2:18" ht="18.75" customHeight="1">
      <c r="B8" s="13" t="s">
        <v>9</v>
      </c>
      <c r="C8" s="14" t="s">
        <v>52</v>
      </c>
      <c r="D8" s="14"/>
      <c r="E8" s="15"/>
      <c r="F8" s="15"/>
      <c r="G8" s="15"/>
      <c r="H8" s="16"/>
      <c r="I8" s="752" t="s">
        <v>11</v>
      </c>
      <c r="J8" s="752"/>
      <c r="K8" s="152" t="s">
        <v>53</v>
      </c>
      <c r="L8" s="127"/>
      <c r="M8" s="127"/>
      <c r="N8" s="127"/>
      <c r="O8" s="132"/>
      <c r="R8" s="74"/>
    </row>
    <row r="9" spans="2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2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54</v>
      </c>
      <c r="L10" s="138"/>
      <c r="M10" s="138"/>
      <c r="N10" s="138"/>
      <c r="O10" s="139"/>
      <c r="R10" s="125" t="s">
        <v>55</v>
      </c>
    </row>
    <row r="11" spans="2:18" ht="18.75" customHeight="1">
      <c r="B11" s="140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142"/>
      <c r="R11" s="74"/>
    </row>
    <row r="12" spans="2:18" ht="18.75" customHeight="1">
      <c r="B12" s="153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2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66"/>
      <c r="R13" s="74"/>
    </row>
    <row r="14" spans="2:18" ht="18.75" customHeight="1">
      <c r="B14" s="156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2:18" ht="18.75" customHeight="1">
      <c r="B15" s="301" t="s">
        <v>56</v>
      </c>
      <c r="C15" s="24"/>
      <c r="D15" s="24"/>
      <c r="E15" s="24"/>
      <c r="F15" s="24"/>
      <c r="G15" s="24"/>
      <c r="H15" s="26" t="s">
        <v>25</v>
      </c>
      <c r="I15" s="720" t="s">
        <v>26</v>
      </c>
      <c r="J15" s="61" t="s">
        <v>27</v>
      </c>
      <c r="K15" s="868">
        <v>484200</v>
      </c>
      <c r="L15" s="868"/>
      <c r="M15" s="868"/>
      <c r="N15" s="868"/>
      <c r="O15" s="869"/>
      <c r="R15" s="74"/>
    </row>
    <row r="16" spans="2:18" ht="18.75" customHeight="1">
      <c r="B16" s="158" t="s">
        <v>57</v>
      </c>
      <c r="C16" s="159"/>
      <c r="D16" s="24"/>
      <c r="E16" s="24"/>
      <c r="F16" s="24"/>
      <c r="G16" s="24"/>
      <c r="H16" s="26"/>
      <c r="I16" s="720"/>
      <c r="J16" s="61"/>
      <c r="K16" s="846"/>
      <c r="L16" s="846"/>
      <c r="M16" s="846"/>
      <c r="N16" s="846"/>
      <c r="O16" s="847"/>
      <c r="R16" s="74"/>
    </row>
    <row r="17" spans="2:20" ht="18.75" customHeight="1">
      <c r="B17" s="158"/>
      <c r="C17" s="24"/>
      <c r="D17" s="24"/>
      <c r="E17" s="24"/>
      <c r="F17" s="24"/>
      <c r="G17" s="24"/>
      <c r="H17" s="26"/>
      <c r="I17" s="720"/>
      <c r="J17" s="61"/>
      <c r="K17" s="846"/>
      <c r="L17" s="846"/>
      <c r="M17" s="846"/>
      <c r="N17" s="846"/>
      <c r="O17" s="847"/>
      <c r="R17" s="74"/>
    </row>
    <row r="18" spans="2:20" ht="18.75" customHeight="1">
      <c r="B18" s="158"/>
      <c r="C18" s="159"/>
      <c r="D18" s="80"/>
      <c r="E18" s="80"/>
      <c r="F18" s="80"/>
      <c r="G18" s="80"/>
      <c r="H18" s="26"/>
      <c r="I18" s="720"/>
      <c r="J18" s="61"/>
      <c r="K18" s="846"/>
      <c r="L18" s="846"/>
      <c r="M18" s="846"/>
      <c r="N18" s="846"/>
      <c r="O18" s="847"/>
      <c r="R18" s="74"/>
    </row>
    <row r="19" spans="2:20" ht="18.75" customHeight="1">
      <c r="B19" s="158"/>
      <c r="C19" s="24"/>
      <c r="D19" s="80"/>
      <c r="E19" s="80"/>
      <c r="F19" s="80"/>
      <c r="G19" s="80"/>
      <c r="H19" s="26"/>
      <c r="I19" s="720"/>
      <c r="J19" s="61"/>
      <c r="K19" s="846"/>
      <c r="L19" s="846"/>
      <c r="M19" s="846"/>
      <c r="N19" s="846"/>
      <c r="O19" s="847"/>
      <c r="R19" s="74"/>
    </row>
    <row r="20" spans="2:20" ht="18.75" customHeight="1">
      <c r="B20" s="158"/>
      <c r="C20" s="24"/>
      <c r="D20" s="80"/>
      <c r="E20" s="80"/>
      <c r="F20" s="80"/>
      <c r="G20" s="80"/>
      <c r="H20" s="26"/>
      <c r="I20" s="720"/>
      <c r="J20" s="61"/>
      <c r="K20" s="848"/>
      <c r="L20" s="846"/>
      <c r="M20" s="846"/>
      <c r="N20" s="846"/>
      <c r="O20" s="847"/>
      <c r="R20" s="74"/>
    </row>
    <row r="21" spans="2:20" ht="18.75" hidden="1" customHeight="1">
      <c r="B21" s="158"/>
      <c r="C21" s="24"/>
      <c r="D21" s="80"/>
      <c r="E21" s="80"/>
      <c r="F21" s="80"/>
      <c r="G21" s="80"/>
      <c r="H21" s="26"/>
      <c r="I21" s="720"/>
      <c r="J21" s="61"/>
      <c r="K21" s="846"/>
      <c r="L21" s="846"/>
      <c r="M21" s="846"/>
      <c r="N21" s="846"/>
      <c r="O21" s="847"/>
      <c r="R21" s="74"/>
    </row>
    <row r="22" spans="2:20" ht="22.5" hidden="1" customHeight="1">
      <c r="B22" s="158"/>
      <c r="C22" s="160"/>
      <c r="D22" s="80"/>
      <c r="E22" s="161"/>
      <c r="F22" s="80"/>
      <c r="G22" s="80"/>
      <c r="H22" s="26"/>
      <c r="I22" s="720"/>
      <c r="J22" s="61"/>
      <c r="K22" s="846"/>
      <c r="L22" s="846"/>
      <c r="M22" s="846"/>
      <c r="N22" s="846"/>
      <c r="O22" s="847"/>
      <c r="R22" s="74"/>
    </row>
    <row r="23" spans="2:20" ht="28.5" customHeight="1">
      <c r="B23" s="162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850"/>
    </row>
    <row r="24" spans="2:20" ht="18.75" customHeight="1">
      <c r="B24" s="167" t="s">
        <v>31</v>
      </c>
      <c r="C24" s="94"/>
      <c r="D24" s="94"/>
      <c r="E24" s="94"/>
      <c r="F24" s="94"/>
      <c r="G24" s="168"/>
      <c r="H24" s="130"/>
      <c r="I24" s="851" t="s">
        <v>32</v>
      </c>
      <c r="J24" s="852"/>
      <c r="K24" s="853">
        <f>SUM(K15:O23)</f>
        <v>484200</v>
      </c>
      <c r="L24" s="853"/>
      <c r="M24" s="853"/>
      <c r="N24" s="853"/>
      <c r="O24" s="854"/>
      <c r="P24" s="121">
        <f>SUM(K15:O22)</f>
        <v>484200</v>
      </c>
      <c r="R24" s="123">
        <v>17892</v>
      </c>
    </row>
    <row r="25" spans="2:20" ht="18.75" customHeight="1">
      <c r="B25" s="37" t="s">
        <v>33</v>
      </c>
      <c r="C25" s="15" t="s">
        <v>58</v>
      </c>
      <c r="D25" s="34"/>
      <c r="E25" s="34"/>
      <c r="F25" s="34"/>
      <c r="G25" s="35"/>
      <c r="H25" s="36"/>
      <c r="I25" s="734"/>
      <c r="J25" s="169"/>
      <c r="K25" s="170"/>
      <c r="L25" s="170"/>
      <c r="M25" s="170"/>
      <c r="N25" s="170"/>
      <c r="O25" s="171"/>
      <c r="P25" s="121"/>
      <c r="R25" s="123"/>
      <c r="T25" s="74" t="s">
        <v>35</v>
      </c>
    </row>
    <row r="26" spans="2:20" ht="18.75" hidden="1" customHeight="1">
      <c r="B26" s="167" t="s">
        <v>36</v>
      </c>
      <c r="C26" s="94" t="s">
        <v>37</v>
      </c>
      <c r="D26" s="172"/>
      <c r="E26" s="172"/>
      <c r="F26" s="172"/>
      <c r="G26" s="173"/>
      <c r="H26" s="174"/>
      <c r="I26" s="175"/>
      <c r="J26" s="176"/>
      <c r="K26" s="177"/>
      <c r="L26" s="177"/>
      <c r="M26" s="177"/>
      <c r="N26" s="177"/>
      <c r="O26" s="178"/>
      <c r="P26" s="121"/>
      <c r="R26" s="123"/>
    </row>
    <row r="27" spans="2:20" ht="18.75" hidden="1" customHeight="1">
      <c r="B27" s="179" t="s">
        <v>33</v>
      </c>
      <c r="C27" s="180" t="s">
        <v>38</v>
      </c>
      <c r="D27" s="181"/>
      <c r="E27" s="18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57"/>
    </row>
    <row r="28" spans="2:20" ht="18.75" customHeight="1">
      <c r="B28" s="18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484200</v>
      </c>
      <c r="L28" s="809"/>
      <c r="M28" s="809"/>
      <c r="N28" s="809"/>
      <c r="O28" s="858"/>
    </row>
    <row r="29" spans="2:20" ht="18.75" customHeight="1">
      <c r="B29" s="722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59"/>
    </row>
    <row r="30" spans="2:20" s="73" customFormat="1" ht="18.75" customHeight="1">
      <c r="B30" s="46"/>
      <c r="C30" s="47"/>
      <c r="D30" s="141"/>
      <c r="E30" s="47"/>
      <c r="F30" s="141"/>
      <c r="G30" s="47"/>
      <c r="H30" s="790"/>
      <c r="I30" s="791"/>
      <c r="J30" s="792"/>
      <c r="K30" s="793"/>
      <c r="L30" s="793"/>
      <c r="M30" s="793"/>
      <c r="N30" s="793"/>
      <c r="O30" s="845"/>
      <c r="R30" s="110"/>
    </row>
    <row r="31" spans="2:20" ht="18.75" customHeight="1">
      <c r="B31" s="844" t="s">
        <v>45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3"/>
      <c r="L31" s="793"/>
      <c r="M31" s="793"/>
      <c r="N31" s="793"/>
      <c r="O31" s="845"/>
    </row>
    <row r="32" spans="2:20" ht="18.75" customHeight="1">
      <c r="B32" s="840" t="s">
        <v>47</v>
      </c>
      <c r="C32" s="842"/>
      <c r="D32" s="841" t="s">
        <v>48</v>
      </c>
      <c r="E32" s="842"/>
      <c r="F32" s="841" t="s">
        <v>49</v>
      </c>
      <c r="G32" s="842"/>
      <c r="H32" s="840" t="s">
        <v>50</v>
      </c>
      <c r="I32" s="841"/>
      <c r="J32" s="842"/>
      <c r="K32" s="840" t="s">
        <v>51</v>
      </c>
      <c r="L32" s="841"/>
      <c r="M32" s="841"/>
      <c r="N32" s="841"/>
      <c r="O32" s="842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5" spans="2:19">
      <c r="C35" s="118"/>
    </row>
    <row r="36" spans="2:19" ht="15.75">
      <c r="J36" s="12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91"/>
      <c r="D39" s="128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1"/>
      <c r="R39" s="74"/>
    </row>
    <row r="40" spans="2:19" ht="18.75" customHeight="1">
      <c r="B40" s="91"/>
      <c r="C40" s="119"/>
      <c r="D40" s="91"/>
      <c r="E40" s="830"/>
      <c r="F40" s="830"/>
      <c r="G40" s="830"/>
      <c r="H40" s="830"/>
      <c r="I40" s="830"/>
      <c r="J40" s="830"/>
      <c r="K40" s="110"/>
      <c r="L40" s="110"/>
      <c r="M40" s="110"/>
      <c r="N40" s="110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131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130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43"/>
      <c r="I43" s="843"/>
      <c r="J43" s="84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37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116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37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36"/>
      <c r="K54" s="839"/>
      <c r="L54" s="839"/>
      <c r="M54" s="839"/>
      <c r="N54" s="839"/>
      <c r="O54" s="839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37"/>
      <c r="K55" s="838"/>
      <c r="L55" s="838"/>
      <c r="M55" s="838"/>
      <c r="N55" s="838"/>
      <c r="O55" s="838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36"/>
      <c r="K56" s="839"/>
      <c r="L56" s="839"/>
      <c r="M56" s="839"/>
      <c r="N56" s="839"/>
      <c r="O56" s="839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37"/>
      <c r="K57" s="838"/>
      <c r="L57" s="838"/>
      <c r="M57" s="838"/>
      <c r="N57" s="838"/>
      <c r="O57" s="838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36"/>
      <c r="K58" s="839"/>
      <c r="L58" s="839"/>
      <c r="M58" s="839"/>
      <c r="N58" s="839"/>
      <c r="O58" s="839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34"/>
      <c r="C60" s="734"/>
      <c r="D60" s="734"/>
      <c r="E60" s="734"/>
      <c r="F60" s="734"/>
      <c r="G60" s="734"/>
      <c r="H60" s="101"/>
      <c r="I60" s="101"/>
      <c r="J60" s="734"/>
      <c r="K60" s="734"/>
      <c r="L60" s="734"/>
      <c r="M60" s="734"/>
      <c r="N60" s="734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2">
    <mergeCell ref="I8:J8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H30:J30"/>
    <mergeCell ref="K30:O31"/>
    <mergeCell ref="K19:O19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B31:C31"/>
    <mergeCell ref="D31:E31"/>
    <mergeCell ref="F31:G31"/>
    <mergeCell ref="H31:J31"/>
    <mergeCell ref="B32:C32"/>
    <mergeCell ref="D32:E32"/>
    <mergeCell ref="F32:G32"/>
    <mergeCell ref="H32:J32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63:C63"/>
    <mergeCell ref="D63:E63"/>
    <mergeCell ref="F63:G63"/>
    <mergeCell ref="H63:J63"/>
    <mergeCell ref="K63:O63"/>
    <mergeCell ref="B55:G55"/>
    <mergeCell ref="K55:O55"/>
    <mergeCell ref="K56:O56"/>
    <mergeCell ref="K57:O57"/>
    <mergeCell ref="K58:O58"/>
  </mergeCells>
  <printOptions horizontalCentered="1"/>
  <pageMargins left="0" right="0" top="0.23622047244094499" bottom="0.23622047244094499" header="0" footer="0"/>
  <pageSetup paperSize="9"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712A-7425-49F5-A47A-08D6AC67E2FC}">
  <sheetPr>
    <pageSetUpPr fitToPage="1"/>
  </sheetPr>
  <dimension ref="A1:T69"/>
  <sheetViews>
    <sheetView showGridLines="0" view="pageBreakPreview" topLeftCell="A5" zoomScale="70" zoomScaleNormal="100" zoomScaleSheetLayoutView="70" workbookViewId="0">
      <selection activeCell="K31" sqref="K31"/>
    </sheetView>
  </sheetViews>
  <sheetFormatPr defaultColWidth="9.25" defaultRowHeight="12.75"/>
  <cols>
    <col min="1" max="1" width="2.375" style="74" customWidth="1"/>
    <col min="2" max="2" width="16.625" style="74" customWidth="1"/>
    <col min="3" max="3" width="15.875" style="74" customWidth="1"/>
    <col min="4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7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8">
      <c r="A1" s="74" t="s">
        <v>59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1:18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1:18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1:18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1:18" ht="18.75" customHeight="1">
      <c r="B6" s="144"/>
      <c r="C6" s="145"/>
      <c r="D6" s="145"/>
      <c r="E6" s="145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1:18" ht="18.75" customHeight="1">
      <c r="B7" s="147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1:18" ht="18.75" customHeight="1">
      <c r="B8" s="13" t="s">
        <v>9</v>
      </c>
      <c r="C8" s="228" t="s">
        <v>60</v>
      </c>
      <c r="D8" s="217"/>
      <c r="E8" s="218"/>
      <c r="F8" s="15"/>
      <c r="G8" s="15"/>
      <c r="H8" s="16"/>
      <c r="I8" s="752" t="s">
        <v>11</v>
      </c>
      <c r="J8" s="752"/>
      <c r="K8" s="152" t="s">
        <v>61</v>
      </c>
      <c r="L8" s="127"/>
      <c r="M8" s="127"/>
      <c r="N8" s="127"/>
      <c r="O8" s="132"/>
      <c r="R8" s="74"/>
    </row>
    <row r="9" spans="1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1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/>
      <c r="L10" s="137" t="str">
        <f>R10</f>
        <v>A1035</v>
      </c>
      <c r="M10" s="138"/>
      <c r="N10" s="138"/>
      <c r="O10" s="139"/>
      <c r="Q10" s="74" t="s">
        <v>62</v>
      </c>
      <c r="R10" s="56" t="s">
        <v>63</v>
      </c>
    </row>
    <row r="11" spans="1:18" ht="18.75" customHeight="1">
      <c r="B11" s="140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142"/>
      <c r="Q11" s="74" t="s">
        <v>64</v>
      </c>
      <c r="R11" s="192"/>
    </row>
    <row r="12" spans="1:18" ht="18.75" customHeight="1">
      <c r="B12" s="153" t="s">
        <v>18</v>
      </c>
      <c r="C12" s="76"/>
      <c r="D12" s="76"/>
      <c r="E12" s="193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1:18" ht="26.25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66"/>
      <c r="R13" s="74"/>
    </row>
    <row r="14" spans="1:18" ht="6.75" customHeight="1">
      <c r="B14" s="156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1:18" s="197" customFormat="1" ht="15" customHeight="1">
      <c r="B15" s="213" t="s">
        <v>65</v>
      </c>
      <c r="C15" s="24"/>
      <c r="D15" s="200"/>
      <c r="E15" s="200"/>
      <c r="F15" s="24"/>
      <c r="G15" s="220"/>
      <c r="H15" s="198"/>
      <c r="I15" s="718"/>
      <c r="J15" s="199"/>
      <c r="K15" s="783"/>
      <c r="L15" s="783"/>
      <c r="M15" s="783"/>
      <c r="N15" s="783"/>
      <c r="O15" s="887"/>
    </row>
    <row r="16" spans="1:18" s="197" customFormat="1" ht="15" customHeight="1">
      <c r="B16" s="221" t="s">
        <v>66</v>
      </c>
      <c r="C16" s="24"/>
      <c r="D16" s="200"/>
      <c r="E16" s="200"/>
      <c r="F16" s="24"/>
      <c r="G16" s="24"/>
      <c r="H16" s="198" t="s">
        <v>25</v>
      </c>
      <c r="I16" s="718" t="s">
        <v>26</v>
      </c>
      <c r="J16" s="199" t="s">
        <v>27</v>
      </c>
      <c r="K16" s="724"/>
      <c r="L16" s="724"/>
      <c r="M16" s="724"/>
      <c r="N16" s="724"/>
      <c r="O16" s="368"/>
    </row>
    <row r="17" spans="2:20" s="197" customFormat="1" ht="15" customHeight="1">
      <c r="B17" s="219" t="s">
        <v>67</v>
      </c>
      <c r="C17" s="24"/>
      <c r="D17" s="200"/>
      <c r="E17" s="200"/>
      <c r="F17" s="24"/>
      <c r="G17" s="24"/>
      <c r="H17" s="198"/>
      <c r="I17" s="718"/>
      <c r="J17" s="199"/>
      <c r="K17" s="765"/>
      <c r="L17" s="765"/>
      <c r="M17" s="765"/>
      <c r="N17" s="765"/>
      <c r="O17" s="888"/>
    </row>
    <row r="18" spans="2:20" s="197" customFormat="1" ht="15" customHeight="1">
      <c r="B18" s="214" t="s">
        <v>68</v>
      </c>
      <c r="C18" s="24"/>
      <c r="D18" s="200"/>
      <c r="E18" s="200"/>
      <c r="F18" s="24"/>
      <c r="G18" s="24"/>
      <c r="H18" s="198"/>
      <c r="I18" s="718"/>
      <c r="J18" s="199"/>
      <c r="K18" s="797">
        <v>1355573.45</v>
      </c>
      <c r="L18" s="797"/>
      <c r="M18" s="797"/>
      <c r="N18" s="797"/>
      <c r="O18" s="886"/>
    </row>
    <row r="19" spans="2:20" s="197" customFormat="1" ht="15" customHeight="1">
      <c r="B19" s="214" t="s">
        <v>69</v>
      </c>
      <c r="C19" s="24"/>
      <c r="D19" s="200"/>
      <c r="E19" s="200"/>
      <c r="F19" s="24"/>
      <c r="G19" s="24"/>
      <c r="H19" s="198"/>
      <c r="I19" s="718"/>
      <c r="J19" s="199"/>
      <c r="K19" s="797"/>
      <c r="L19" s="797"/>
      <c r="M19" s="797"/>
      <c r="N19" s="797"/>
      <c r="O19" s="886"/>
    </row>
    <row r="20" spans="2:20" s="118" customFormat="1" ht="15" customHeight="1">
      <c r="B20" s="214" t="s">
        <v>70</v>
      </c>
      <c r="C20" s="160"/>
      <c r="D20" s="201"/>
      <c r="E20" s="212"/>
      <c r="F20" s="80"/>
      <c r="G20" s="80"/>
      <c r="H20" s="202"/>
      <c r="I20" s="719"/>
      <c r="J20" s="203"/>
      <c r="K20" s="846"/>
      <c r="L20" s="846"/>
      <c r="M20" s="846"/>
      <c r="N20" s="846"/>
      <c r="O20" s="847"/>
    </row>
    <row r="21" spans="2:20" s="118" customFormat="1" ht="15" customHeight="1">
      <c r="B21" s="222" t="s">
        <v>71</v>
      </c>
      <c r="C21" s="160"/>
      <c r="D21" s="201"/>
      <c r="E21" s="161"/>
      <c r="F21" s="80"/>
      <c r="G21" s="208"/>
      <c r="H21" s="209"/>
      <c r="I21" s="719"/>
      <c r="J21" s="224"/>
      <c r="K21" s="726"/>
      <c r="L21" s="726"/>
      <c r="M21" s="726"/>
      <c r="N21" s="726"/>
      <c r="O21" s="216"/>
    </row>
    <row r="22" spans="2:20" s="118" customFormat="1" ht="15" customHeight="1">
      <c r="B22" s="222" t="s">
        <v>72</v>
      </c>
      <c r="C22" s="160"/>
      <c r="D22" s="201"/>
      <c r="E22" s="161"/>
      <c r="F22" s="80"/>
      <c r="G22" s="80"/>
      <c r="H22" s="223"/>
      <c r="I22" s="223"/>
      <c r="J22" s="224"/>
      <c r="K22" s="726"/>
      <c r="L22" s="726"/>
      <c r="M22" s="726"/>
      <c r="N22" s="726"/>
      <c r="O22" s="216"/>
    </row>
    <row r="23" spans="2:20" s="118" customFormat="1" ht="15" customHeight="1">
      <c r="B23" s="222" t="s">
        <v>73</v>
      </c>
      <c r="C23" s="160"/>
      <c r="D23" s="201"/>
      <c r="E23" s="161"/>
      <c r="F23" s="80"/>
      <c r="G23" s="80"/>
      <c r="H23" s="223"/>
      <c r="I23" s="223"/>
      <c r="J23" s="224"/>
      <c r="K23" s="726"/>
      <c r="L23" s="726"/>
      <c r="M23" s="726"/>
      <c r="N23" s="726"/>
      <c r="O23" s="216"/>
    </row>
    <row r="24" spans="2:20" s="118" customFormat="1" ht="15" customHeight="1">
      <c r="B24" s="222" t="s">
        <v>74</v>
      </c>
      <c r="C24" s="160"/>
      <c r="D24" s="201"/>
      <c r="E24" s="161"/>
      <c r="F24" s="80"/>
      <c r="G24" s="80"/>
      <c r="H24" s="223"/>
      <c r="I24" s="223"/>
      <c r="J24" s="224"/>
      <c r="K24" s="726"/>
      <c r="L24" s="726"/>
      <c r="M24" s="726"/>
      <c r="N24" s="726"/>
      <c r="O24" s="216"/>
    </row>
    <row r="25" spans="2:20" s="118" customFormat="1" ht="15" customHeight="1">
      <c r="B25" s="225" t="s">
        <v>75</v>
      </c>
      <c r="C25" s="226"/>
      <c r="D25" s="200"/>
      <c r="E25" s="161"/>
      <c r="F25" s="80"/>
      <c r="G25" s="80"/>
      <c r="H25" s="223"/>
      <c r="I25" s="223"/>
      <c r="J25" s="224"/>
      <c r="K25" s="726"/>
      <c r="L25" s="726"/>
      <c r="M25" s="726"/>
      <c r="N25" s="726"/>
      <c r="O25" s="216"/>
    </row>
    <row r="26" spans="2:20" s="118" customFormat="1" ht="15" customHeight="1">
      <c r="B26" s="225" t="s">
        <v>76</v>
      </c>
      <c r="C26" s="226"/>
      <c r="D26" s="200"/>
      <c r="E26" s="161"/>
      <c r="F26" s="80"/>
      <c r="G26" s="80"/>
      <c r="H26" s="223"/>
      <c r="I26" s="223"/>
      <c r="J26" s="224"/>
      <c r="K26" s="726"/>
      <c r="L26" s="726"/>
      <c r="M26" s="726"/>
      <c r="N26" s="726"/>
      <c r="O26" s="227">
        <v>4066.8</v>
      </c>
    </row>
    <row r="27" spans="2:20" s="118" customFormat="1" ht="15" customHeight="1">
      <c r="B27" s="225" t="s">
        <v>77</v>
      </c>
      <c r="C27" s="226"/>
      <c r="D27" s="200"/>
      <c r="E27" s="161"/>
      <c r="F27" s="80"/>
      <c r="G27" s="80"/>
      <c r="H27" s="223"/>
      <c r="I27" s="223"/>
      <c r="J27" s="224"/>
      <c r="K27" s="726"/>
      <c r="L27" s="726"/>
      <c r="M27" s="726"/>
      <c r="N27" s="726"/>
      <c r="O27" s="216">
        <v>593</v>
      </c>
    </row>
    <row r="28" spans="2:20" s="118" customFormat="1" ht="15" customHeight="1">
      <c r="B28" s="225" t="s">
        <v>78</v>
      </c>
      <c r="C28" s="226"/>
      <c r="D28" s="200"/>
      <c r="E28" s="161"/>
      <c r="F28" s="80"/>
      <c r="G28" s="80"/>
      <c r="H28" s="223"/>
      <c r="I28" s="223"/>
      <c r="J28" s="224"/>
      <c r="K28" s="726"/>
      <c r="L28" s="726"/>
      <c r="M28" s="726"/>
      <c r="N28" s="726"/>
      <c r="O28" s="216">
        <v>463.56</v>
      </c>
    </row>
    <row r="29" spans="2:20" s="118" customFormat="1" ht="15" customHeight="1">
      <c r="B29" s="215"/>
      <c r="C29" s="160"/>
      <c r="D29" s="201"/>
      <c r="E29" s="161"/>
      <c r="F29" s="80"/>
      <c r="G29" s="80"/>
      <c r="H29" s="223"/>
      <c r="I29" s="223"/>
      <c r="J29" s="224"/>
      <c r="K29" s="726"/>
      <c r="L29" s="726"/>
      <c r="M29" s="726"/>
      <c r="N29" s="726"/>
      <c r="O29" s="216"/>
    </row>
    <row r="30" spans="2:20" ht="18.75" customHeight="1">
      <c r="B30" s="204" t="s">
        <v>31</v>
      </c>
      <c r="C30" s="210"/>
      <c r="D30" s="205"/>
      <c r="E30" s="205"/>
      <c r="F30" s="205"/>
      <c r="G30" s="206"/>
      <c r="H30" s="207"/>
      <c r="I30" s="882" t="s">
        <v>32</v>
      </c>
      <c r="J30" s="883"/>
      <c r="K30" s="884">
        <f>SUM(K15:O29)</f>
        <v>1360696.81</v>
      </c>
      <c r="L30" s="884"/>
      <c r="M30" s="884"/>
      <c r="N30" s="884"/>
      <c r="O30" s="885"/>
      <c r="P30" s="121">
        <f>SUM(K15:O20)</f>
        <v>1355573.45</v>
      </c>
      <c r="R30" s="123">
        <v>17892</v>
      </c>
    </row>
    <row r="31" spans="2:20" ht="18.75" customHeight="1">
      <c r="B31" s="37" t="s">
        <v>33</v>
      </c>
      <c r="C31" s="184" t="s">
        <v>79</v>
      </c>
      <c r="D31" s="14"/>
      <c r="E31" s="188"/>
      <c r="F31" s="34"/>
      <c r="G31" s="35"/>
      <c r="H31" s="36"/>
      <c r="I31" s="734"/>
      <c r="J31" s="169"/>
      <c r="K31" s="170"/>
      <c r="L31" s="170"/>
      <c r="M31" s="170"/>
      <c r="N31" s="170"/>
      <c r="O31" s="171"/>
      <c r="P31" s="121"/>
      <c r="R31" s="123"/>
      <c r="T31" s="74" t="s">
        <v>35</v>
      </c>
    </row>
    <row r="32" spans="2:20" ht="18.75" hidden="1" customHeight="1">
      <c r="B32" s="167" t="s">
        <v>36</v>
      </c>
      <c r="C32" s="211" t="s">
        <v>37</v>
      </c>
      <c r="D32" s="172"/>
      <c r="E32" s="172"/>
      <c r="F32" s="172"/>
      <c r="G32" s="173">
        <v>20000</v>
      </c>
      <c r="H32" s="174"/>
      <c r="I32" s="175"/>
      <c r="J32" s="176"/>
      <c r="K32" s="177"/>
      <c r="L32" s="177"/>
      <c r="M32" s="177"/>
      <c r="N32" s="177"/>
      <c r="O32" s="178"/>
      <c r="P32" s="121"/>
      <c r="R32" s="123"/>
    </row>
    <row r="33" spans="2:18" ht="18.75" hidden="1" customHeight="1">
      <c r="B33" s="179" t="s">
        <v>33</v>
      </c>
      <c r="C33" s="180" t="s">
        <v>38</v>
      </c>
      <c r="D33" s="181"/>
      <c r="E33" s="181"/>
      <c r="F33" s="101"/>
      <c r="G33" s="181"/>
      <c r="H33" s="182"/>
      <c r="I33" s="855" t="s">
        <v>39</v>
      </c>
      <c r="J33" s="855"/>
      <c r="K33" s="856">
        <v>0</v>
      </c>
      <c r="L33" s="856"/>
      <c r="M33" s="856"/>
      <c r="N33" s="856"/>
      <c r="O33" s="857"/>
    </row>
    <row r="34" spans="2:18" ht="18.75" customHeight="1">
      <c r="B34" s="183" t="s">
        <v>36</v>
      </c>
      <c r="C34" s="184" t="s">
        <v>80</v>
      </c>
      <c r="D34" s="184"/>
      <c r="E34" s="184"/>
      <c r="F34" s="185"/>
      <c r="G34" s="185"/>
      <c r="H34" s="186"/>
      <c r="I34" s="808" t="s">
        <v>41</v>
      </c>
      <c r="J34" s="808"/>
      <c r="K34" s="809">
        <f>P2+K30+K33</f>
        <v>1360696.81</v>
      </c>
      <c r="L34" s="809"/>
      <c r="M34" s="809"/>
      <c r="N34" s="809"/>
      <c r="O34" s="858"/>
    </row>
    <row r="35" spans="2:18" ht="18.75" customHeight="1">
      <c r="B35" s="722" t="s">
        <v>42</v>
      </c>
      <c r="C35" s="187"/>
      <c r="D35" s="723" t="s">
        <v>43</v>
      </c>
      <c r="E35" s="735"/>
      <c r="F35" s="44"/>
      <c r="G35" s="45"/>
      <c r="H35" s="811" t="s">
        <v>44</v>
      </c>
      <c r="I35" s="812"/>
      <c r="J35" s="812"/>
      <c r="K35" s="812"/>
      <c r="L35" s="812"/>
      <c r="M35" s="812"/>
      <c r="N35" s="812"/>
      <c r="O35" s="859"/>
    </row>
    <row r="36" spans="2:18" s="73" customFormat="1" ht="18.75" customHeight="1">
      <c r="B36" s="46"/>
      <c r="C36" s="47"/>
      <c r="D36" s="141"/>
      <c r="E36" s="47"/>
      <c r="F36" s="141"/>
      <c r="G36" s="47"/>
      <c r="H36" s="790"/>
      <c r="I36" s="791"/>
      <c r="J36" s="792"/>
      <c r="K36" s="793"/>
      <c r="L36" s="793"/>
      <c r="M36" s="793"/>
      <c r="N36" s="793"/>
      <c r="O36" s="845"/>
      <c r="R36" s="110"/>
    </row>
    <row r="37" spans="2:18" ht="18.75" customHeight="1">
      <c r="B37" s="844" t="s">
        <v>45</v>
      </c>
      <c r="C37" s="817"/>
      <c r="D37" s="816" t="s">
        <v>46</v>
      </c>
      <c r="E37" s="817"/>
      <c r="F37" s="816"/>
      <c r="G37" s="817"/>
      <c r="H37" s="818"/>
      <c r="I37" s="819"/>
      <c r="J37" s="820"/>
      <c r="K37" s="793"/>
      <c r="L37" s="793"/>
      <c r="M37" s="793"/>
      <c r="N37" s="793"/>
      <c r="O37" s="845"/>
    </row>
    <row r="38" spans="2:18" ht="18.75" customHeight="1">
      <c r="B38" s="840" t="s">
        <v>47</v>
      </c>
      <c r="C38" s="842"/>
      <c r="D38" s="841" t="s">
        <v>48</v>
      </c>
      <c r="E38" s="842"/>
      <c r="F38" s="841" t="s">
        <v>49</v>
      </c>
      <c r="G38" s="842"/>
      <c r="H38" s="840" t="s">
        <v>50</v>
      </c>
      <c r="I38" s="841"/>
      <c r="J38" s="842"/>
      <c r="K38" s="840" t="s">
        <v>51</v>
      </c>
      <c r="L38" s="841"/>
      <c r="M38" s="841"/>
      <c r="N38" s="841"/>
      <c r="O38" s="842"/>
      <c r="R38" s="74"/>
    </row>
    <row r="39" spans="2:18">
      <c r="B39" s="89"/>
      <c r="C39" s="89"/>
      <c r="D39" s="89"/>
      <c r="E39" s="89"/>
      <c r="F39" s="89"/>
      <c r="G39" s="89"/>
      <c r="H39" s="89"/>
      <c r="I39" s="89"/>
      <c r="J39" s="19"/>
      <c r="K39" s="19"/>
      <c r="L39" s="19"/>
      <c r="M39" s="19"/>
      <c r="N39" s="19"/>
      <c r="O39" s="19"/>
      <c r="R39" s="74"/>
    </row>
    <row r="40" spans="2:18"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R40" s="74"/>
    </row>
    <row r="41" spans="2:18">
      <c r="C41" s="118"/>
    </row>
    <row r="42" spans="2:18" ht="15.75">
      <c r="J42" s="122"/>
    </row>
    <row r="43" spans="2:18" ht="18.75" customHeight="1">
      <c r="B43" s="91"/>
      <c r="C43" s="91"/>
      <c r="D43" s="91"/>
      <c r="E43" s="830"/>
      <c r="F43" s="830"/>
      <c r="G43" s="830"/>
      <c r="H43" s="830"/>
      <c r="I43" s="830"/>
      <c r="J43" s="830"/>
      <c r="K43" s="831"/>
      <c r="L43" s="831"/>
      <c r="M43" s="831"/>
      <c r="N43" s="831"/>
      <c r="O43" s="831"/>
      <c r="R43" s="74"/>
    </row>
    <row r="44" spans="2:18" ht="18.75" customHeight="1">
      <c r="B44" s="91"/>
      <c r="C44" s="91"/>
      <c r="D44" s="91"/>
      <c r="E44" s="830"/>
      <c r="F44" s="830"/>
      <c r="G44" s="830"/>
      <c r="H44" s="830"/>
      <c r="I44" s="830"/>
      <c r="J44" s="830"/>
      <c r="K44" s="110"/>
      <c r="L44" s="110"/>
      <c r="M44" s="110"/>
      <c r="N44" s="110"/>
      <c r="O44" s="111"/>
      <c r="R44" s="74"/>
    </row>
    <row r="45" spans="2:18" ht="18.75" customHeight="1">
      <c r="B45" s="91"/>
      <c r="C45" s="91"/>
      <c r="D45" s="128"/>
      <c r="E45" s="830"/>
      <c r="F45" s="830"/>
      <c r="G45" s="830"/>
      <c r="H45" s="830"/>
      <c r="I45" s="830"/>
      <c r="J45" s="830"/>
      <c r="K45" s="110"/>
      <c r="L45" s="110"/>
      <c r="M45" s="110"/>
      <c r="N45" s="110"/>
      <c r="O45" s="111"/>
      <c r="R45" s="74"/>
    </row>
    <row r="46" spans="2:18" ht="18.75" customHeight="1">
      <c r="B46" s="91"/>
      <c r="C46" s="119"/>
      <c r="D46" s="91"/>
      <c r="E46" s="830"/>
      <c r="F46" s="830"/>
      <c r="G46" s="830"/>
      <c r="H46" s="830"/>
      <c r="I46" s="830"/>
      <c r="J46" s="830"/>
      <c r="K46" s="110"/>
      <c r="L46" s="110"/>
      <c r="M46" s="110"/>
      <c r="N46" s="110"/>
      <c r="O46" s="112"/>
      <c r="R46" s="74"/>
    </row>
    <row r="47" spans="2:18" ht="18.75" customHeight="1">
      <c r="B47" s="92"/>
      <c r="C47" s="92"/>
      <c r="D47" s="92"/>
      <c r="E47" s="92"/>
      <c r="F47" s="92"/>
      <c r="G47" s="93"/>
      <c r="H47" s="131"/>
      <c r="I47" s="93"/>
      <c r="J47" s="93"/>
      <c r="K47" s="93"/>
      <c r="L47" s="93"/>
      <c r="M47" s="93"/>
      <c r="N47" s="93"/>
      <c r="O47" s="51"/>
      <c r="R47" s="74"/>
    </row>
    <row r="48" spans="2:18" ht="18.75" customHeight="1">
      <c r="B48" s="94"/>
      <c r="C48" s="94"/>
      <c r="D48" s="94"/>
      <c r="E48" s="94"/>
      <c r="F48" s="94"/>
      <c r="G48" s="95"/>
      <c r="H48" s="130"/>
      <c r="I48" s="96"/>
      <c r="J48" s="190"/>
      <c r="K48" s="190"/>
      <c r="L48" s="190"/>
      <c r="M48" s="190"/>
      <c r="N48" s="190"/>
      <c r="O48" s="113"/>
      <c r="R48" s="74"/>
    </row>
    <row r="49" spans="2:19" ht="18.75" customHeight="1">
      <c r="B49" s="94"/>
      <c r="C49" s="832"/>
      <c r="D49" s="832"/>
      <c r="E49" s="832"/>
      <c r="F49" s="832"/>
      <c r="G49" s="832"/>
      <c r="H49" s="843"/>
      <c r="I49" s="843"/>
      <c r="J49" s="843"/>
      <c r="K49" s="834"/>
      <c r="L49" s="834"/>
      <c r="M49" s="834"/>
      <c r="N49" s="834"/>
      <c r="O49" s="834"/>
      <c r="R49" s="74"/>
    </row>
    <row r="50" spans="2:19" ht="18.75" customHeight="1">
      <c r="B50" s="190"/>
      <c r="C50" s="835"/>
      <c r="D50" s="835"/>
      <c r="E50" s="835"/>
      <c r="F50" s="835"/>
      <c r="G50" s="835"/>
      <c r="H50" s="833"/>
      <c r="I50" s="833"/>
      <c r="J50" s="833"/>
      <c r="K50" s="834"/>
      <c r="L50" s="834"/>
      <c r="M50" s="834"/>
      <c r="N50" s="834"/>
      <c r="O50" s="834"/>
      <c r="R50" s="74"/>
      <c r="S50" s="143"/>
    </row>
    <row r="51" spans="2:19" ht="18.75" customHeight="1">
      <c r="B51" s="190"/>
      <c r="C51" s="835"/>
      <c r="D51" s="835"/>
      <c r="E51" s="835"/>
      <c r="F51" s="835"/>
      <c r="G51" s="835"/>
      <c r="H51" s="835"/>
      <c r="I51" s="835"/>
      <c r="J51" s="835"/>
      <c r="K51" s="835"/>
      <c r="L51" s="835"/>
      <c r="M51" s="835"/>
      <c r="N51" s="835"/>
      <c r="O51" s="835"/>
      <c r="R51" s="74"/>
    </row>
    <row r="52" spans="2:19" ht="18.75" customHeight="1">
      <c r="B52" s="190"/>
      <c r="C52" s="190"/>
      <c r="D52" s="190"/>
      <c r="E52" s="190"/>
      <c r="F52" s="190"/>
      <c r="G52" s="120"/>
      <c r="H52" s="96"/>
      <c r="I52" s="96"/>
      <c r="J52" s="190"/>
      <c r="K52" s="190"/>
      <c r="L52" s="190"/>
      <c r="M52" s="190"/>
      <c r="N52" s="190"/>
      <c r="O52" s="113"/>
      <c r="R52" s="74"/>
    </row>
    <row r="53" spans="2:19" ht="18.75" customHeight="1">
      <c r="B53" s="94"/>
      <c r="C53" s="94"/>
      <c r="D53" s="94"/>
      <c r="E53" s="94"/>
      <c r="F53" s="94"/>
      <c r="G53" s="95"/>
      <c r="H53" s="96"/>
      <c r="I53" s="96"/>
      <c r="J53" s="190"/>
      <c r="K53" s="190"/>
      <c r="L53" s="190"/>
      <c r="M53" s="190"/>
      <c r="N53" s="190"/>
      <c r="O53" s="113"/>
      <c r="R53" s="74"/>
    </row>
    <row r="54" spans="2:19" ht="18.75" customHeight="1">
      <c r="B54" s="825"/>
      <c r="C54" s="825"/>
      <c r="D54" s="825"/>
      <c r="E54" s="825"/>
      <c r="F54" s="825"/>
      <c r="G54" s="825"/>
      <c r="H54" s="98"/>
      <c r="I54" s="98"/>
      <c r="J54" s="114"/>
      <c r="K54" s="114"/>
      <c r="L54" s="114"/>
      <c r="M54" s="114"/>
      <c r="N54" s="114"/>
      <c r="O54" s="114"/>
    </row>
    <row r="55" spans="2:19" ht="18.75" customHeight="1">
      <c r="B55" s="190"/>
      <c r="C55" s="190"/>
      <c r="D55" s="190"/>
      <c r="E55" s="190"/>
      <c r="F55" s="190"/>
      <c r="G55" s="96"/>
      <c r="H55" s="96"/>
      <c r="I55" s="96"/>
      <c r="J55" s="190"/>
      <c r="K55" s="190"/>
      <c r="L55" s="190"/>
      <c r="M55" s="190"/>
      <c r="N55" s="190"/>
      <c r="O55" s="737"/>
    </row>
    <row r="56" spans="2:19" ht="18.75" customHeight="1">
      <c r="B56" s="190"/>
      <c r="C56" s="190"/>
      <c r="D56" s="190"/>
      <c r="E56" s="190"/>
      <c r="F56" s="190"/>
      <c r="G56" s="96"/>
      <c r="H56" s="96"/>
      <c r="I56" s="96"/>
      <c r="J56" s="190"/>
      <c r="K56" s="190"/>
      <c r="L56" s="190"/>
      <c r="M56" s="190"/>
      <c r="N56" s="190"/>
      <c r="O56" s="737"/>
    </row>
    <row r="57" spans="2:19" ht="18.75" customHeight="1">
      <c r="B57" s="190"/>
      <c r="C57" s="190"/>
      <c r="D57" s="190"/>
      <c r="E57" s="190"/>
      <c r="F57" s="190"/>
      <c r="G57" s="96"/>
      <c r="H57" s="96"/>
      <c r="I57" s="96"/>
      <c r="J57" s="115"/>
      <c r="K57" s="115"/>
      <c r="L57" s="115"/>
      <c r="M57" s="115"/>
      <c r="N57" s="115"/>
      <c r="O57" s="116"/>
    </row>
    <row r="58" spans="2:19" ht="18.75" customHeight="1">
      <c r="B58" s="190"/>
      <c r="C58" s="190"/>
      <c r="D58" s="190"/>
      <c r="E58" s="190"/>
      <c r="F58" s="190"/>
      <c r="G58" s="96"/>
      <c r="H58" s="96"/>
      <c r="I58" s="96"/>
      <c r="J58" s="115"/>
      <c r="K58" s="115"/>
      <c r="L58" s="115"/>
      <c r="M58" s="115"/>
      <c r="N58" s="115"/>
      <c r="O58" s="737"/>
    </row>
    <row r="59" spans="2:19" ht="18.75" customHeight="1">
      <c r="B59" s="96"/>
      <c r="C59" s="96"/>
      <c r="D59" s="96"/>
      <c r="E59" s="96"/>
      <c r="F59" s="96"/>
      <c r="G59" s="96"/>
      <c r="H59" s="96"/>
      <c r="I59" s="96"/>
      <c r="J59" s="115"/>
      <c r="K59" s="115"/>
      <c r="L59" s="115"/>
      <c r="M59" s="115"/>
      <c r="N59" s="115"/>
      <c r="O59" s="115"/>
    </row>
    <row r="60" spans="2:19" ht="18.75" customHeight="1">
      <c r="B60" s="94"/>
      <c r="C60" s="94"/>
      <c r="D60" s="94"/>
      <c r="E60" s="94"/>
      <c r="F60" s="94"/>
      <c r="G60" s="95"/>
      <c r="H60" s="96"/>
      <c r="I60" s="96"/>
      <c r="J60" s="736"/>
      <c r="K60" s="839"/>
      <c r="L60" s="839"/>
      <c r="M60" s="839"/>
      <c r="N60" s="839"/>
      <c r="O60" s="839"/>
    </row>
    <row r="61" spans="2:19" ht="18.75" customHeight="1">
      <c r="B61" s="825"/>
      <c r="C61" s="825"/>
      <c r="D61" s="825"/>
      <c r="E61" s="825"/>
      <c r="F61" s="825"/>
      <c r="G61" s="825"/>
      <c r="H61" s="98"/>
      <c r="I61" s="98"/>
      <c r="J61" s="737"/>
      <c r="K61" s="838"/>
      <c r="L61" s="838"/>
      <c r="M61" s="838"/>
      <c r="N61" s="838"/>
      <c r="O61" s="838"/>
    </row>
    <row r="62" spans="2:19" ht="18.75" customHeight="1">
      <c r="B62" s="190"/>
      <c r="C62" s="190"/>
      <c r="D62" s="190"/>
      <c r="E62" s="190"/>
      <c r="F62" s="190"/>
      <c r="G62" s="96"/>
      <c r="H62" s="96"/>
      <c r="I62" s="96"/>
      <c r="J62" s="736"/>
      <c r="K62" s="839"/>
      <c r="L62" s="839"/>
      <c r="M62" s="839"/>
      <c r="N62" s="839"/>
      <c r="O62" s="839"/>
    </row>
    <row r="63" spans="2:19" ht="18.75" customHeight="1">
      <c r="B63" s="190"/>
      <c r="C63" s="190"/>
      <c r="D63" s="190"/>
      <c r="E63" s="190"/>
      <c r="F63" s="190"/>
      <c r="G63" s="96"/>
      <c r="H63" s="96"/>
      <c r="I63" s="96"/>
      <c r="J63" s="737"/>
      <c r="K63" s="838"/>
      <c r="L63" s="838"/>
      <c r="M63" s="838"/>
      <c r="N63" s="838"/>
      <c r="O63" s="838"/>
    </row>
    <row r="64" spans="2:19" ht="18.75" customHeight="1">
      <c r="B64" s="190"/>
      <c r="C64" s="190"/>
      <c r="D64" s="190"/>
      <c r="E64" s="190"/>
      <c r="F64" s="190"/>
      <c r="G64" s="96"/>
      <c r="H64" s="96"/>
      <c r="I64" s="96"/>
      <c r="J64" s="736"/>
      <c r="K64" s="839"/>
      <c r="L64" s="839"/>
      <c r="M64" s="839"/>
      <c r="N64" s="839"/>
      <c r="O64" s="839"/>
    </row>
    <row r="65" spans="2:18" ht="18.75" customHeight="1">
      <c r="B65" s="99"/>
      <c r="C65" s="99"/>
      <c r="D65" s="99"/>
      <c r="E65" s="99"/>
      <c r="F65" s="99"/>
      <c r="G65" s="97"/>
      <c r="H65" s="100"/>
      <c r="I65" s="100"/>
      <c r="J65" s="117"/>
      <c r="K65" s="117"/>
      <c r="L65" s="117"/>
      <c r="M65" s="117"/>
      <c r="N65" s="117"/>
      <c r="O65" s="117"/>
    </row>
    <row r="66" spans="2:18" ht="18.75" customHeight="1">
      <c r="B66" s="734"/>
      <c r="C66" s="734"/>
      <c r="D66" s="734"/>
      <c r="E66" s="734"/>
      <c r="F66" s="734"/>
      <c r="G66" s="734"/>
      <c r="H66" s="101"/>
      <c r="I66" s="101"/>
      <c r="J66" s="734"/>
      <c r="K66" s="734"/>
      <c r="L66" s="734"/>
      <c r="M66" s="734"/>
      <c r="N66" s="734"/>
      <c r="O66" s="113"/>
    </row>
    <row r="67" spans="2:18" s="73" customFormat="1" ht="18.75" customHeight="1"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R67" s="110"/>
    </row>
    <row r="68" spans="2:18" ht="18.75" customHeight="1"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</row>
    <row r="69" spans="2:18" ht="18.75" customHeight="1">
      <c r="B69" s="837"/>
      <c r="C69" s="837"/>
      <c r="D69" s="837"/>
      <c r="E69" s="837"/>
      <c r="F69" s="837"/>
      <c r="G69" s="837"/>
      <c r="H69" s="837"/>
      <c r="I69" s="837"/>
      <c r="J69" s="837"/>
      <c r="K69" s="837"/>
      <c r="L69" s="837"/>
      <c r="M69" s="837"/>
      <c r="N69" s="837"/>
      <c r="O69" s="837"/>
    </row>
  </sheetData>
  <mergeCells count="58">
    <mergeCell ref="I8:J8"/>
    <mergeCell ref="D2:J5"/>
    <mergeCell ref="K2:O2"/>
    <mergeCell ref="L3:O3"/>
    <mergeCell ref="L4:O4"/>
    <mergeCell ref="L5:O5"/>
    <mergeCell ref="K19:O19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7:O17"/>
    <mergeCell ref="K18:O18"/>
    <mergeCell ref="H36:J36"/>
    <mergeCell ref="K36:O37"/>
    <mergeCell ref="K20:O20"/>
    <mergeCell ref="I30:J30"/>
    <mergeCell ref="K30:O30"/>
    <mergeCell ref="I33:J33"/>
    <mergeCell ref="K33:O33"/>
    <mergeCell ref="I34:J34"/>
    <mergeCell ref="K34:O34"/>
    <mergeCell ref="H35:O35"/>
    <mergeCell ref="B37:C37"/>
    <mergeCell ref="D37:E37"/>
    <mergeCell ref="F37:G37"/>
    <mergeCell ref="H37:J37"/>
    <mergeCell ref="B38:C38"/>
    <mergeCell ref="D38:E38"/>
    <mergeCell ref="F38:G38"/>
    <mergeCell ref="H38:J38"/>
    <mergeCell ref="K60:O60"/>
    <mergeCell ref="K38:O38"/>
    <mergeCell ref="E43:J46"/>
    <mergeCell ref="K43:O43"/>
    <mergeCell ref="C49:G49"/>
    <mergeCell ref="H49:J49"/>
    <mergeCell ref="K49:O49"/>
    <mergeCell ref="C50:G50"/>
    <mergeCell ref="H50:J50"/>
    <mergeCell ref="K50:O50"/>
    <mergeCell ref="C51:O51"/>
    <mergeCell ref="B54:G54"/>
    <mergeCell ref="B69:C69"/>
    <mergeCell ref="D69:E69"/>
    <mergeCell ref="F69:G69"/>
    <mergeCell ref="H69:J69"/>
    <mergeCell ref="K69:O69"/>
    <mergeCell ref="B61:G61"/>
    <mergeCell ref="K61:O61"/>
    <mergeCell ref="K62:O62"/>
    <mergeCell ref="K63:O63"/>
    <mergeCell ref="K64:O64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4DF6-6E88-4D29-AA30-C7207D62CC88}">
  <sheetPr>
    <pageSetUpPr fitToPage="1"/>
  </sheetPr>
  <dimension ref="A1:T62"/>
  <sheetViews>
    <sheetView showGridLines="0" view="pageBreakPreview" zoomScale="70" zoomScaleNormal="100" zoomScaleSheetLayoutView="70" workbookViewId="0">
      <selection activeCell="C43" sqref="C43"/>
    </sheetView>
  </sheetViews>
  <sheetFormatPr defaultColWidth="9.25" defaultRowHeight="12.75"/>
  <cols>
    <col min="1" max="1" width="2.375" style="74" customWidth="1"/>
    <col min="2" max="2" width="16.625" style="74" customWidth="1"/>
    <col min="3" max="3" width="15.875" style="74" customWidth="1"/>
    <col min="4" max="4" width="13.7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7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8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8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8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8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8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8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8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8" ht="18.75" customHeight="1">
      <c r="B8" s="433" t="s">
        <v>9</v>
      </c>
      <c r="C8" s="292" t="s">
        <v>46</v>
      </c>
      <c r="D8" s="195"/>
      <c r="E8" s="244"/>
      <c r="F8" s="15"/>
      <c r="G8" s="15"/>
      <c r="H8" s="16"/>
      <c r="I8" s="752" t="s">
        <v>11</v>
      </c>
      <c r="J8" s="752"/>
      <c r="K8" s="152" t="s">
        <v>81</v>
      </c>
      <c r="L8" s="127"/>
      <c r="M8" s="127"/>
      <c r="N8" s="127"/>
      <c r="O8" s="434"/>
      <c r="R8" s="74"/>
    </row>
    <row r="9" spans="1:18" ht="18.75" customHeight="1">
      <c r="B9" s="894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8" ht="18.75" customHeight="1">
      <c r="B10" s="436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82</v>
      </c>
      <c r="L10" s="137"/>
      <c r="M10" s="138"/>
      <c r="N10" s="138"/>
      <c r="O10" s="437"/>
      <c r="Q10" s="74" t="s">
        <v>62</v>
      </c>
      <c r="R10" s="56" t="s">
        <v>83</v>
      </c>
    </row>
    <row r="11" spans="1:18" ht="18.75" customHeight="1">
      <c r="B11" s="438"/>
      <c r="C11" s="189"/>
      <c r="D11" s="189"/>
      <c r="E11" s="245"/>
      <c r="F11" s="189"/>
      <c r="G11" s="129"/>
      <c r="H11" s="141"/>
      <c r="I11" s="141"/>
      <c r="J11" s="189"/>
      <c r="K11" s="189"/>
      <c r="L11" s="189"/>
      <c r="M11" s="189"/>
      <c r="N11" s="189"/>
      <c r="O11" s="439"/>
      <c r="Q11" s="74" t="s">
        <v>64</v>
      </c>
      <c r="R11" s="192"/>
    </row>
    <row r="12" spans="1:18" ht="18.75" customHeight="1">
      <c r="B12" s="440" t="s">
        <v>18</v>
      </c>
      <c r="C12" s="76"/>
      <c r="D12" s="76"/>
      <c r="E12" s="246"/>
      <c r="F12" s="76"/>
      <c r="G12" s="154"/>
      <c r="H12" s="151"/>
      <c r="I12" s="151"/>
      <c r="J12" s="134"/>
      <c r="K12" s="134"/>
      <c r="L12" s="134"/>
      <c r="M12" s="134"/>
      <c r="N12" s="134"/>
      <c r="O12" s="432"/>
      <c r="R12" s="74"/>
    </row>
    <row r="13" spans="1:18" ht="30.6" customHeight="1">
      <c r="B13" s="895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96"/>
      <c r="R13" s="74"/>
    </row>
    <row r="14" spans="1:18" ht="18.75" customHeight="1">
      <c r="B14" s="462"/>
      <c r="C14" s="229"/>
      <c r="D14" s="229"/>
      <c r="E14" s="247"/>
      <c r="F14" s="229"/>
      <c r="G14" s="229"/>
      <c r="H14" s="231"/>
      <c r="I14" s="157"/>
      <c r="J14" s="60"/>
      <c r="K14" s="781"/>
      <c r="L14" s="781"/>
      <c r="M14" s="781"/>
      <c r="N14" s="781"/>
      <c r="O14" s="782"/>
      <c r="R14" s="74"/>
    </row>
    <row r="15" spans="1:18" s="197" customFormat="1" ht="18.75" customHeight="1">
      <c r="B15" s="463"/>
      <c r="C15" s="235"/>
      <c r="D15" s="236"/>
      <c r="E15" s="248"/>
      <c r="F15" s="24"/>
      <c r="G15" s="24"/>
      <c r="H15" s="232"/>
      <c r="I15" s="718"/>
      <c r="J15" s="199"/>
      <c r="K15" s="783"/>
      <c r="L15" s="783"/>
      <c r="M15" s="783"/>
      <c r="N15" s="783"/>
      <c r="O15" s="784"/>
    </row>
    <row r="16" spans="1:18" s="197" customFormat="1" ht="18.75" customHeight="1">
      <c r="B16" s="464" t="s">
        <v>84</v>
      </c>
      <c r="C16" s="270"/>
      <c r="D16" s="236"/>
      <c r="E16" s="248"/>
      <c r="F16" s="24"/>
      <c r="G16" s="24"/>
      <c r="H16" s="232" t="s">
        <v>25</v>
      </c>
      <c r="I16" s="718" t="s">
        <v>26</v>
      </c>
      <c r="J16" s="199" t="s">
        <v>27</v>
      </c>
      <c r="K16" s="897">
        <v>7300</v>
      </c>
      <c r="L16" s="898"/>
      <c r="M16" s="898"/>
      <c r="N16" s="898"/>
      <c r="O16" s="899"/>
    </row>
    <row r="17" spans="2:20" s="197" customFormat="1" ht="18.75" customHeight="1">
      <c r="B17" s="465" t="s">
        <v>85</v>
      </c>
      <c r="C17" s="235"/>
      <c r="D17" s="236"/>
      <c r="E17" s="248"/>
      <c r="F17" s="24"/>
      <c r="G17" s="24"/>
      <c r="H17" s="232"/>
      <c r="I17" s="718"/>
      <c r="J17" s="199"/>
      <c r="K17" s="724"/>
      <c r="L17" s="724"/>
      <c r="M17" s="724"/>
      <c r="N17" s="724"/>
      <c r="O17" s="742"/>
    </row>
    <row r="18" spans="2:20" s="197" customFormat="1" ht="18.75" customHeight="1">
      <c r="B18" s="466"/>
      <c r="C18" s="24"/>
      <c r="D18" s="200"/>
      <c r="E18" s="271"/>
      <c r="F18" s="24"/>
      <c r="G18" s="24"/>
      <c r="H18" s="232"/>
      <c r="I18" s="718"/>
      <c r="J18" s="199"/>
      <c r="K18" s="765"/>
      <c r="L18" s="765"/>
      <c r="M18" s="765"/>
      <c r="N18" s="765"/>
      <c r="O18" s="766"/>
    </row>
    <row r="19" spans="2:20" s="197" customFormat="1" ht="18.75" customHeight="1">
      <c r="B19" s="466"/>
      <c r="C19" s="24"/>
      <c r="D19" s="200"/>
      <c r="E19" s="248"/>
      <c r="F19" s="24"/>
      <c r="G19" s="24"/>
      <c r="H19" s="232"/>
      <c r="I19" s="718"/>
      <c r="J19" s="199"/>
      <c r="K19" s="797"/>
      <c r="L19" s="797"/>
      <c r="M19" s="797"/>
      <c r="N19" s="797"/>
      <c r="O19" s="798"/>
    </row>
    <row r="20" spans="2:20" s="197" customFormat="1" ht="18.75" customHeight="1">
      <c r="B20" s="466"/>
      <c r="C20" s="24"/>
      <c r="D20" s="200"/>
      <c r="E20" s="248"/>
      <c r="F20" s="24"/>
      <c r="G20" s="24"/>
      <c r="H20" s="232"/>
      <c r="I20" s="718"/>
      <c r="J20" s="199"/>
      <c r="K20" s="797"/>
      <c r="L20" s="797"/>
      <c r="M20" s="797"/>
      <c r="N20" s="797"/>
      <c r="O20" s="798"/>
    </row>
    <row r="21" spans="2:20" s="269" customFormat="1" ht="18.75" customHeight="1">
      <c r="B21" s="467"/>
      <c r="C21" s="226"/>
      <c r="D21" s="265"/>
      <c r="E21" s="272"/>
      <c r="F21" s="226"/>
      <c r="G21" s="226"/>
      <c r="H21" s="266"/>
      <c r="I21" s="267"/>
      <c r="J21" s="268"/>
      <c r="K21" s="799"/>
      <c r="L21" s="799"/>
      <c r="M21" s="799"/>
      <c r="N21" s="799"/>
      <c r="O21" s="800"/>
    </row>
    <row r="22" spans="2:20" s="197" customFormat="1" ht="18.75" customHeight="1">
      <c r="B22" s="468"/>
      <c r="C22" s="24"/>
      <c r="D22" s="200"/>
      <c r="E22" s="273"/>
      <c r="F22" s="24"/>
      <c r="G22" s="24"/>
      <c r="H22" s="232"/>
      <c r="I22" s="718"/>
      <c r="J22" s="199"/>
      <c r="K22" s="891"/>
      <c r="L22" s="797"/>
      <c r="M22" s="797"/>
      <c r="N22" s="797"/>
      <c r="O22" s="798"/>
    </row>
    <row r="23" spans="2:20" ht="18.75" customHeight="1">
      <c r="B23" s="469" t="s">
        <v>31</v>
      </c>
      <c r="C23" s="210"/>
      <c r="D23" s="205"/>
      <c r="E23" s="258"/>
      <c r="F23" s="205"/>
      <c r="G23" s="206"/>
      <c r="H23" s="207"/>
      <c r="I23" s="882" t="s">
        <v>32</v>
      </c>
      <c r="J23" s="883"/>
      <c r="K23" s="884">
        <f>SUM(K15:O22)</f>
        <v>7300</v>
      </c>
      <c r="L23" s="884"/>
      <c r="M23" s="884"/>
      <c r="N23" s="884"/>
      <c r="O23" s="892"/>
      <c r="P23" s="121">
        <f>SUM(K15:O22)</f>
        <v>7300</v>
      </c>
      <c r="R23" s="123">
        <v>17892</v>
      </c>
    </row>
    <row r="24" spans="2:20" ht="18.75" customHeight="1">
      <c r="B24" s="447" t="s">
        <v>33</v>
      </c>
      <c r="C24" s="230" t="s">
        <v>86</v>
      </c>
      <c r="D24" s="14"/>
      <c r="E24" s="249"/>
      <c r="F24" s="34"/>
      <c r="G24" s="35"/>
      <c r="H24" s="36"/>
      <c r="I24" s="734"/>
      <c r="J24" s="169"/>
      <c r="K24" s="170"/>
      <c r="L24" s="170"/>
      <c r="M24" s="170"/>
      <c r="N24" s="170"/>
      <c r="O24" s="458"/>
      <c r="P24" s="121"/>
      <c r="R24" s="123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172"/>
      <c r="E25" s="250"/>
      <c r="F25" s="172"/>
      <c r="G25" s="173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23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</row>
    <row r="27" spans="2:20" ht="18.75" customHeight="1">
      <c r="B27" s="453" t="s">
        <v>36</v>
      </c>
      <c r="C27" s="230" t="s">
        <v>80</v>
      </c>
      <c r="D27" s="184"/>
      <c r="E27" s="252"/>
      <c r="F27" s="185"/>
      <c r="G27" s="185"/>
      <c r="H27" s="186"/>
      <c r="I27" s="808" t="s">
        <v>41</v>
      </c>
      <c r="J27" s="808"/>
      <c r="K27" s="809">
        <f>P2+K23+K26</f>
        <v>7300</v>
      </c>
      <c r="L27" s="809"/>
      <c r="M27" s="809"/>
      <c r="N27" s="809"/>
      <c r="O27" s="810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110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3"/>
      <c r="L30" s="793"/>
      <c r="M30" s="793"/>
      <c r="N30" s="793"/>
      <c r="O30" s="794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4" t="s">
        <v>51</v>
      </c>
      <c r="L31" s="823"/>
      <c r="M31" s="823"/>
      <c r="N31" s="823"/>
      <c r="O31" s="889"/>
      <c r="R31" s="74"/>
    </row>
    <row r="32" spans="2:20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74"/>
    </row>
    <row r="33" spans="2:19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74"/>
    </row>
    <row r="34" spans="2:19">
      <c r="C34" s="118"/>
    </row>
    <row r="35" spans="2:19" ht="15.75">
      <c r="J35" s="122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74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74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59">
    <mergeCell ref="I8:J8"/>
    <mergeCell ref="D2:J5"/>
    <mergeCell ref="K2:O2"/>
    <mergeCell ref="L3:O3"/>
    <mergeCell ref="L4:O4"/>
    <mergeCell ref="L5:O5"/>
    <mergeCell ref="K19:O19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8:O18"/>
    <mergeCell ref="B30:C30"/>
    <mergeCell ref="D30:E30"/>
    <mergeCell ref="F30:G30"/>
    <mergeCell ref="H30:J30"/>
    <mergeCell ref="K20:O20"/>
    <mergeCell ref="K21:O21"/>
    <mergeCell ref="K22:O22"/>
    <mergeCell ref="I23:J23"/>
    <mergeCell ref="K23:O23"/>
    <mergeCell ref="I26:J26"/>
    <mergeCell ref="K26:O26"/>
    <mergeCell ref="E36:J39"/>
    <mergeCell ref="K36:O36"/>
    <mergeCell ref="I27:J27"/>
    <mergeCell ref="K27:O27"/>
    <mergeCell ref="H28:O28"/>
    <mergeCell ref="H29:J29"/>
    <mergeCell ref="K29:O30"/>
    <mergeCell ref="B31:C31"/>
    <mergeCell ref="D31:E31"/>
    <mergeCell ref="F31:G31"/>
    <mergeCell ref="H31:J31"/>
    <mergeCell ref="K31:O31"/>
    <mergeCell ref="K56:O56"/>
    <mergeCell ref="C42:G42"/>
    <mergeCell ref="H42:J42"/>
    <mergeCell ref="K42:O42"/>
    <mergeCell ref="H43:J43"/>
    <mergeCell ref="K43:O43"/>
    <mergeCell ref="C44:O44"/>
    <mergeCell ref="B47:G47"/>
    <mergeCell ref="K53:O53"/>
    <mergeCell ref="B54:G54"/>
    <mergeCell ref="K54:O54"/>
    <mergeCell ref="K55:O55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E84D-B9E7-4D2D-82F5-01EECF33D141}">
  <sheetPr>
    <pageSetUpPr fitToPage="1"/>
  </sheetPr>
  <dimension ref="A1:T62"/>
  <sheetViews>
    <sheetView showGridLines="0" view="pageBreakPreview" zoomScale="70" zoomScaleNormal="100" zoomScaleSheetLayoutView="70" workbookViewId="0">
      <selection activeCell="B17" sqref="B17:B19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94" t="s">
        <v>9</v>
      </c>
      <c r="C8" s="303" t="s">
        <v>87</v>
      </c>
      <c r="D8" s="195"/>
      <c r="E8" s="244"/>
      <c r="F8" s="15"/>
      <c r="G8" s="15"/>
      <c r="H8" s="16"/>
      <c r="I8" s="752" t="s">
        <v>11</v>
      </c>
      <c r="J8" s="752"/>
      <c r="K8" s="152" t="s">
        <v>88</v>
      </c>
      <c r="L8" s="127"/>
      <c r="M8" s="127"/>
      <c r="N8" s="127"/>
      <c r="O8" s="434"/>
      <c r="R8" s="74"/>
    </row>
    <row r="9" spans="1:19" ht="18.75" customHeight="1">
      <c r="B9" s="894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89</v>
      </c>
      <c r="L10" s="137"/>
      <c r="M10" s="138"/>
      <c r="N10" s="138"/>
      <c r="O10" s="437"/>
      <c r="Q10" s="74" t="s">
        <v>62</v>
      </c>
      <c r="R10" s="56" t="s">
        <v>90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11" t="s">
        <v>91</v>
      </c>
      <c r="C13" s="912"/>
      <c r="D13" s="912"/>
      <c r="E13" s="912"/>
      <c r="F13" s="912"/>
      <c r="G13" s="913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495"/>
      <c r="C14" s="323"/>
      <c r="D14" s="323"/>
      <c r="E14" s="306"/>
      <c r="F14" s="323"/>
      <c r="G14" s="380"/>
      <c r="H14" s="319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496"/>
      <c r="C15" s="270"/>
      <c r="D15" s="324"/>
      <c r="E15" s="298"/>
      <c r="F15" s="323"/>
      <c r="G15" s="323"/>
      <c r="H15" s="320"/>
      <c r="I15" s="718"/>
      <c r="J15" s="199"/>
      <c r="K15" s="904"/>
      <c r="L15" s="904"/>
      <c r="M15" s="904"/>
      <c r="N15" s="904"/>
      <c r="O15" s="905"/>
      <c r="R15" s="192"/>
      <c r="S15" s="311"/>
    </row>
    <row r="16" spans="1:19" s="197" customFormat="1" ht="18.75" customHeight="1">
      <c r="B16" s="497" t="s">
        <v>92</v>
      </c>
      <c r="C16" s="342"/>
      <c r="D16" s="342"/>
      <c r="E16" s="342"/>
      <c r="F16" s="342"/>
      <c r="G16" s="343"/>
      <c r="H16" s="320" t="s">
        <v>25</v>
      </c>
      <c r="I16" s="718" t="s">
        <v>26</v>
      </c>
      <c r="J16" s="199" t="s">
        <v>27</v>
      </c>
      <c r="K16" s="897">
        <v>12300</v>
      </c>
      <c r="L16" s="898"/>
      <c r="M16" s="898"/>
      <c r="N16" s="898"/>
      <c r="O16" s="899"/>
      <c r="R16" s="192"/>
    </row>
    <row r="17" spans="2:20" s="197" customFormat="1" ht="20.25" customHeight="1">
      <c r="B17" s="485" t="s">
        <v>93</v>
      </c>
      <c r="C17" s="304"/>
      <c r="D17" s="302"/>
      <c r="E17" s="302"/>
      <c r="F17" s="302"/>
      <c r="G17" s="302"/>
      <c r="H17" s="320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485" t="s">
        <v>94</v>
      </c>
      <c r="C18" s="305"/>
      <c r="D18" s="296"/>
      <c r="E18" s="297"/>
      <c r="F18" s="323"/>
      <c r="G18" s="323"/>
      <c r="H18" s="320"/>
      <c r="I18" s="718"/>
      <c r="J18" s="199"/>
      <c r="K18" s="909"/>
      <c r="L18" s="909"/>
      <c r="M18" s="909"/>
      <c r="N18" s="909"/>
      <c r="O18" s="910"/>
      <c r="R18" s="192"/>
      <c r="S18" s="311"/>
    </row>
    <row r="19" spans="2:20" s="197" customFormat="1" ht="18.75" customHeight="1">
      <c r="B19" s="485" t="s">
        <v>95</v>
      </c>
      <c r="C19" s="492"/>
      <c r="D19" s="296"/>
      <c r="E19" s="298"/>
      <c r="F19" s="323"/>
      <c r="G19" s="323"/>
      <c r="H19" s="320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500"/>
      <c r="C20" s="299"/>
      <c r="D20" s="296"/>
      <c r="E20" s="298"/>
      <c r="F20" s="323"/>
      <c r="G20" s="323"/>
      <c r="H20" s="320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77"/>
      <c r="C21" s="331"/>
      <c r="D21" s="332"/>
      <c r="E21" s="333"/>
      <c r="F21" s="334"/>
      <c r="G21" s="334"/>
      <c r="H21" s="321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907" t="s">
        <v>96</v>
      </c>
      <c r="C22" s="908"/>
      <c r="D22" s="296"/>
      <c r="E22" s="298"/>
      <c r="F22" s="323"/>
      <c r="G22" s="323"/>
      <c r="H22" s="320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69" t="s">
        <v>31</v>
      </c>
      <c r="C23" s="210"/>
      <c r="D23" s="210"/>
      <c r="E23" s="647"/>
      <c r="F23" s="210"/>
      <c r="G23" s="640"/>
      <c r="H23" s="207"/>
      <c r="I23" s="882" t="s">
        <v>32</v>
      </c>
      <c r="J23" s="883"/>
      <c r="K23" s="884">
        <f>SUM(K16:O22)</f>
        <v>12300</v>
      </c>
      <c r="L23" s="884"/>
      <c r="M23" s="884"/>
      <c r="N23" s="884"/>
      <c r="O23" s="892"/>
      <c r="P23" s="121">
        <f>SUM(K15:O22)</f>
        <v>12300</v>
      </c>
      <c r="R23" s="309" t="s">
        <v>97</v>
      </c>
    </row>
    <row r="24" spans="2:20" ht="18.75" customHeight="1">
      <c r="B24" s="507" t="s">
        <v>33</v>
      </c>
      <c r="C24" s="230" t="s">
        <v>98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  <c r="R26" s="308"/>
    </row>
    <row r="27" spans="2:20" ht="25.5" customHeight="1">
      <c r="B27" s="453" t="s">
        <v>36</v>
      </c>
      <c r="C27" s="230" t="s">
        <v>99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12300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308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7" t="s">
        <v>51</v>
      </c>
      <c r="L31" s="828"/>
      <c r="M31" s="828"/>
      <c r="N31" s="828"/>
      <c r="O31" s="829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1">
    <mergeCell ref="I8:J8"/>
    <mergeCell ref="B22:C22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H29:J29"/>
    <mergeCell ref="K29:O30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B30:C30"/>
    <mergeCell ref="D30:E30"/>
    <mergeCell ref="F30:G30"/>
    <mergeCell ref="H30:J30"/>
    <mergeCell ref="B31:C31"/>
    <mergeCell ref="D31:E31"/>
    <mergeCell ref="F31:G31"/>
    <mergeCell ref="H31:J31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K55:O55"/>
    <mergeCell ref="K56:O56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AFE8-CEB3-4E78-9544-084CA740D86A}">
  <sheetPr>
    <pageSetUpPr fitToPage="1"/>
  </sheetPr>
  <dimension ref="A1:T62"/>
  <sheetViews>
    <sheetView showGridLines="0" view="pageBreakPreview" topLeftCell="A5" zoomScale="70" zoomScaleNormal="100" zoomScaleSheetLayoutView="70" workbookViewId="0">
      <selection activeCell="C16" sqref="C16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1:19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1:19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1:19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1:19" ht="18.75" customHeight="1">
      <c r="B6" s="144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1:19" ht="18.75" customHeight="1">
      <c r="B7" s="147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1:19" ht="18.75" customHeight="1">
      <c r="B8" s="274" t="s">
        <v>9</v>
      </c>
      <c r="C8" s="410" t="s">
        <v>100</v>
      </c>
      <c r="D8" s="195"/>
      <c r="E8" s="244"/>
      <c r="F8" s="15"/>
      <c r="G8" s="15"/>
      <c r="H8" s="16"/>
      <c r="I8" s="752" t="s">
        <v>11</v>
      </c>
      <c r="J8" s="752"/>
      <c r="K8" s="152" t="s">
        <v>101</v>
      </c>
      <c r="L8" s="127"/>
      <c r="M8" s="127"/>
      <c r="N8" s="127"/>
      <c r="O8" s="132"/>
      <c r="R8" s="74"/>
    </row>
    <row r="9" spans="1:19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1:19" ht="18.75" customHeight="1">
      <c r="B10" s="72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102</v>
      </c>
      <c r="L10" s="137"/>
      <c r="M10" s="138"/>
      <c r="N10" s="138"/>
      <c r="O10" s="139"/>
      <c r="Q10" s="74" t="s">
        <v>62</v>
      </c>
      <c r="R10" s="56" t="s">
        <v>103</v>
      </c>
    </row>
    <row r="11" spans="1:19" ht="18.75" customHeight="1">
      <c r="B11" s="280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282"/>
      <c r="Q11" s="74" t="s">
        <v>64</v>
      </c>
      <c r="R11" s="192"/>
    </row>
    <row r="12" spans="1:19" ht="18.75" customHeight="1">
      <c r="B12" s="312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284"/>
      <c r="R12" s="192"/>
    </row>
    <row r="13" spans="1:19" ht="30.6" customHeight="1">
      <c r="B13" s="916" t="s">
        <v>91</v>
      </c>
      <c r="C13" s="912"/>
      <c r="D13" s="912"/>
      <c r="E13" s="912"/>
      <c r="F13" s="912"/>
      <c r="G13" s="913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917"/>
      <c r="R13" s="192"/>
    </row>
    <row r="14" spans="1:19" ht="18.75" customHeight="1">
      <c r="B14" s="325"/>
      <c r="C14" s="323"/>
      <c r="D14" s="323"/>
      <c r="E14" s="306"/>
      <c r="F14" s="323"/>
      <c r="G14" s="380"/>
      <c r="H14" s="319"/>
      <c r="I14" s="157"/>
      <c r="J14" s="285"/>
      <c r="K14" s="914"/>
      <c r="L14" s="781"/>
      <c r="M14" s="781"/>
      <c r="N14" s="781"/>
      <c r="O14" s="867"/>
      <c r="R14" s="192"/>
    </row>
    <row r="15" spans="1:19" s="197" customFormat="1" ht="18.75" customHeight="1">
      <c r="B15" s="408" t="s">
        <v>104</v>
      </c>
      <c r="C15" s="270"/>
      <c r="D15" s="324"/>
      <c r="E15" s="298"/>
      <c r="F15" s="323"/>
      <c r="G15" s="323"/>
      <c r="H15" s="320"/>
      <c r="I15" s="718"/>
      <c r="J15" s="199"/>
      <c r="K15" s="904"/>
      <c r="L15" s="904"/>
      <c r="M15" s="904"/>
      <c r="N15" s="904"/>
      <c r="O15" s="918"/>
      <c r="R15" s="192"/>
      <c r="S15" s="311"/>
    </row>
    <row r="16" spans="1:19" s="197" customFormat="1" ht="18.75" customHeight="1">
      <c r="B16" s="409"/>
      <c r="C16" s="342"/>
      <c r="D16" s="342"/>
      <c r="E16" s="342"/>
      <c r="F16" s="342"/>
      <c r="G16" s="343"/>
      <c r="H16" s="320" t="s">
        <v>25</v>
      </c>
      <c r="I16" s="718" t="s">
        <v>26</v>
      </c>
      <c r="J16" s="199" t="s">
        <v>27</v>
      </c>
      <c r="K16" s="897">
        <v>2740</v>
      </c>
      <c r="L16" s="898"/>
      <c r="M16" s="898"/>
      <c r="N16" s="898"/>
      <c r="O16" s="919"/>
      <c r="R16" s="192"/>
    </row>
    <row r="17" spans="2:20" s="197" customFormat="1" ht="20.25" customHeight="1">
      <c r="B17" s="406"/>
      <c r="C17" s="304"/>
      <c r="D17" s="302"/>
      <c r="E17" s="302"/>
      <c r="F17" s="302"/>
      <c r="G17" s="302"/>
      <c r="H17" s="320"/>
      <c r="I17" s="718"/>
      <c r="J17" s="199"/>
      <c r="K17" s="897"/>
      <c r="L17" s="898"/>
      <c r="M17" s="898"/>
      <c r="N17" s="898"/>
      <c r="O17" s="919"/>
      <c r="R17" s="192"/>
    </row>
    <row r="18" spans="2:20" s="197" customFormat="1" ht="22.5" customHeight="1">
      <c r="B18" s="406"/>
      <c r="C18" s="305"/>
      <c r="D18" s="296"/>
      <c r="E18" s="297"/>
      <c r="F18" s="323"/>
      <c r="G18" s="323"/>
      <c r="H18" s="320"/>
      <c r="I18" s="718"/>
      <c r="J18" s="199"/>
      <c r="K18" s="909"/>
      <c r="L18" s="909"/>
      <c r="M18" s="909"/>
      <c r="N18" s="909"/>
      <c r="O18" s="915"/>
      <c r="R18" s="192"/>
      <c r="S18" s="311"/>
    </row>
    <row r="19" spans="2:20" s="197" customFormat="1" ht="18.75" customHeight="1">
      <c r="B19" s="328"/>
      <c r="C19" s="306"/>
      <c r="D19" s="296"/>
      <c r="E19" s="298"/>
      <c r="F19" s="323"/>
      <c r="G19" s="323"/>
      <c r="H19" s="320"/>
      <c r="I19" s="718"/>
      <c r="J19" s="199"/>
      <c r="K19" s="797"/>
      <c r="L19" s="797"/>
      <c r="M19" s="797"/>
      <c r="N19" s="797"/>
      <c r="O19" s="886"/>
      <c r="R19" s="192"/>
    </row>
    <row r="20" spans="2:20" s="197" customFormat="1" ht="18.75" customHeight="1">
      <c r="B20" s="381" t="s">
        <v>105</v>
      </c>
      <c r="C20" s="379"/>
      <c r="D20" s="296"/>
      <c r="E20" s="298"/>
      <c r="F20" s="323"/>
      <c r="G20" s="323"/>
      <c r="H20" s="320"/>
      <c r="I20" s="718"/>
      <c r="J20" s="199"/>
      <c r="K20" s="797"/>
      <c r="L20" s="797"/>
      <c r="M20" s="797"/>
      <c r="N20" s="797"/>
      <c r="O20" s="886"/>
      <c r="R20" s="192"/>
    </row>
    <row r="21" spans="2:20" s="269" customFormat="1" ht="18.75" customHeight="1">
      <c r="B21" s="330"/>
      <c r="C21" s="331"/>
      <c r="D21" s="332"/>
      <c r="E21" s="333"/>
      <c r="F21" s="334"/>
      <c r="G21" s="334"/>
      <c r="H21" s="321"/>
      <c r="I21" s="267"/>
      <c r="J21" s="268"/>
      <c r="K21" s="906"/>
      <c r="L21" s="799"/>
      <c r="M21" s="799"/>
      <c r="N21" s="799"/>
      <c r="O21" s="921"/>
      <c r="R21" s="192"/>
    </row>
    <row r="22" spans="2:20" s="197" customFormat="1" ht="18.75" customHeight="1">
      <c r="B22" s="335"/>
      <c r="C22" s="336"/>
      <c r="D22" s="337"/>
      <c r="E22" s="338"/>
      <c r="F22" s="339"/>
      <c r="G22" s="339"/>
      <c r="H22" s="322"/>
      <c r="I22" s="718"/>
      <c r="J22" s="199"/>
      <c r="K22" s="891"/>
      <c r="L22" s="797"/>
      <c r="M22" s="797"/>
      <c r="N22" s="797"/>
      <c r="O22" s="886"/>
      <c r="R22" s="192"/>
    </row>
    <row r="23" spans="2:20" ht="18.75" customHeight="1">
      <c r="B23" s="167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2740</v>
      </c>
      <c r="L23" s="884"/>
      <c r="M23" s="884"/>
      <c r="N23" s="884"/>
      <c r="O23" s="885"/>
      <c r="P23" s="121">
        <f>SUM(K15:O22)</f>
        <v>2740</v>
      </c>
      <c r="R23" s="309" t="s">
        <v>97</v>
      </c>
    </row>
    <row r="24" spans="2:20" ht="18.75" customHeight="1">
      <c r="B24" s="310" t="s">
        <v>33</v>
      </c>
      <c r="C24" s="230" t="s">
        <v>106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171"/>
      <c r="P24" s="121"/>
      <c r="R24" s="308"/>
      <c r="T24" s="74" t="s">
        <v>35</v>
      </c>
    </row>
    <row r="25" spans="2:20" ht="18.75" hidden="1" customHeight="1">
      <c r="B25" s="167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178"/>
      <c r="P25" s="121"/>
      <c r="R25" s="192"/>
    </row>
    <row r="26" spans="2:20" ht="18.75" hidden="1" customHeight="1">
      <c r="B26" s="179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57"/>
      <c r="R26" s="308"/>
    </row>
    <row r="27" spans="2:20" ht="25.5" customHeight="1">
      <c r="B27" s="183" t="s">
        <v>36</v>
      </c>
      <c r="C27" s="230" t="s">
        <v>99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2740</v>
      </c>
      <c r="L27" s="809"/>
      <c r="M27" s="809"/>
      <c r="N27" s="809"/>
      <c r="O27" s="858"/>
      <c r="R27" s="308"/>
    </row>
    <row r="28" spans="2:20" ht="18.75" customHeight="1">
      <c r="B28" s="722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59"/>
      <c r="R28" s="308"/>
    </row>
    <row r="29" spans="2:20" s="73" customFormat="1" ht="18.75" customHeight="1">
      <c r="B29" s="46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845"/>
      <c r="R29" s="308"/>
    </row>
    <row r="30" spans="2:20" ht="18.75" customHeight="1">
      <c r="B30" s="844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920"/>
      <c r="R30" s="308"/>
    </row>
    <row r="31" spans="2:20" ht="18.75" customHeight="1">
      <c r="B31" s="840" t="s">
        <v>47</v>
      </c>
      <c r="C31" s="842"/>
      <c r="D31" s="841" t="s">
        <v>48</v>
      </c>
      <c r="E31" s="842"/>
      <c r="F31" s="841" t="s">
        <v>49</v>
      </c>
      <c r="G31" s="842"/>
      <c r="H31" s="840" t="s">
        <v>50</v>
      </c>
      <c r="I31" s="841"/>
      <c r="J31" s="842"/>
      <c r="K31" s="922" t="s">
        <v>51</v>
      </c>
      <c r="L31" s="923"/>
      <c r="M31" s="923"/>
      <c r="N31" s="923"/>
      <c r="O31" s="924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C35" s="411"/>
      <c r="J35" s="122"/>
      <c r="R35" s="308"/>
    </row>
    <row r="36" spans="2:19" ht="18.75" customHeight="1">
      <c r="B36" s="412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 t="s">
        <v>107</v>
      </c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0">
    <mergeCell ref="K55:O55"/>
    <mergeCell ref="K56:O56"/>
    <mergeCell ref="K57:O57"/>
    <mergeCell ref="B62:C62"/>
    <mergeCell ref="D62:E62"/>
    <mergeCell ref="F62:G62"/>
    <mergeCell ref="H62:J62"/>
    <mergeCell ref="K62:O62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B30:C30"/>
    <mergeCell ref="D30:E30"/>
    <mergeCell ref="F30:G30"/>
    <mergeCell ref="H30:J30"/>
    <mergeCell ref="B31:C31"/>
    <mergeCell ref="D31:E31"/>
    <mergeCell ref="F31:G31"/>
    <mergeCell ref="H31:J31"/>
    <mergeCell ref="H29:J29"/>
    <mergeCell ref="K29:O30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I8:J8"/>
    <mergeCell ref="D2:J5"/>
    <mergeCell ref="K2:O2"/>
    <mergeCell ref="L3:O3"/>
    <mergeCell ref="L4:O4"/>
    <mergeCell ref="L5:O5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2"/>
  <sheetViews>
    <sheetView showGridLines="0" view="pageBreakPreview" zoomScale="70" zoomScaleNormal="100" zoomScaleSheetLayoutView="70" workbookViewId="0">
      <selection activeCell="C24" sqref="C24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1:19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1:19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1:19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1:19" ht="18.75" customHeight="1">
      <c r="B6" s="144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1:19" ht="18.75" customHeight="1">
      <c r="B7" s="147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1:19" ht="18.75" customHeight="1">
      <c r="B8" s="274" t="s">
        <v>9</v>
      </c>
      <c r="C8" s="303" t="s">
        <v>52</v>
      </c>
      <c r="D8" s="195"/>
      <c r="E8" s="244"/>
      <c r="F8" s="15"/>
      <c r="G8" s="15"/>
      <c r="H8" s="16"/>
      <c r="I8" s="752" t="s">
        <v>11</v>
      </c>
      <c r="J8" s="752"/>
      <c r="K8" s="152" t="s">
        <v>108</v>
      </c>
      <c r="L8" s="127"/>
      <c r="M8" s="127"/>
      <c r="N8" s="127"/>
      <c r="O8" s="132"/>
      <c r="R8" s="74"/>
    </row>
    <row r="9" spans="1:19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1:19" ht="18.75" customHeight="1">
      <c r="B10" s="72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109</v>
      </c>
      <c r="L10" s="137"/>
      <c r="M10" s="138"/>
      <c r="N10" s="138"/>
      <c r="O10" s="139"/>
      <c r="Q10" s="74" t="s">
        <v>62</v>
      </c>
      <c r="R10" s="56" t="s">
        <v>90</v>
      </c>
    </row>
    <row r="11" spans="1:19" ht="18.75" customHeight="1">
      <c r="B11" s="280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282"/>
      <c r="Q11" s="74" t="s">
        <v>64</v>
      </c>
      <c r="R11" s="192"/>
    </row>
    <row r="12" spans="1:19" ht="18.75" customHeight="1">
      <c r="B12" s="312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284"/>
      <c r="R12" s="192"/>
    </row>
    <row r="13" spans="1:19" ht="30.6" customHeight="1">
      <c r="B13" s="925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917"/>
      <c r="R13" s="192"/>
    </row>
    <row r="14" spans="1:19" ht="18.75" customHeight="1">
      <c r="B14" s="346"/>
      <c r="C14" s="347"/>
      <c r="D14" s="347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867"/>
      <c r="R14" s="192"/>
    </row>
    <row r="15" spans="1:19" s="197" customFormat="1" ht="18.75" customHeight="1">
      <c r="B15" s="316"/>
      <c r="C15" s="270"/>
      <c r="D15" s="324"/>
      <c r="E15" s="298"/>
      <c r="F15" s="323"/>
      <c r="G15" s="350"/>
      <c r="H15" s="356"/>
      <c r="I15" s="718"/>
      <c r="J15" s="199"/>
      <c r="K15" s="904"/>
      <c r="L15" s="904"/>
      <c r="M15" s="904"/>
      <c r="N15" s="904"/>
      <c r="O15" s="918"/>
      <c r="R15" s="192"/>
      <c r="S15" s="311"/>
    </row>
    <row r="16" spans="1:19" s="197" customFormat="1" ht="18.75" customHeight="1">
      <c r="B16" s="691" t="s">
        <v>110</v>
      </c>
      <c r="C16" s="342"/>
      <c r="D16" s="342"/>
      <c r="E16" s="342"/>
      <c r="F16" s="342"/>
      <c r="G16" s="343"/>
      <c r="H16" s="356" t="s">
        <v>25</v>
      </c>
      <c r="I16" s="718" t="s">
        <v>26</v>
      </c>
      <c r="J16" s="199" t="s">
        <v>27</v>
      </c>
      <c r="K16" s="928">
        <v>84935.92</v>
      </c>
      <c r="L16" s="898"/>
      <c r="M16" s="898"/>
      <c r="N16" s="898"/>
      <c r="O16" s="919"/>
      <c r="R16" s="192"/>
    </row>
    <row r="17" spans="2:20" s="197" customFormat="1" ht="20.25" customHeight="1">
      <c r="C17" s="304"/>
      <c r="D17" s="302"/>
      <c r="E17" s="302"/>
      <c r="F17" s="302"/>
      <c r="G17" s="352"/>
      <c r="H17" s="356"/>
      <c r="I17" s="718"/>
      <c r="J17" s="199"/>
      <c r="K17" s="897"/>
      <c r="L17" s="898"/>
      <c r="M17" s="898"/>
      <c r="N17" s="898"/>
      <c r="O17" s="919"/>
      <c r="R17" s="192"/>
    </row>
    <row r="18" spans="2:20" s="197" customFormat="1" ht="22.5" customHeight="1">
      <c r="B18" s="367" t="s">
        <v>111</v>
      </c>
      <c r="C18" s="304"/>
      <c r="D18" s="296"/>
      <c r="E18" s="297"/>
      <c r="F18" s="323"/>
      <c r="G18" s="350"/>
      <c r="H18" s="356"/>
      <c r="I18" s="718"/>
      <c r="J18" s="199"/>
      <c r="K18" s="909"/>
      <c r="L18" s="909"/>
      <c r="M18" s="909"/>
      <c r="N18" s="909"/>
      <c r="O18" s="915"/>
      <c r="R18" s="192"/>
      <c r="S18" s="311"/>
    </row>
    <row r="19" spans="2:20" s="197" customFormat="1" ht="18.75" customHeight="1">
      <c r="B19" s="351"/>
      <c r="C19" s="305"/>
      <c r="D19" s="296"/>
      <c r="E19" s="298"/>
      <c r="F19" s="323"/>
      <c r="G19" s="350"/>
      <c r="H19" s="356"/>
      <c r="I19" s="718"/>
      <c r="J19" s="199"/>
      <c r="K19" s="797"/>
      <c r="L19" s="797"/>
      <c r="M19" s="797"/>
      <c r="N19" s="797"/>
      <c r="O19" s="886"/>
      <c r="R19" s="192"/>
    </row>
    <row r="20" spans="2:20" s="197" customFormat="1" ht="18.75" customHeight="1">
      <c r="B20" s="329"/>
      <c r="C20" s="299"/>
      <c r="D20" s="296"/>
      <c r="E20" s="298"/>
      <c r="F20" s="323"/>
      <c r="G20" s="350"/>
      <c r="H20" s="356"/>
      <c r="I20" s="718"/>
      <c r="J20" s="199"/>
      <c r="K20" s="797"/>
      <c r="L20" s="797"/>
      <c r="M20" s="797"/>
      <c r="N20" s="797"/>
      <c r="O20" s="886"/>
      <c r="R20" s="192"/>
    </row>
    <row r="21" spans="2:20" s="269" customFormat="1" ht="18.75" customHeight="1">
      <c r="B21" s="330"/>
      <c r="C21" s="331"/>
      <c r="D21" s="332"/>
      <c r="E21" s="333"/>
      <c r="F21" s="334"/>
      <c r="G21" s="353"/>
      <c r="H21" s="357"/>
      <c r="I21" s="267"/>
      <c r="J21" s="268"/>
      <c r="K21" s="906"/>
      <c r="L21" s="799"/>
      <c r="M21" s="799"/>
      <c r="N21" s="799"/>
      <c r="O21" s="921"/>
      <c r="R21" s="192"/>
    </row>
    <row r="22" spans="2:20" s="197" customFormat="1" ht="18.75" customHeight="1">
      <c r="B22" s="335"/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886"/>
      <c r="R22" s="192"/>
    </row>
    <row r="23" spans="2:20" ht="18.75" customHeight="1">
      <c r="B23" s="167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84935.92</v>
      </c>
      <c r="L23" s="884"/>
      <c r="M23" s="884"/>
      <c r="N23" s="884"/>
      <c r="O23" s="885"/>
      <c r="P23" s="121">
        <f>SUM(K15:O22)</f>
        <v>84935.92</v>
      </c>
      <c r="R23" s="309" t="s">
        <v>97</v>
      </c>
    </row>
    <row r="24" spans="2:20" ht="18.75" customHeight="1">
      <c r="B24" s="360" t="s">
        <v>33</v>
      </c>
      <c r="C24" s="361" t="s">
        <v>112</v>
      </c>
      <c r="D24" s="362"/>
      <c r="E24" s="363"/>
      <c r="F24" s="364"/>
      <c r="G24" s="365"/>
      <c r="H24" s="366"/>
      <c r="I24" s="734"/>
      <c r="J24" s="169"/>
      <c r="K24" s="170"/>
      <c r="L24" s="170"/>
      <c r="M24" s="170"/>
      <c r="N24" s="170"/>
      <c r="O24" s="171"/>
      <c r="P24" s="121"/>
      <c r="R24" s="308"/>
      <c r="T24" s="74" t="s">
        <v>35</v>
      </c>
    </row>
    <row r="25" spans="2:20" ht="18.75" hidden="1" customHeight="1">
      <c r="B25" s="167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178"/>
      <c r="P25" s="121"/>
      <c r="R25" s="192"/>
    </row>
    <row r="26" spans="2:20" ht="18.75" hidden="1" customHeight="1">
      <c r="B26" s="179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57"/>
      <c r="R26" s="308"/>
    </row>
    <row r="27" spans="2:20" ht="25.5" customHeight="1">
      <c r="B27" s="183" t="s">
        <v>36</v>
      </c>
      <c r="C27" s="692" t="s">
        <v>99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84935.92</v>
      </c>
      <c r="L27" s="809"/>
      <c r="M27" s="809"/>
      <c r="N27" s="809"/>
      <c r="O27" s="858"/>
      <c r="R27" s="308"/>
    </row>
    <row r="28" spans="2:20" ht="18.75" customHeight="1">
      <c r="B28" s="722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59"/>
      <c r="R28" s="308"/>
    </row>
    <row r="29" spans="2:20" s="73" customFormat="1" ht="18.75" customHeight="1">
      <c r="B29" s="46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845"/>
      <c r="R29" s="308"/>
    </row>
    <row r="30" spans="2:20" ht="18.75" customHeight="1">
      <c r="B30" s="844" t="s">
        <v>113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920"/>
      <c r="R30" s="308"/>
    </row>
    <row r="31" spans="2:20" ht="18.75" customHeight="1">
      <c r="B31" s="840" t="s">
        <v>47</v>
      </c>
      <c r="C31" s="842"/>
      <c r="D31" s="841" t="s">
        <v>48</v>
      </c>
      <c r="E31" s="842"/>
      <c r="F31" s="841" t="s">
        <v>49</v>
      </c>
      <c r="G31" s="842"/>
      <c r="H31" s="840" t="s">
        <v>50</v>
      </c>
      <c r="I31" s="841"/>
      <c r="J31" s="842"/>
      <c r="K31" s="922" t="s">
        <v>51</v>
      </c>
      <c r="L31" s="923"/>
      <c r="M31" s="923"/>
      <c r="N31" s="923"/>
      <c r="O31" s="924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0">
    <mergeCell ref="I8:J8"/>
    <mergeCell ref="D2:J5"/>
    <mergeCell ref="K2:O2"/>
    <mergeCell ref="L3:O3"/>
    <mergeCell ref="L4:O4"/>
    <mergeCell ref="L5:O5"/>
    <mergeCell ref="K20:O20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8:O18"/>
    <mergeCell ref="K19:O19"/>
    <mergeCell ref="K16:O16"/>
    <mergeCell ref="K17:O17"/>
    <mergeCell ref="H29:J29"/>
    <mergeCell ref="K29:O3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B30:C30"/>
    <mergeCell ref="D30:E30"/>
    <mergeCell ref="F30:G30"/>
    <mergeCell ref="H30:J30"/>
    <mergeCell ref="B31:C31"/>
    <mergeCell ref="D31:E31"/>
    <mergeCell ref="F31:G31"/>
    <mergeCell ref="H31:J31"/>
    <mergeCell ref="K53:O53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B62:C62"/>
    <mergeCell ref="D62:E62"/>
    <mergeCell ref="F62:G62"/>
    <mergeCell ref="H62:J62"/>
    <mergeCell ref="K62:O62"/>
    <mergeCell ref="B54:G54"/>
    <mergeCell ref="K54:O54"/>
    <mergeCell ref="K55:O55"/>
    <mergeCell ref="K56:O56"/>
    <mergeCell ref="K57:O57"/>
  </mergeCells>
  <printOptions horizontalCentered="1"/>
  <pageMargins left="0.25" right="0.25" top="0.25" bottom="0.75" header="0.3" footer="0.3"/>
  <pageSetup paperSize="14" scale="67" fitToHeight="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95EA-EC50-4492-9F5E-C6B585179101}">
  <sheetPr>
    <pageSetUpPr fitToPage="1"/>
  </sheetPr>
  <dimension ref="A1:T62"/>
  <sheetViews>
    <sheetView showGridLines="0" view="pageBreakPreview" topLeftCell="S1" zoomScale="70" zoomScaleNormal="100" zoomScaleSheetLayoutView="70" workbookViewId="0">
      <selection activeCell="W19" sqref="W19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1:19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1:19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1:19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1:19" ht="18.75" customHeight="1">
      <c r="B6" s="144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1:19" ht="18.75" customHeight="1">
      <c r="B7" s="147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1:19" ht="18.75" customHeight="1">
      <c r="B8" s="274" t="s">
        <v>9</v>
      </c>
      <c r="C8" s="303" t="s">
        <v>114</v>
      </c>
      <c r="D8" s="195"/>
      <c r="E8" s="244"/>
      <c r="F8" s="15"/>
      <c r="G8" s="15"/>
      <c r="H8" s="16"/>
      <c r="I8" s="752" t="s">
        <v>11</v>
      </c>
      <c r="J8" s="752"/>
      <c r="K8" s="152" t="s">
        <v>115</v>
      </c>
      <c r="L8" s="127"/>
      <c r="M8" s="127"/>
      <c r="N8" s="127"/>
      <c r="O8" s="132"/>
      <c r="R8" s="74"/>
    </row>
    <row r="9" spans="1:19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1:19" ht="18.75" customHeight="1">
      <c r="B10" s="72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116</v>
      </c>
      <c r="L10" s="137"/>
      <c r="M10" s="138"/>
      <c r="N10" s="138"/>
      <c r="O10" s="139"/>
      <c r="Q10" s="74" t="s">
        <v>62</v>
      </c>
      <c r="R10" s="56" t="s">
        <v>90</v>
      </c>
    </row>
    <row r="11" spans="1:19" ht="18.75" customHeight="1">
      <c r="B11" s="280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282"/>
      <c r="Q11" s="74" t="s">
        <v>64</v>
      </c>
      <c r="R11" s="192"/>
    </row>
    <row r="12" spans="1:19" ht="18.75" customHeight="1">
      <c r="B12" s="312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284"/>
      <c r="R12" s="192"/>
    </row>
    <row r="13" spans="1:19" ht="30.6" customHeight="1">
      <c r="B13" s="925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917"/>
      <c r="R13" s="192"/>
    </row>
    <row r="14" spans="1:19" ht="18.75" customHeight="1">
      <c r="B14" s="346"/>
      <c r="C14" s="347"/>
      <c r="D14" s="347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867"/>
      <c r="R14" s="192"/>
    </row>
    <row r="15" spans="1:19" s="197" customFormat="1" ht="18.75" customHeight="1">
      <c r="B15" s="316"/>
      <c r="C15" s="270"/>
      <c r="D15" s="324"/>
      <c r="E15" s="298"/>
      <c r="F15" s="323"/>
      <c r="G15" s="350"/>
      <c r="H15" s="356"/>
      <c r="I15" s="718"/>
      <c r="J15" s="199"/>
      <c r="K15" s="904"/>
      <c r="L15" s="904"/>
      <c r="M15" s="904"/>
      <c r="N15" s="904"/>
      <c r="O15" s="918"/>
      <c r="R15" s="192"/>
      <c r="S15" s="311"/>
    </row>
    <row r="16" spans="1:19" s="197" customFormat="1" ht="18.75" customHeight="1">
      <c r="B16" s="345" t="s">
        <v>117</v>
      </c>
      <c r="C16" s="342"/>
      <c r="D16" s="342"/>
      <c r="E16" s="342"/>
      <c r="F16" s="342"/>
      <c r="G16" s="343"/>
      <c r="H16" s="356" t="s">
        <v>25</v>
      </c>
      <c r="I16" s="718" t="s">
        <v>118</v>
      </c>
      <c r="J16" s="199" t="s">
        <v>27</v>
      </c>
      <c r="K16" s="897">
        <v>200000</v>
      </c>
      <c r="L16" s="898"/>
      <c r="M16" s="898"/>
      <c r="N16" s="898"/>
      <c r="O16" s="919"/>
      <c r="R16" s="192"/>
    </row>
    <row r="17" spans="2:20" s="197" customFormat="1" ht="20.25" customHeight="1">
      <c r="B17" s="351" t="s">
        <v>119</v>
      </c>
      <c r="C17" s="304"/>
      <c r="D17" s="302"/>
      <c r="E17" s="302"/>
      <c r="F17" s="302"/>
      <c r="G17" s="352"/>
      <c r="H17" s="356"/>
      <c r="I17" s="718"/>
      <c r="J17" s="199"/>
      <c r="K17" s="897"/>
      <c r="L17" s="898"/>
      <c r="M17" s="898"/>
      <c r="N17" s="898"/>
      <c r="O17" s="919"/>
      <c r="R17" s="192"/>
    </row>
    <row r="18" spans="2:20" s="197" customFormat="1" ht="22.5" customHeight="1">
      <c r="B18" s="351" t="s">
        <v>120</v>
      </c>
      <c r="C18" s="304"/>
      <c r="D18" s="296"/>
      <c r="E18" s="297"/>
      <c r="F18" s="323"/>
      <c r="G18" s="350"/>
      <c r="H18" s="356"/>
      <c r="I18" s="718"/>
      <c r="J18" s="199"/>
      <c r="K18" s="909"/>
      <c r="L18" s="909"/>
      <c r="M18" s="909"/>
      <c r="N18" s="909"/>
      <c r="O18" s="915"/>
      <c r="R18" s="192"/>
      <c r="S18" s="311"/>
    </row>
    <row r="19" spans="2:20" s="197" customFormat="1" ht="18.75" customHeight="1">
      <c r="B19" s="351" t="s">
        <v>121</v>
      </c>
      <c r="C19" s="305"/>
      <c r="D19" s="296"/>
      <c r="E19" s="298"/>
      <c r="F19" s="323"/>
      <c r="G19" s="350"/>
      <c r="H19" s="356"/>
      <c r="I19" s="718"/>
      <c r="J19" s="199"/>
      <c r="K19" s="797"/>
      <c r="L19" s="797"/>
      <c r="M19" s="797"/>
      <c r="N19" s="797"/>
      <c r="O19" s="886"/>
      <c r="R19" s="192"/>
    </row>
    <row r="20" spans="2:20" s="197" customFormat="1" ht="18.75" customHeight="1">
      <c r="B20" s="329"/>
      <c r="C20" s="299"/>
      <c r="D20" s="296"/>
      <c r="E20" s="298"/>
      <c r="F20" s="323"/>
      <c r="G20" s="350"/>
      <c r="H20" s="356"/>
      <c r="I20" s="718"/>
      <c r="J20" s="199"/>
      <c r="K20" s="797"/>
      <c r="L20" s="797"/>
      <c r="M20" s="797"/>
      <c r="N20" s="797"/>
      <c r="O20" s="886"/>
      <c r="R20" s="192"/>
    </row>
    <row r="21" spans="2:20" s="269" customFormat="1" ht="18.75" customHeight="1">
      <c r="B21" s="330"/>
      <c r="C21" s="331"/>
      <c r="D21" s="332"/>
      <c r="E21" s="333"/>
      <c r="F21" s="334"/>
      <c r="G21" s="353"/>
      <c r="H21" s="357"/>
      <c r="I21" s="267"/>
      <c r="J21" s="268"/>
      <c r="K21" s="906"/>
      <c r="L21" s="799"/>
      <c r="M21" s="799"/>
      <c r="N21" s="799"/>
      <c r="O21" s="921"/>
      <c r="R21" s="192"/>
    </row>
    <row r="22" spans="2:20" s="197" customFormat="1" ht="18.75" customHeight="1">
      <c r="B22" s="335"/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886"/>
      <c r="R22" s="192"/>
    </row>
    <row r="23" spans="2:20" ht="18.75" customHeight="1">
      <c r="B23" s="167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200000</v>
      </c>
      <c r="L23" s="884"/>
      <c r="M23" s="884"/>
      <c r="N23" s="884"/>
      <c r="O23" s="885"/>
      <c r="P23" s="121">
        <f>SUM(K15:O22)</f>
        <v>200000</v>
      </c>
      <c r="R23" s="309" t="s">
        <v>97</v>
      </c>
    </row>
    <row r="24" spans="2:20" ht="18.75" customHeight="1">
      <c r="B24" s="310" t="s">
        <v>33</v>
      </c>
      <c r="C24" s="230" t="s">
        <v>79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171"/>
      <c r="P24" s="121"/>
      <c r="R24" s="308"/>
      <c r="T24" s="74" t="s">
        <v>35</v>
      </c>
    </row>
    <row r="25" spans="2:20" ht="18.75" hidden="1" customHeight="1">
      <c r="B25" s="167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178"/>
      <c r="P25" s="121"/>
      <c r="R25" s="192"/>
    </row>
    <row r="26" spans="2:20" ht="18.75" hidden="1" customHeight="1">
      <c r="B26" s="179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57"/>
      <c r="R26" s="308"/>
    </row>
    <row r="27" spans="2:20" ht="25.5" customHeight="1">
      <c r="B27" s="183" t="s">
        <v>36</v>
      </c>
      <c r="C27" s="230" t="s">
        <v>122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200000</v>
      </c>
      <c r="L27" s="809"/>
      <c r="M27" s="809"/>
      <c r="N27" s="809"/>
      <c r="O27" s="858"/>
      <c r="R27" s="308"/>
    </row>
    <row r="28" spans="2:20" ht="18.75" customHeight="1">
      <c r="B28" s="722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59"/>
      <c r="R28" s="308"/>
    </row>
    <row r="29" spans="2:20" s="73" customFormat="1" ht="18.75" customHeight="1">
      <c r="B29" s="46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845"/>
      <c r="R29" s="308"/>
    </row>
    <row r="30" spans="2:20" ht="18.75" customHeight="1">
      <c r="B30" s="844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920"/>
      <c r="R30" s="308"/>
    </row>
    <row r="31" spans="2:20" ht="18.75" customHeight="1">
      <c r="B31" s="840" t="s">
        <v>47</v>
      </c>
      <c r="C31" s="842"/>
      <c r="D31" s="841" t="s">
        <v>48</v>
      </c>
      <c r="E31" s="842"/>
      <c r="F31" s="841" t="s">
        <v>49</v>
      </c>
      <c r="G31" s="842"/>
      <c r="H31" s="840" t="s">
        <v>50</v>
      </c>
      <c r="I31" s="841"/>
      <c r="J31" s="842"/>
      <c r="K31" s="922" t="s">
        <v>51</v>
      </c>
      <c r="L31" s="923"/>
      <c r="M31" s="923"/>
      <c r="N31" s="923"/>
      <c r="O31" s="924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0">
    <mergeCell ref="I8:J8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H29:J29"/>
    <mergeCell ref="K29:O30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B30:C30"/>
    <mergeCell ref="D30:E30"/>
    <mergeCell ref="F30:G30"/>
    <mergeCell ref="H30:J30"/>
    <mergeCell ref="B31:C31"/>
    <mergeCell ref="D31:E31"/>
    <mergeCell ref="F31:G31"/>
    <mergeCell ref="H31:J31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K55:O55"/>
    <mergeCell ref="K56:O56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8015-0A9E-466A-B756-7E8BF19C410E}">
  <sheetPr>
    <pageSetUpPr fitToPage="1"/>
  </sheetPr>
  <dimension ref="A1:T62"/>
  <sheetViews>
    <sheetView showGridLines="0" view="pageBreakPreview" zoomScale="70" zoomScaleNormal="100" zoomScaleSheetLayoutView="70" workbookViewId="0">
      <selection activeCell="K8" sqref="K8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1:19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1:19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1:19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1:19" ht="18.75" customHeight="1">
      <c r="B6" s="144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1:19" ht="18.75" customHeight="1">
      <c r="B7" s="147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1:19" ht="18.75" customHeight="1">
      <c r="B8" s="274" t="s">
        <v>9</v>
      </c>
      <c r="C8" s="303" t="s">
        <v>123</v>
      </c>
      <c r="D8" s="195"/>
      <c r="E8" s="244"/>
      <c r="F8" s="15"/>
      <c r="G8" s="15"/>
      <c r="H8" s="16"/>
      <c r="I8" s="752" t="s">
        <v>11</v>
      </c>
      <c r="J8" s="752"/>
      <c r="K8" s="152"/>
      <c r="L8" s="127"/>
      <c r="M8" s="127"/>
      <c r="N8" s="127"/>
      <c r="O8" s="132"/>
      <c r="R8" s="74"/>
    </row>
    <row r="9" spans="1:19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1:19" ht="18.75" customHeight="1">
      <c r="B10" s="72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/>
      <c r="L10" s="137"/>
      <c r="M10" s="138"/>
      <c r="N10" s="138"/>
      <c r="O10" s="139"/>
      <c r="Q10" s="74" t="s">
        <v>62</v>
      </c>
      <c r="R10" s="56" t="s">
        <v>90</v>
      </c>
    </row>
    <row r="11" spans="1:19" ht="18.75" customHeight="1">
      <c r="B11" s="280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282"/>
      <c r="Q11" s="74" t="s">
        <v>64</v>
      </c>
      <c r="R11" s="192"/>
    </row>
    <row r="12" spans="1:19" ht="18.75" customHeight="1">
      <c r="B12" s="312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284"/>
      <c r="R12" s="192"/>
    </row>
    <row r="13" spans="1:19" ht="30.6" customHeight="1">
      <c r="B13" s="925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917"/>
      <c r="R13" s="192"/>
    </row>
    <row r="14" spans="1:19" ht="18.75" customHeight="1">
      <c r="B14" s="346"/>
      <c r="C14" s="347"/>
      <c r="D14" s="347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867"/>
      <c r="R14" s="192"/>
    </row>
    <row r="15" spans="1:19" s="197" customFormat="1" ht="18.75" customHeight="1">
      <c r="B15" s="316"/>
      <c r="C15" s="270"/>
      <c r="D15" s="324"/>
      <c r="E15" s="298"/>
      <c r="F15" s="323"/>
      <c r="G15" s="350"/>
      <c r="H15" s="356"/>
      <c r="I15" s="718"/>
      <c r="J15" s="199"/>
      <c r="K15" s="904"/>
      <c r="L15" s="904"/>
      <c r="M15" s="904"/>
      <c r="N15" s="904"/>
      <c r="O15" s="918"/>
      <c r="R15" s="192"/>
      <c r="S15" s="311"/>
    </row>
    <row r="16" spans="1:19" s="197" customFormat="1" ht="18.75" customHeight="1">
      <c r="B16" s="359" t="s">
        <v>124</v>
      </c>
      <c r="C16" s="342"/>
      <c r="D16" s="342"/>
      <c r="E16" s="342"/>
      <c r="F16" s="342"/>
      <c r="G16" s="343"/>
      <c r="H16" s="356" t="s">
        <v>25</v>
      </c>
      <c r="I16" s="718" t="s">
        <v>118</v>
      </c>
      <c r="J16" s="199" t="s">
        <v>27</v>
      </c>
      <c r="K16" s="897">
        <v>30626</v>
      </c>
      <c r="L16" s="898"/>
      <c r="M16" s="898"/>
      <c r="N16" s="898"/>
      <c r="O16" s="919"/>
      <c r="R16" s="192"/>
    </row>
    <row r="17" spans="2:20" s="197" customFormat="1" ht="20.25" customHeight="1">
      <c r="B17" s="359" t="s">
        <v>125</v>
      </c>
      <c r="C17" s="304"/>
      <c r="D17" s="302"/>
      <c r="E17" s="302"/>
      <c r="F17" s="302"/>
      <c r="G17" s="352"/>
      <c r="H17" s="356"/>
      <c r="I17" s="718"/>
      <c r="J17" s="199"/>
      <c r="K17" s="897"/>
      <c r="L17" s="898"/>
      <c r="M17" s="898"/>
      <c r="N17" s="898"/>
      <c r="O17" s="919"/>
      <c r="R17" s="192"/>
    </row>
    <row r="18" spans="2:20" s="197" customFormat="1" ht="22.5" customHeight="1">
      <c r="B18" s="351"/>
      <c r="C18" s="304"/>
      <c r="D18" s="296"/>
      <c r="E18" s="297"/>
      <c r="F18" s="323"/>
      <c r="G18" s="350"/>
      <c r="H18" s="356"/>
      <c r="I18" s="718"/>
      <c r="J18" s="199"/>
      <c r="K18" s="909"/>
      <c r="L18" s="909"/>
      <c r="M18" s="909"/>
      <c r="N18" s="909"/>
      <c r="O18" s="915"/>
      <c r="R18" s="192"/>
      <c r="S18" s="311"/>
    </row>
    <row r="19" spans="2:20" s="197" customFormat="1" ht="18.75" customHeight="1">
      <c r="B19" s="351"/>
      <c r="C19" s="305"/>
      <c r="D19" s="296"/>
      <c r="E19" s="298"/>
      <c r="F19" s="323"/>
      <c r="G19" s="350"/>
      <c r="H19" s="356"/>
      <c r="I19" s="718"/>
      <c r="J19" s="199"/>
      <c r="K19" s="797"/>
      <c r="L19" s="797"/>
      <c r="M19" s="797"/>
      <c r="N19" s="797"/>
      <c r="O19" s="886"/>
      <c r="R19" s="192"/>
    </row>
    <row r="20" spans="2:20" s="197" customFormat="1" ht="18.75" customHeight="1">
      <c r="B20" s="329"/>
      <c r="C20" s="299"/>
      <c r="D20" s="296"/>
      <c r="E20" s="298"/>
      <c r="F20" s="323"/>
      <c r="G20" s="350"/>
      <c r="H20" s="356"/>
      <c r="I20" s="718"/>
      <c r="J20" s="199"/>
      <c r="K20" s="797"/>
      <c r="L20" s="797"/>
      <c r="M20" s="797"/>
      <c r="N20" s="797"/>
      <c r="O20" s="886"/>
      <c r="R20" s="192"/>
    </row>
    <row r="21" spans="2:20" s="269" customFormat="1" ht="18.75" customHeight="1">
      <c r="B21" s="330"/>
      <c r="C21" s="331"/>
      <c r="D21" s="332"/>
      <c r="E21" s="333"/>
      <c r="F21" s="334"/>
      <c r="G21" s="353"/>
      <c r="H21" s="357"/>
      <c r="I21" s="267"/>
      <c r="J21" s="268"/>
      <c r="K21" s="906"/>
      <c r="L21" s="799"/>
      <c r="M21" s="799"/>
      <c r="N21" s="799"/>
      <c r="O21" s="921"/>
      <c r="R21" s="192"/>
    </row>
    <row r="22" spans="2:20" s="197" customFormat="1" ht="18.75" customHeight="1">
      <c r="B22" s="335"/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886"/>
      <c r="R22" s="192"/>
    </row>
    <row r="23" spans="2:20" ht="18.75" customHeight="1">
      <c r="B23" s="167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30626</v>
      </c>
      <c r="L23" s="884"/>
      <c r="M23" s="884"/>
      <c r="N23" s="884"/>
      <c r="O23" s="885"/>
      <c r="P23" s="121">
        <f>SUM(K15:O22)</f>
        <v>30626</v>
      </c>
      <c r="R23" s="309" t="s">
        <v>97</v>
      </c>
    </row>
    <row r="24" spans="2:20" ht="18.75" customHeight="1">
      <c r="B24" s="310" t="s">
        <v>33</v>
      </c>
      <c r="C24" s="230" t="s">
        <v>126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171"/>
      <c r="P24" s="121"/>
      <c r="R24" s="308"/>
      <c r="T24" s="74" t="s">
        <v>35</v>
      </c>
    </row>
    <row r="25" spans="2:20" ht="18.75" hidden="1" customHeight="1">
      <c r="B25" s="167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178"/>
      <c r="P25" s="121"/>
      <c r="R25" s="192"/>
    </row>
    <row r="26" spans="2:20" ht="18.75" hidden="1" customHeight="1">
      <c r="B26" s="179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57"/>
      <c r="R26" s="308"/>
    </row>
    <row r="27" spans="2:20" ht="25.5" customHeight="1">
      <c r="B27" s="183" t="s">
        <v>36</v>
      </c>
      <c r="C27" s="230" t="s">
        <v>122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30626</v>
      </c>
      <c r="L27" s="809"/>
      <c r="M27" s="809"/>
      <c r="N27" s="809"/>
      <c r="O27" s="858"/>
      <c r="R27" s="308"/>
    </row>
    <row r="28" spans="2:20" ht="18.75" customHeight="1">
      <c r="B28" s="722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59"/>
      <c r="R28" s="308"/>
    </row>
    <row r="29" spans="2:20" s="73" customFormat="1" ht="18.75" customHeight="1">
      <c r="B29" s="46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845"/>
      <c r="R29" s="308"/>
    </row>
    <row r="30" spans="2:20" ht="18.75" customHeight="1">
      <c r="B30" s="844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920"/>
      <c r="R30" s="308"/>
    </row>
    <row r="31" spans="2:20" ht="18.75" customHeight="1">
      <c r="B31" s="840" t="s">
        <v>47</v>
      </c>
      <c r="C31" s="842"/>
      <c r="D31" s="841" t="s">
        <v>48</v>
      </c>
      <c r="E31" s="842"/>
      <c r="F31" s="841" t="s">
        <v>49</v>
      </c>
      <c r="G31" s="842"/>
      <c r="H31" s="840" t="s">
        <v>50</v>
      </c>
      <c r="I31" s="841"/>
      <c r="J31" s="842"/>
      <c r="K31" s="922" t="s">
        <v>51</v>
      </c>
      <c r="L31" s="923"/>
      <c r="M31" s="923"/>
      <c r="N31" s="923"/>
      <c r="O31" s="924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0">
    <mergeCell ref="I8:J8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H29:J29"/>
    <mergeCell ref="K29:O30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B30:C30"/>
    <mergeCell ref="D30:E30"/>
    <mergeCell ref="F30:G30"/>
    <mergeCell ref="H30:J30"/>
    <mergeCell ref="B31:C31"/>
    <mergeCell ref="D31:E31"/>
    <mergeCell ref="F31:G31"/>
    <mergeCell ref="H31:J31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K55:O55"/>
    <mergeCell ref="K56:O56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4D96-7712-43D8-A9C5-5F96137809F6}">
  <sheetPr>
    <pageSetUpPr fitToPage="1"/>
  </sheetPr>
  <dimension ref="A1:T62"/>
  <sheetViews>
    <sheetView showGridLines="0" view="pageBreakPreview" zoomScale="70" zoomScaleNormal="100" zoomScaleSheetLayoutView="70" workbookViewId="0">
      <selection activeCell="B16" sqref="B16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9" width="36" style="74" bestFit="1" customWidth="1"/>
    <col min="20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1:19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1:19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1:19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1:19" ht="18.75" customHeight="1">
      <c r="B6" s="144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1:19" ht="18.75" customHeight="1">
      <c r="B7" s="147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  <c r="S7" s="373" t="s">
        <v>127</v>
      </c>
    </row>
    <row r="8" spans="1:19" ht="18.75" customHeight="1">
      <c r="B8" s="274" t="s">
        <v>9</v>
      </c>
      <c r="C8" s="303" t="s">
        <v>123</v>
      </c>
      <c r="D8" s="195"/>
      <c r="E8" s="244"/>
      <c r="F8" s="15"/>
      <c r="G8" s="15"/>
      <c r="H8" s="16"/>
      <c r="I8" s="752" t="s">
        <v>11</v>
      </c>
      <c r="J8" s="752"/>
      <c r="K8" s="152" t="s">
        <v>128</v>
      </c>
      <c r="L8" s="127"/>
      <c r="M8" s="127"/>
      <c r="N8" s="127"/>
      <c r="O8" s="132"/>
      <c r="R8" s="74"/>
    </row>
    <row r="9" spans="1:19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1:19" ht="18.75" customHeight="1">
      <c r="B10" s="72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129</v>
      </c>
      <c r="L10" s="137"/>
      <c r="M10" s="138"/>
      <c r="N10" s="138"/>
      <c r="O10" s="139"/>
      <c r="Q10" s="74" t="s">
        <v>62</v>
      </c>
      <c r="R10" s="56" t="s">
        <v>90</v>
      </c>
    </row>
    <row r="11" spans="1:19" ht="18.75" customHeight="1">
      <c r="B11" s="280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282"/>
      <c r="Q11" s="74" t="s">
        <v>64</v>
      </c>
      <c r="R11" s="192"/>
    </row>
    <row r="12" spans="1:19" ht="18.75" customHeight="1">
      <c r="B12" s="312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284"/>
      <c r="R12" s="192"/>
    </row>
    <row r="13" spans="1:19" ht="30.6" customHeight="1">
      <c r="B13" s="925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917"/>
      <c r="R13" s="192"/>
    </row>
    <row r="14" spans="1:19" ht="18.75" customHeight="1">
      <c r="B14" s="346"/>
      <c r="C14" s="347"/>
      <c r="D14" s="347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867"/>
      <c r="R14" s="192"/>
    </row>
    <row r="15" spans="1:19" s="197" customFormat="1" ht="18.75" customHeight="1">
      <c r="B15" s="316"/>
      <c r="C15" s="270"/>
      <c r="D15" s="324"/>
      <c r="E15" s="298"/>
      <c r="F15" s="323"/>
      <c r="G15" s="350"/>
      <c r="H15" s="356"/>
      <c r="I15" s="718"/>
      <c r="J15" s="199"/>
      <c r="K15" s="904"/>
      <c r="L15" s="904"/>
      <c r="M15" s="904"/>
      <c r="N15" s="904"/>
      <c r="O15" s="918"/>
      <c r="R15" s="192"/>
      <c r="S15" s="311"/>
    </row>
    <row r="16" spans="1:19" s="197" customFormat="1" ht="18.75" customHeight="1">
      <c r="B16" s="491" t="s">
        <v>130</v>
      </c>
      <c r="C16" s="342"/>
      <c r="D16" s="342"/>
      <c r="E16" s="342"/>
      <c r="F16" s="342"/>
      <c r="G16" s="343"/>
      <c r="H16" s="356" t="s">
        <v>25</v>
      </c>
      <c r="I16" s="718" t="s">
        <v>118</v>
      </c>
      <c r="J16" s="199" t="s">
        <v>27</v>
      </c>
      <c r="K16" s="897">
        <v>115712</v>
      </c>
      <c r="L16" s="898"/>
      <c r="M16" s="898"/>
      <c r="N16" s="898"/>
      <c r="O16" s="919"/>
      <c r="R16" s="192"/>
    </row>
    <row r="17" spans="2:20" s="197" customFormat="1" ht="20.25" customHeight="1">
      <c r="B17" s="491" t="s">
        <v>131</v>
      </c>
      <c r="C17" s="304"/>
      <c r="D17" s="302"/>
      <c r="E17" s="302"/>
      <c r="F17" s="302"/>
      <c r="G17" s="352"/>
      <c r="H17" s="356"/>
      <c r="I17" s="718"/>
      <c r="J17" s="199"/>
      <c r="K17" s="897"/>
      <c r="L17" s="898"/>
      <c r="M17" s="898"/>
      <c r="N17" s="898"/>
      <c r="O17" s="919"/>
      <c r="R17" s="192"/>
    </row>
    <row r="18" spans="2:20" s="197" customFormat="1" ht="22.5" customHeight="1">
      <c r="B18" s="351"/>
      <c r="C18" s="304"/>
      <c r="D18" s="296"/>
      <c r="E18" s="297"/>
      <c r="F18" s="323"/>
      <c r="G18" s="350"/>
      <c r="H18" s="356"/>
      <c r="I18" s="718"/>
      <c r="J18" s="199"/>
      <c r="K18" s="909"/>
      <c r="L18" s="909"/>
      <c r="M18" s="909"/>
      <c r="N18" s="909"/>
      <c r="O18" s="915"/>
      <c r="R18" s="192"/>
      <c r="S18" s="311"/>
    </row>
    <row r="19" spans="2:20" s="197" customFormat="1" ht="18.75" customHeight="1">
      <c r="B19" s="351"/>
      <c r="C19" s="305"/>
      <c r="D19" s="296"/>
      <c r="E19" s="298"/>
      <c r="F19" s="323"/>
      <c r="G19" s="350"/>
      <c r="H19" s="356"/>
      <c r="I19" s="718"/>
      <c r="J19" s="199"/>
      <c r="K19" s="797"/>
      <c r="L19" s="797"/>
      <c r="M19" s="797"/>
      <c r="N19" s="797"/>
      <c r="O19" s="886"/>
      <c r="R19" s="192"/>
    </row>
    <row r="20" spans="2:20" s="197" customFormat="1" ht="18.75" customHeight="1">
      <c r="B20" s="329"/>
      <c r="C20" s="299"/>
      <c r="D20" s="296"/>
      <c r="E20" s="298"/>
      <c r="F20" s="323"/>
      <c r="G20" s="350"/>
      <c r="H20" s="356"/>
      <c r="I20" s="718"/>
      <c r="J20" s="199"/>
      <c r="K20" s="797"/>
      <c r="L20" s="797"/>
      <c r="M20" s="797"/>
      <c r="N20" s="797"/>
      <c r="O20" s="886"/>
      <c r="R20" s="192"/>
    </row>
    <row r="21" spans="2:20" s="269" customFormat="1" ht="18.75" customHeight="1">
      <c r="B21" s="330"/>
      <c r="C21" s="331"/>
      <c r="D21" s="332"/>
      <c r="E21" s="333"/>
      <c r="F21" s="334"/>
      <c r="G21" s="353"/>
      <c r="H21" s="357"/>
      <c r="I21" s="267"/>
      <c r="J21" s="268"/>
      <c r="K21" s="906"/>
      <c r="L21" s="799"/>
      <c r="M21" s="799"/>
      <c r="N21" s="799"/>
      <c r="O21" s="921"/>
      <c r="R21" s="192"/>
    </row>
    <row r="22" spans="2:20" s="197" customFormat="1" ht="18.75" customHeight="1">
      <c r="B22" s="335"/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886"/>
      <c r="R22" s="192"/>
    </row>
    <row r="23" spans="2:20" ht="18.75" customHeight="1">
      <c r="B23" s="167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115712</v>
      </c>
      <c r="L23" s="884"/>
      <c r="M23" s="884"/>
      <c r="N23" s="884"/>
      <c r="O23" s="885"/>
      <c r="P23" s="121">
        <f>SUM(K15:O22)</f>
        <v>115712</v>
      </c>
      <c r="R23" s="309" t="s">
        <v>97</v>
      </c>
    </row>
    <row r="24" spans="2:20" ht="18.75" customHeight="1">
      <c r="B24" s="310" t="s">
        <v>33</v>
      </c>
      <c r="C24" s="230" t="s">
        <v>126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171"/>
      <c r="P24" s="121"/>
      <c r="R24" s="308"/>
      <c r="T24" s="74" t="s">
        <v>35</v>
      </c>
    </row>
    <row r="25" spans="2:20" ht="18.75" hidden="1" customHeight="1">
      <c r="B25" s="167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178"/>
      <c r="P25" s="121"/>
      <c r="R25" s="192"/>
    </row>
    <row r="26" spans="2:20" ht="18.75" hidden="1" customHeight="1">
      <c r="B26" s="179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57"/>
      <c r="R26" s="308"/>
    </row>
    <row r="27" spans="2:20" ht="25.5" customHeight="1">
      <c r="B27" s="183" t="s">
        <v>36</v>
      </c>
      <c r="C27" s="230" t="s">
        <v>122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115712</v>
      </c>
      <c r="L27" s="809"/>
      <c r="M27" s="809"/>
      <c r="N27" s="809"/>
      <c r="O27" s="858"/>
      <c r="R27" s="308"/>
    </row>
    <row r="28" spans="2:20" ht="18.75" customHeight="1">
      <c r="B28" s="722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59"/>
      <c r="R28" s="308"/>
    </row>
    <row r="29" spans="2:20" s="73" customFormat="1" ht="18.75" customHeight="1">
      <c r="B29" s="46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845"/>
      <c r="R29" s="308"/>
    </row>
    <row r="30" spans="2:20" ht="18.75" customHeight="1">
      <c r="B30" s="844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920"/>
      <c r="R30" s="308"/>
    </row>
    <row r="31" spans="2:20" ht="18.75" customHeight="1">
      <c r="B31" s="840" t="s">
        <v>47</v>
      </c>
      <c r="C31" s="842"/>
      <c r="D31" s="841" t="s">
        <v>48</v>
      </c>
      <c r="E31" s="842"/>
      <c r="F31" s="841" t="s">
        <v>49</v>
      </c>
      <c r="G31" s="842"/>
      <c r="H31" s="840" t="s">
        <v>50</v>
      </c>
      <c r="I31" s="841"/>
      <c r="J31" s="842"/>
      <c r="K31" s="922" t="s">
        <v>51</v>
      </c>
      <c r="L31" s="923"/>
      <c r="M31" s="923"/>
      <c r="N31" s="923"/>
      <c r="O31" s="924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0">
    <mergeCell ref="I8:J8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H29:J29"/>
    <mergeCell ref="K29:O30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B30:C30"/>
    <mergeCell ref="D30:E30"/>
    <mergeCell ref="F30:G30"/>
    <mergeCell ref="H30:J30"/>
    <mergeCell ref="B31:C31"/>
    <mergeCell ref="D31:E31"/>
    <mergeCell ref="F31:G31"/>
    <mergeCell ref="H31:J31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K55:O55"/>
    <mergeCell ref="K56:O56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96E6-2F5F-4807-8799-F59C84118FDB}">
  <sheetPr>
    <pageSetUpPr fitToPage="1"/>
  </sheetPr>
  <dimension ref="A1:T62"/>
  <sheetViews>
    <sheetView showGridLines="0" view="pageBreakPreview" zoomScale="70" zoomScaleNormal="100" zoomScaleSheetLayoutView="70" workbookViewId="0">
      <selection activeCell="K11" sqref="K11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70" t="s">
        <v>9</v>
      </c>
      <c r="C8" s="929" t="s">
        <v>132</v>
      </c>
      <c r="D8" s="930"/>
      <c r="E8" s="930"/>
      <c r="F8" s="930"/>
      <c r="G8" s="930"/>
      <c r="H8" s="931"/>
      <c r="I8" s="752" t="s">
        <v>133</v>
      </c>
      <c r="J8" s="752"/>
      <c r="K8" s="152" t="s">
        <v>134</v>
      </c>
      <c r="L8" s="127"/>
      <c r="M8" s="127"/>
      <c r="N8" s="127"/>
      <c r="O8" s="434"/>
      <c r="R8" s="74"/>
    </row>
    <row r="9" spans="1:19" ht="18.75" customHeight="1">
      <c r="B9" s="932"/>
      <c r="C9" s="776"/>
      <c r="D9" s="769"/>
      <c r="E9" s="769"/>
      <c r="F9" s="769"/>
      <c r="G9" s="769"/>
      <c r="H9" s="770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135</v>
      </c>
      <c r="L10" s="137"/>
      <c r="M10" s="138"/>
      <c r="N10" s="138"/>
      <c r="O10" s="437"/>
      <c r="Q10" s="74" t="s">
        <v>62</v>
      </c>
      <c r="R10" s="56" t="s">
        <v>103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33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503"/>
      <c r="C14" s="422"/>
      <c r="D14" s="422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504"/>
      <c r="C15" s="424"/>
      <c r="D15" s="424"/>
      <c r="E15" s="475"/>
      <c r="F15" s="934"/>
      <c r="G15" s="935"/>
      <c r="H15" s="356"/>
      <c r="I15" s="718"/>
      <c r="J15" s="199"/>
      <c r="K15" s="898"/>
      <c r="L15" s="898"/>
      <c r="M15" s="898"/>
      <c r="N15" s="898"/>
      <c r="O15" s="899"/>
      <c r="R15" s="192"/>
      <c r="S15" s="311"/>
    </row>
    <row r="16" spans="1:19" s="197" customFormat="1" ht="18.75" customHeight="1">
      <c r="B16" s="504" t="s">
        <v>136</v>
      </c>
      <c r="C16" s="424"/>
      <c r="D16" s="740"/>
      <c r="E16" s="740"/>
      <c r="F16" s="416"/>
      <c r="G16" s="417"/>
      <c r="H16" s="356" t="s">
        <v>25</v>
      </c>
      <c r="I16" s="718" t="s">
        <v>26</v>
      </c>
      <c r="J16" s="199" t="s">
        <v>27</v>
      </c>
      <c r="K16" s="936">
        <v>3305.27</v>
      </c>
      <c r="L16" s="937"/>
      <c r="M16" s="937"/>
      <c r="N16" s="937"/>
      <c r="O16" s="938"/>
      <c r="R16" s="192"/>
    </row>
    <row r="17" spans="2:20" s="197" customFormat="1" ht="20.25" customHeight="1">
      <c r="B17" s="504"/>
      <c r="C17" s="420"/>
      <c r="D17" s="420"/>
      <c r="E17" s="420"/>
      <c r="F17" s="415"/>
      <c r="G17" s="423"/>
      <c r="H17" s="356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486"/>
      <c r="C18" s="415"/>
      <c r="D18" s="415"/>
      <c r="E18" s="419"/>
      <c r="F18" s="740"/>
      <c r="G18" s="741"/>
      <c r="H18" s="356"/>
      <c r="I18" s="718"/>
      <c r="J18" s="199"/>
      <c r="K18" s="909"/>
      <c r="L18" s="909"/>
      <c r="M18" s="909"/>
      <c r="N18" s="909"/>
      <c r="O18" s="910"/>
      <c r="R18" s="192"/>
      <c r="S18" s="311"/>
    </row>
    <row r="19" spans="2:20" s="197" customFormat="1" ht="18.75" customHeight="1">
      <c r="B19" s="486"/>
      <c r="C19" s="415"/>
      <c r="D19" s="415"/>
      <c r="E19" s="419"/>
      <c r="F19" s="740"/>
      <c r="G19" s="741"/>
      <c r="H19" s="356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505" t="s">
        <v>137</v>
      </c>
      <c r="C20" s="421"/>
      <c r="D20" s="418"/>
      <c r="E20" s="419"/>
      <c r="F20" s="740"/>
      <c r="G20" s="741"/>
      <c r="H20" s="356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77"/>
      <c r="C21" s="331"/>
      <c r="D21" s="332"/>
      <c r="E21" s="333"/>
      <c r="F21" s="334"/>
      <c r="G21" s="353"/>
      <c r="H21" s="357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506"/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46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3305.27</v>
      </c>
      <c r="L23" s="884"/>
      <c r="M23" s="884"/>
      <c r="N23" s="884"/>
      <c r="O23" s="892"/>
      <c r="P23" s="121">
        <f>SUM(K15:O22)</f>
        <v>3305.27</v>
      </c>
      <c r="R23" s="309" t="s">
        <v>97</v>
      </c>
    </row>
    <row r="24" spans="2:20" ht="18.75" customHeight="1">
      <c r="B24" s="447" t="s">
        <v>33</v>
      </c>
      <c r="C24" s="461" t="s">
        <v>138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  <c r="R26" s="308"/>
    </row>
    <row r="27" spans="2:20" ht="25.5" customHeight="1">
      <c r="B27" s="453" t="s">
        <v>36</v>
      </c>
      <c r="C27" s="230" t="s">
        <v>139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3305.27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308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7" t="s">
        <v>51</v>
      </c>
      <c r="L31" s="828"/>
      <c r="M31" s="828"/>
      <c r="N31" s="828"/>
      <c r="O31" s="829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C35" s="411"/>
      <c r="J35" s="122"/>
      <c r="R35" s="308"/>
    </row>
    <row r="36" spans="2:19" ht="18.75" customHeight="1">
      <c r="B36" s="412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 t="s">
        <v>107</v>
      </c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2">
    <mergeCell ref="K55:O55"/>
    <mergeCell ref="K56:O56"/>
    <mergeCell ref="K57:O57"/>
    <mergeCell ref="B62:C62"/>
    <mergeCell ref="D62:E62"/>
    <mergeCell ref="F62:G62"/>
    <mergeCell ref="H62:J62"/>
    <mergeCell ref="K62:O62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B30:C30"/>
    <mergeCell ref="D30:E30"/>
    <mergeCell ref="F30:G30"/>
    <mergeCell ref="H30:J30"/>
    <mergeCell ref="B31:C31"/>
    <mergeCell ref="D31:E31"/>
    <mergeCell ref="F31:G31"/>
    <mergeCell ref="H31:J31"/>
    <mergeCell ref="H29:J29"/>
    <mergeCell ref="K29:O30"/>
    <mergeCell ref="K18:O18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K17:O17"/>
    <mergeCell ref="B9:C9"/>
    <mergeCell ref="D9:H9"/>
    <mergeCell ref="I9:J9"/>
    <mergeCell ref="D10:H10"/>
    <mergeCell ref="I10:J10"/>
    <mergeCell ref="B13:G13"/>
    <mergeCell ref="K13:O13"/>
    <mergeCell ref="K14:O14"/>
    <mergeCell ref="F15:G15"/>
    <mergeCell ref="K15:O15"/>
    <mergeCell ref="K16:O16"/>
    <mergeCell ref="C8:H8"/>
    <mergeCell ref="I8:J8"/>
    <mergeCell ref="D2:J5"/>
    <mergeCell ref="K2:O2"/>
    <mergeCell ref="L3:O3"/>
    <mergeCell ref="L4:O4"/>
    <mergeCell ref="L5:O5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FC9A-AD17-45C3-8911-FFA3920E29E1}">
  <sheetPr>
    <pageSetUpPr fitToPage="1"/>
  </sheetPr>
  <dimension ref="A1:T62"/>
  <sheetViews>
    <sheetView showGridLines="0" view="pageBreakPreview" zoomScale="70" zoomScaleNormal="100" zoomScaleSheetLayoutView="70" workbookViewId="0">
      <selection activeCell="K13" sqref="K13:O13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70" t="s">
        <v>9</v>
      </c>
      <c r="C8" s="929" t="s">
        <v>140</v>
      </c>
      <c r="D8" s="930"/>
      <c r="E8" s="930"/>
      <c r="F8" s="930"/>
      <c r="G8" s="930"/>
      <c r="H8" s="931"/>
      <c r="I8" s="752" t="s">
        <v>133</v>
      </c>
      <c r="J8" s="752"/>
      <c r="K8" s="152" t="s">
        <v>141</v>
      </c>
      <c r="L8" s="127"/>
      <c r="M8" s="127"/>
      <c r="N8" s="127"/>
      <c r="O8" s="434"/>
      <c r="R8" s="74"/>
    </row>
    <row r="9" spans="1:19" ht="18.75" customHeight="1">
      <c r="B9" s="932"/>
      <c r="C9" s="776"/>
      <c r="D9" s="769"/>
      <c r="E9" s="769"/>
      <c r="F9" s="769"/>
      <c r="G9" s="769"/>
      <c r="H9" s="770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142</v>
      </c>
      <c r="L10" s="137"/>
      <c r="M10" s="138"/>
      <c r="N10" s="138"/>
      <c r="O10" s="437"/>
      <c r="Q10" s="74" t="s">
        <v>62</v>
      </c>
      <c r="R10" s="56" t="s">
        <v>103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33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503"/>
      <c r="C14" s="422"/>
      <c r="D14" s="422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504"/>
      <c r="C15" s="424"/>
      <c r="D15" s="424"/>
      <c r="E15" s="475"/>
      <c r="F15" s="934"/>
      <c r="G15" s="935"/>
      <c r="H15" s="356"/>
      <c r="I15" s="718"/>
      <c r="J15" s="199"/>
      <c r="K15" s="898"/>
      <c r="L15" s="898"/>
      <c r="M15" s="898"/>
      <c r="N15" s="898"/>
      <c r="O15" s="899"/>
      <c r="R15" s="192"/>
      <c r="S15" s="311"/>
    </row>
    <row r="16" spans="1:19" s="197" customFormat="1" ht="18.75" customHeight="1">
      <c r="B16" s="504" t="s">
        <v>143</v>
      </c>
      <c r="C16" s="424"/>
      <c r="D16" s="740"/>
      <c r="E16" s="740"/>
      <c r="F16" s="416"/>
      <c r="G16" s="417"/>
      <c r="H16" s="356" t="s">
        <v>25</v>
      </c>
      <c r="I16" s="718" t="s">
        <v>26</v>
      </c>
      <c r="J16" s="199" t="s">
        <v>27</v>
      </c>
      <c r="K16" s="936">
        <v>872.45</v>
      </c>
      <c r="L16" s="937"/>
      <c r="M16" s="937"/>
      <c r="N16" s="937"/>
      <c r="O16" s="938"/>
      <c r="R16" s="192"/>
    </row>
    <row r="17" spans="2:20" s="197" customFormat="1" ht="20.25" customHeight="1">
      <c r="B17" s="504"/>
      <c r="C17" s="420"/>
      <c r="D17" s="420"/>
      <c r="E17" s="420"/>
      <c r="F17" s="415"/>
      <c r="G17" s="423"/>
      <c r="H17" s="356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502"/>
      <c r="C18" s="415"/>
      <c r="D18" s="415"/>
      <c r="E18" s="419"/>
      <c r="F18" s="740"/>
      <c r="G18" s="741"/>
      <c r="H18" s="356"/>
      <c r="I18" s="718"/>
      <c r="J18" s="199"/>
      <c r="K18" s="909"/>
      <c r="L18" s="909"/>
      <c r="M18" s="909"/>
      <c r="N18" s="909"/>
      <c r="O18" s="910"/>
      <c r="R18" s="192"/>
      <c r="S18" s="311"/>
    </row>
    <row r="19" spans="2:20" s="197" customFormat="1" ht="18.75" customHeight="1">
      <c r="B19" s="486"/>
      <c r="C19" s="415"/>
      <c r="D19" s="415"/>
      <c r="E19" s="419"/>
      <c r="F19" s="740"/>
      <c r="G19" s="741"/>
      <c r="H19" s="356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505" t="s">
        <v>137</v>
      </c>
      <c r="C20" s="421"/>
      <c r="D20" s="418"/>
      <c r="E20" s="419"/>
      <c r="F20" s="740"/>
      <c r="G20" s="741"/>
      <c r="H20" s="356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77"/>
      <c r="C21" s="331"/>
      <c r="D21" s="332"/>
      <c r="E21" s="333"/>
      <c r="F21" s="334"/>
      <c r="G21" s="353"/>
      <c r="H21" s="357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506"/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46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872.45</v>
      </c>
      <c r="L23" s="884"/>
      <c r="M23" s="884"/>
      <c r="N23" s="884"/>
      <c r="O23" s="892"/>
      <c r="P23" s="121">
        <f>SUM(K15:O22)</f>
        <v>872.45</v>
      </c>
      <c r="R23" s="309" t="s">
        <v>97</v>
      </c>
    </row>
    <row r="24" spans="2:20" ht="18.75" customHeight="1">
      <c r="B24" s="507" t="s">
        <v>33</v>
      </c>
      <c r="C24" s="461" t="s">
        <v>138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941" t="s">
        <v>39</v>
      </c>
      <c r="J26" s="942"/>
      <c r="K26" s="943">
        <v>0</v>
      </c>
      <c r="L26" s="943"/>
      <c r="M26" s="943"/>
      <c r="N26" s="943"/>
      <c r="O26" s="944"/>
      <c r="R26" s="308"/>
    </row>
    <row r="27" spans="2:20" ht="25.5" customHeight="1">
      <c r="B27" s="453" t="s">
        <v>36</v>
      </c>
      <c r="C27" s="230" t="s">
        <v>139</v>
      </c>
      <c r="D27" s="307"/>
      <c r="E27" s="307"/>
      <c r="F27" s="185"/>
      <c r="G27" s="185"/>
      <c r="H27" s="186"/>
      <c r="I27" s="945" t="s">
        <v>41</v>
      </c>
      <c r="J27" s="808"/>
      <c r="K27" s="809">
        <f>P2+K23+K26</f>
        <v>872.45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0"/>
      <c r="L29" s="791"/>
      <c r="M29" s="791"/>
      <c r="N29" s="791"/>
      <c r="O29" s="939"/>
      <c r="R29" s="308"/>
    </row>
    <row r="30" spans="2:20" ht="18.75" customHeight="1">
      <c r="B30" s="814" t="s">
        <v>45</v>
      </c>
      <c r="C30" s="815"/>
      <c r="D30" s="946" t="s">
        <v>46</v>
      </c>
      <c r="E30" s="815"/>
      <c r="F30" s="946"/>
      <c r="G30" s="815"/>
      <c r="H30" s="947"/>
      <c r="I30" s="948"/>
      <c r="J30" s="949"/>
      <c r="K30" s="940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4" t="s">
        <v>48</v>
      </c>
      <c r="E31" s="822"/>
      <c r="F31" s="824" t="s">
        <v>49</v>
      </c>
      <c r="G31" s="822"/>
      <c r="H31" s="824" t="s">
        <v>50</v>
      </c>
      <c r="I31" s="823"/>
      <c r="J31" s="822"/>
      <c r="K31" s="950" t="s">
        <v>51</v>
      </c>
      <c r="L31" s="951"/>
      <c r="M31" s="951"/>
      <c r="N31" s="951"/>
      <c r="O31" s="952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C35" s="411"/>
      <c r="J35" s="122"/>
      <c r="R35" s="308"/>
    </row>
    <row r="36" spans="2:19" ht="18.75" customHeight="1">
      <c r="B36" s="412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 t="s">
        <v>107</v>
      </c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2">
    <mergeCell ref="K55:O55"/>
    <mergeCell ref="K56:O56"/>
    <mergeCell ref="K57:O57"/>
    <mergeCell ref="B62:C62"/>
    <mergeCell ref="D62:E62"/>
    <mergeCell ref="F62:G62"/>
    <mergeCell ref="H62:J62"/>
    <mergeCell ref="K62:O62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B30:C30"/>
    <mergeCell ref="D30:E30"/>
    <mergeCell ref="F30:G30"/>
    <mergeCell ref="H30:J30"/>
    <mergeCell ref="B31:C31"/>
    <mergeCell ref="D31:E31"/>
    <mergeCell ref="F31:G31"/>
    <mergeCell ref="H31:J31"/>
    <mergeCell ref="H29:J29"/>
    <mergeCell ref="K29:O30"/>
    <mergeCell ref="K18:O18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K17:O17"/>
    <mergeCell ref="B9:C9"/>
    <mergeCell ref="D9:H9"/>
    <mergeCell ref="I9:J9"/>
    <mergeCell ref="D10:H10"/>
    <mergeCell ref="I10:J10"/>
    <mergeCell ref="B13:G13"/>
    <mergeCell ref="K13:O13"/>
    <mergeCell ref="K14:O14"/>
    <mergeCell ref="F15:G15"/>
    <mergeCell ref="K15:O15"/>
    <mergeCell ref="K16:O16"/>
    <mergeCell ref="C8:H8"/>
    <mergeCell ref="I8:J8"/>
    <mergeCell ref="D2:J5"/>
    <mergeCell ref="K2:O2"/>
    <mergeCell ref="L3:O3"/>
    <mergeCell ref="L4:O4"/>
    <mergeCell ref="L5:O5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B4D6-5CBE-4867-B3B9-722EFE7130E7}">
  <sheetPr>
    <pageSetUpPr fitToPage="1"/>
  </sheetPr>
  <dimension ref="A1:T62"/>
  <sheetViews>
    <sheetView showGridLines="0" view="pageBreakPreview" topLeftCell="S1" zoomScale="70" zoomScaleNormal="100" zoomScaleSheetLayoutView="70" workbookViewId="0">
      <selection activeCell="R10" sqref="R10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94" t="s">
        <v>9</v>
      </c>
      <c r="C8" s="376" t="s">
        <v>144</v>
      </c>
      <c r="D8" s="195"/>
      <c r="E8" s="244"/>
      <c r="F8" s="15"/>
      <c r="G8" s="15"/>
      <c r="H8" s="16"/>
      <c r="I8" s="752" t="s">
        <v>11</v>
      </c>
      <c r="J8" s="752"/>
      <c r="K8" s="152" t="s">
        <v>145</v>
      </c>
      <c r="L8" s="127"/>
      <c r="M8" s="127"/>
      <c r="N8" s="127"/>
      <c r="O8" s="434"/>
      <c r="R8" s="74"/>
    </row>
    <row r="9" spans="1:19" ht="18.75" customHeight="1">
      <c r="B9" s="894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146</v>
      </c>
      <c r="L10" s="137"/>
      <c r="M10" s="138"/>
      <c r="N10" s="138"/>
      <c r="O10" s="437"/>
      <c r="Q10" s="74" t="s">
        <v>62</v>
      </c>
      <c r="R10" s="56" t="s">
        <v>147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11"/>
      <c r="C13" s="912"/>
      <c r="D13" s="912"/>
      <c r="E13" s="912"/>
      <c r="F13" s="912"/>
      <c r="G13" s="913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495"/>
      <c r="C14" s="323"/>
      <c r="D14" s="323"/>
      <c r="E14" s="306"/>
      <c r="F14" s="323"/>
      <c r="G14" s="380"/>
      <c r="H14" s="319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508"/>
      <c r="C15" s="270"/>
      <c r="D15" s="324"/>
      <c r="E15" s="298"/>
      <c r="F15" s="323"/>
      <c r="G15" s="323"/>
      <c r="H15" s="320"/>
      <c r="I15" s="718"/>
      <c r="J15" s="199"/>
      <c r="K15" s="904"/>
      <c r="L15" s="904"/>
      <c r="M15" s="904"/>
      <c r="N15" s="904"/>
      <c r="O15" s="905"/>
      <c r="R15" s="192"/>
      <c r="S15" s="311"/>
    </row>
    <row r="16" spans="1:19" s="197" customFormat="1" ht="18.75" customHeight="1">
      <c r="B16" s="655" t="s">
        <v>148</v>
      </c>
      <c r="C16" s="342"/>
      <c r="D16" s="342"/>
      <c r="E16" s="342"/>
      <c r="F16" s="342"/>
      <c r="G16" s="343"/>
      <c r="H16" s="320" t="s">
        <v>25</v>
      </c>
      <c r="I16" s="718" t="s">
        <v>26</v>
      </c>
      <c r="J16" s="199" t="s">
        <v>27</v>
      </c>
      <c r="K16" s="897">
        <v>4032</v>
      </c>
      <c r="L16" s="898"/>
      <c r="M16" s="898"/>
      <c r="N16" s="898"/>
      <c r="O16" s="899"/>
      <c r="R16" s="192"/>
    </row>
    <row r="17" spans="2:20" s="197" customFormat="1" ht="20.25" customHeight="1">
      <c r="B17" s="497"/>
      <c r="C17" s="304"/>
      <c r="D17" s="302"/>
      <c r="E17" s="302"/>
      <c r="F17" s="302"/>
      <c r="G17" s="302"/>
      <c r="H17" s="320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509"/>
      <c r="C18" s="305"/>
      <c r="D18" s="296"/>
      <c r="E18" s="377"/>
      <c r="F18" s="323"/>
      <c r="G18" s="323"/>
      <c r="H18" s="320"/>
      <c r="I18" s="718"/>
      <c r="J18" s="199"/>
      <c r="K18" s="909"/>
      <c r="L18" s="909"/>
      <c r="M18" s="909"/>
      <c r="N18" s="909"/>
      <c r="O18" s="910"/>
      <c r="R18" s="192"/>
      <c r="S18" s="311"/>
    </row>
    <row r="19" spans="2:20" s="197" customFormat="1" ht="18.75" customHeight="1">
      <c r="B19" s="510"/>
      <c r="C19" s="306"/>
      <c r="D19" s="296"/>
      <c r="E19" s="298"/>
      <c r="F19" s="323"/>
      <c r="G19" s="323"/>
      <c r="H19" s="320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500"/>
      <c r="C20" s="299"/>
      <c r="D20" s="296"/>
      <c r="E20" s="298"/>
      <c r="F20" s="323"/>
      <c r="G20" s="323"/>
      <c r="H20" s="320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77"/>
      <c r="C21" s="331"/>
      <c r="D21" s="332"/>
      <c r="E21" s="333"/>
      <c r="F21" s="334"/>
      <c r="G21" s="334"/>
      <c r="H21" s="321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511"/>
      <c r="C22" s="336"/>
      <c r="D22" s="337"/>
      <c r="E22" s="338"/>
      <c r="F22" s="339"/>
      <c r="G22" s="339"/>
      <c r="H22" s="322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46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4032</v>
      </c>
      <c r="L23" s="884"/>
      <c r="M23" s="884"/>
      <c r="N23" s="884"/>
      <c r="O23" s="892"/>
      <c r="P23" s="121">
        <f>SUM(K15:O22)</f>
        <v>4032</v>
      </c>
      <c r="R23" s="309" t="s">
        <v>97</v>
      </c>
    </row>
    <row r="24" spans="2:20" ht="18.75" customHeight="1">
      <c r="B24" s="507" t="s">
        <v>33</v>
      </c>
      <c r="C24" s="375" t="s">
        <v>149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  <c r="R26" s="308"/>
    </row>
    <row r="27" spans="2:20" ht="25.5" customHeight="1">
      <c r="B27" s="453" t="s">
        <v>36</v>
      </c>
      <c r="C27" s="230" t="s">
        <v>99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4032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308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7" t="s">
        <v>51</v>
      </c>
      <c r="L31" s="828"/>
      <c r="M31" s="828"/>
      <c r="N31" s="828"/>
      <c r="O31" s="829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369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0">
    <mergeCell ref="I8:J8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H29:J29"/>
    <mergeCell ref="K29:O30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B30:C30"/>
    <mergeCell ref="D30:E30"/>
    <mergeCell ref="F30:G30"/>
    <mergeCell ref="H30:J30"/>
    <mergeCell ref="B31:C31"/>
    <mergeCell ref="D31:E31"/>
    <mergeCell ref="F31:G31"/>
    <mergeCell ref="H31:J31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K55:O55"/>
    <mergeCell ref="K56:O56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59B6-5780-4EDB-9B69-953E2D5039ED}">
  <sheetPr>
    <pageSetUpPr fitToPage="1"/>
  </sheetPr>
  <dimension ref="A1:T62"/>
  <sheetViews>
    <sheetView showGridLines="0" view="pageBreakPreview" zoomScale="70" zoomScaleNormal="100" zoomScaleSheetLayoutView="70" workbookViewId="0">
      <selection activeCell="I10" sqref="I10:J10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70" t="s">
        <v>9</v>
      </c>
      <c r="C8" s="929" t="s">
        <v>150</v>
      </c>
      <c r="D8" s="930"/>
      <c r="E8" s="930"/>
      <c r="F8" s="930"/>
      <c r="G8" s="930"/>
      <c r="H8" s="931"/>
      <c r="I8" s="752" t="s">
        <v>133</v>
      </c>
      <c r="J8" s="752"/>
      <c r="K8" s="152" t="s">
        <v>141</v>
      </c>
      <c r="L8" s="127"/>
      <c r="M8" s="127"/>
      <c r="N8" s="127"/>
      <c r="O8" s="434"/>
      <c r="R8" s="74"/>
    </row>
    <row r="9" spans="1:19" ht="18.75" customHeight="1">
      <c r="B9" s="932"/>
      <c r="C9" s="776"/>
      <c r="D9" s="769"/>
      <c r="E9" s="769"/>
      <c r="F9" s="769"/>
      <c r="G9" s="769"/>
      <c r="H9" s="770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151</v>
      </c>
      <c r="L10" s="137"/>
      <c r="M10" s="138"/>
      <c r="N10" s="138"/>
      <c r="O10" s="437"/>
      <c r="Q10" s="74" t="s">
        <v>62</v>
      </c>
      <c r="R10" s="56" t="s">
        <v>103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33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503"/>
      <c r="C14" s="422"/>
      <c r="D14" s="422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504"/>
      <c r="C15" s="424"/>
      <c r="D15" s="424"/>
      <c r="E15" s="475"/>
      <c r="F15" s="934"/>
      <c r="G15" s="935"/>
      <c r="H15" s="356"/>
      <c r="I15" s="718"/>
      <c r="J15" s="199"/>
      <c r="K15" s="898"/>
      <c r="L15" s="898"/>
      <c r="M15" s="898"/>
      <c r="N15" s="898"/>
      <c r="O15" s="899"/>
      <c r="R15" s="192"/>
      <c r="S15" s="311"/>
    </row>
    <row r="16" spans="1:19" s="197" customFormat="1" ht="18.75" customHeight="1">
      <c r="B16" s="504" t="s">
        <v>152</v>
      </c>
      <c r="C16" s="424"/>
      <c r="D16" s="740"/>
      <c r="E16" s="740"/>
      <c r="F16" s="416"/>
      <c r="G16" s="417"/>
      <c r="H16" s="356" t="s">
        <v>25</v>
      </c>
      <c r="I16" s="718" t="s">
        <v>26</v>
      </c>
      <c r="J16" s="199" t="s">
        <v>27</v>
      </c>
      <c r="K16" s="936">
        <v>1799</v>
      </c>
      <c r="L16" s="937"/>
      <c r="M16" s="937"/>
      <c r="N16" s="937"/>
      <c r="O16" s="938"/>
      <c r="R16" s="192"/>
    </row>
    <row r="17" spans="2:20" s="197" customFormat="1" ht="20.25" customHeight="1">
      <c r="B17" s="504"/>
      <c r="C17" s="420"/>
      <c r="D17" s="420"/>
      <c r="E17" s="420"/>
      <c r="F17" s="415"/>
      <c r="G17" s="423"/>
      <c r="H17" s="356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502"/>
      <c r="C18" s="415"/>
      <c r="D18" s="415"/>
      <c r="E18" s="419"/>
      <c r="F18" s="740"/>
      <c r="G18" s="741"/>
      <c r="H18" s="356"/>
      <c r="I18" s="718"/>
      <c r="J18" s="199"/>
      <c r="K18" s="909"/>
      <c r="L18" s="909"/>
      <c r="M18" s="909"/>
      <c r="N18" s="909"/>
      <c r="O18" s="910"/>
      <c r="R18" s="192"/>
      <c r="S18" s="311"/>
    </row>
    <row r="19" spans="2:20" s="197" customFormat="1" ht="18.75" customHeight="1">
      <c r="B19" s="486"/>
      <c r="C19" s="415"/>
      <c r="D19" s="415"/>
      <c r="E19" s="419"/>
      <c r="F19" s="740"/>
      <c r="G19" s="741"/>
      <c r="H19" s="356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505" t="s">
        <v>137</v>
      </c>
      <c r="C20" s="421"/>
      <c r="D20" s="418"/>
      <c r="E20" s="419"/>
      <c r="F20" s="740"/>
      <c r="G20" s="741"/>
      <c r="H20" s="356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77"/>
      <c r="C21" s="331"/>
      <c r="D21" s="332"/>
      <c r="E21" s="333"/>
      <c r="F21" s="334"/>
      <c r="G21" s="353"/>
      <c r="H21" s="357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506"/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46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1799</v>
      </c>
      <c r="L23" s="884"/>
      <c r="M23" s="884"/>
      <c r="N23" s="884"/>
      <c r="O23" s="892"/>
      <c r="P23" s="121">
        <f>SUM(K15:O22)</f>
        <v>1799</v>
      </c>
      <c r="R23" s="309" t="s">
        <v>97</v>
      </c>
    </row>
    <row r="24" spans="2:20" ht="18.75" customHeight="1">
      <c r="B24" s="507" t="s">
        <v>33</v>
      </c>
      <c r="C24" s="461" t="s">
        <v>138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  <c r="R26" s="308"/>
    </row>
    <row r="27" spans="2:20" ht="25.5" customHeight="1">
      <c r="B27" s="453" t="s">
        <v>36</v>
      </c>
      <c r="C27" s="230" t="s">
        <v>139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1799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308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7" t="s">
        <v>51</v>
      </c>
      <c r="L31" s="828"/>
      <c r="M31" s="828"/>
      <c r="N31" s="828"/>
      <c r="O31" s="829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C35" s="411"/>
      <c r="J35" s="122"/>
      <c r="R35" s="308"/>
    </row>
    <row r="36" spans="2:19" ht="18.75" customHeight="1">
      <c r="B36" s="412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 t="s">
        <v>107</v>
      </c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2">
    <mergeCell ref="C8:H8"/>
    <mergeCell ref="I8:J8"/>
    <mergeCell ref="D2:J5"/>
    <mergeCell ref="K2:O2"/>
    <mergeCell ref="L3:O3"/>
    <mergeCell ref="L4:O4"/>
    <mergeCell ref="L5:O5"/>
    <mergeCell ref="K17:O17"/>
    <mergeCell ref="B9:C9"/>
    <mergeCell ref="D9:H9"/>
    <mergeCell ref="I9:J9"/>
    <mergeCell ref="D10:H10"/>
    <mergeCell ref="I10:J10"/>
    <mergeCell ref="B13:G13"/>
    <mergeCell ref="K13:O13"/>
    <mergeCell ref="K14:O14"/>
    <mergeCell ref="F15:G15"/>
    <mergeCell ref="K15:O15"/>
    <mergeCell ref="K16:O16"/>
    <mergeCell ref="H29:J29"/>
    <mergeCell ref="K29:O30"/>
    <mergeCell ref="K18:O18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B30:C30"/>
    <mergeCell ref="D30:E30"/>
    <mergeCell ref="F30:G30"/>
    <mergeCell ref="H30:J30"/>
    <mergeCell ref="B31:C31"/>
    <mergeCell ref="D31:E31"/>
    <mergeCell ref="F31:G31"/>
    <mergeCell ref="H31:J31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K55:O55"/>
    <mergeCell ref="K56:O56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3A01-4548-4B63-9C10-1CF44C56B6C3}">
  <sheetPr>
    <pageSetUpPr fitToPage="1"/>
  </sheetPr>
  <dimension ref="A1:T62"/>
  <sheetViews>
    <sheetView showGridLines="0" view="pageBreakPreview" zoomScale="70" zoomScaleNormal="100" zoomScaleSheetLayoutView="70" workbookViewId="0">
      <selection activeCell="C24" sqref="C24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70" t="s">
        <v>9</v>
      </c>
      <c r="C8" s="929" t="s">
        <v>153</v>
      </c>
      <c r="D8" s="930"/>
      <c r="E8" s="930"/>
      <c r="F8" s="930"/>
      <c r="G8" s="930"/>
      <c r="H8" s="931"/>
      <c r="I8" s="752" t="s">
        <v>133</v>
      </c>
      <c r="J8" s="752"/>
      <c r="K8" s="152" t="s">
        <v>154</v>
      </c>
      <c r="L8" s="127"/>
      <c r="M8" s="127"/>
      <c r="N8" s="127"/>
      <c r="O8" s="434"/>
      <c r="R8" s="74"/>
    </row>
    <row r="9" spans="1:19" ht="18.75" customHeight="1">
      <c r="B9" s="932"/>
      <c r="C9" s="776"/>
      <c r="D9" s="769"/>
      <c r="E9" s="769"/>
      <c r="F9" s="769"/>
      <c r="G9" s="769"/>
      <c r="H9" s="770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155</v>
      </c>
      <c r="L10" s="137"/>
      <c r="M10" s="138"/>
      <c r="N10" s="138"/>
      <c r="O10" s="437"/>
      <c r="Q10" s="74" t="s">
        <v>62</v>
      </c>
      <c r="R10" s="56" t="s">
        <v>103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33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479"/>
      <c r="C14" s="422"/>
      <c r="D14" s="422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476"/>
      <c r="C15" s="424"/>
      <c r="D15" s="482"/>
      <c r="E15" s="475"/>
      <c r="F15" s="934"/>
      <c r="G15" s="935"/>
      <c r="H15" s="356"/>
      <c r="I15" s="718"/>
      <c r="J15" s="199"/>
      <c r="K15" s="898"/>
      <c r="L15" s="898"/>
      <c r="M15" s="898"/>
      <c r="N15" s="898"/>
      <c r="O15" s="899"/>
      <c r="R15" s="192"/>
      <c r="S15" s="311"/>
    </row>
    <row r="16" spans="1:19" s="197" customFormat="1" ht="18.75" customHeight="1">
      <c r="B16" s="485" t="s">
        <v>156</v>
      </c>
      <c r="C16" s="424"/>
      <c r="D16" s="483"/>
      <c r="E16" s="740"/>
      <c r="F16" s="934"/>
      <c r="G16" s="935"/>
      <c r="H16" s="356" t="s">
        <v>25</v>
      </c>
      <c r="I16" s="718" t="s">
        <v>26</v>
      </c>
      <c r="J16" s="199" t="s">
        <v>27</v>
      </c>
      <c r="K16" s="936">
        <v>3760</v>
      </c>
      <c r="L16" s="937"/>
      <c r="M16" s="937"/>
      <c r="N16" s="937"/>
      <c r="O16" s="938"/>
      <c r="R16" s="192"/>
    </row>
    <row r="17" spans="2:20" s="197" customFormat="1" ht="20.25" customHeight="1">
      <c r="B17" s="486" t="s">
        <v>157</v>
      </c>
      <c r="C17" s="420"/>
      <c r="D17" s="748"/>
      <c r="E17" s="420"/>
      <c r="F17" s="934"/>
      <c r="G17" s="935"/>
      <c r="H17" s="356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486"/>
      <c r="C18" s="415"/>
      <c r="D18" s="484"/>
      <c r="E18" s="419"/>
      <c r="F18" s="934"/>
      <c r="G18" s="935"/>
      <c r="H18" s="356"/>
      <c r="I18" s="718"/>
      <c r="J18" s="199"/>
      <c r="K18" s="909"/>
      <c r="L18" s="909"/>
      <c r="M18" s="909"/>
      <c r="N18" s="909"/>
      <c r="O18" s="910"/>
      <c r="R18" s="192"/>
      <c r="S18" s="311"/>
    </row>
    <row r="19" spans="2:20" s="197" customFormat="1" ht="18.75" customHeight="1">
      <c r="B19" s="478"/>
      <c r="C19" s="415"/>
      <c r="D19" s="484"/>
      <c r="E19" s="419"/>
      <c r="F19" s="934"/>
      <c r="G19" s="935"/>
      <c r="H19" s="356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477"/>
      <c r="C20" s="421"/>
      <c r="D20" s="418"/>
      <c r="E20" s="419"/>
      <c r="F20" s="934"/>
      <c r="G20" s="935"/>
      <c r="H20" s="356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80"/>
      <c r="C21" s="331"/>
      <c r="D21" s="332"/>
      <c r="E21" s="333"/>
      <c r="F21" s="934"/>
      <c r="G21" s="935"/>
      <c r="H21" s="357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481" t="s">
        <v>137</v>
      </c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46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3760</v>
      </c>
      <c r="L23" s="884"/>
      <c r="M23" s="884"/>
      <c r="N23" s="884"/>
      <c r="O23" s="892"/>
      <c r="P23" s="121">
        <f>SUM(K15:O22)</f>
        <v>3760</v>
      </c>
      <c r="R23" s="309" t="s">
        <v>97</v>
      </c>
    </row>
    <row r="24" spans="2:20" ht="18.75" customHeight="1">
      <c r="B24" s="447" t="s">
        <v>33</v>
      </c>
      <c r="C24" s="461" t="s">
        <v>158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  <c r="R26" s="308"/>
    </row>
    <row r="27" spans="2:20" ht="25.5" customHeight="1">
      <c r="B27" s="453" t="s">
        <v>36</v>
      </c>
      <c r="C27" s="230" t="s">
        <v>139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3760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308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7" t="s">
        <v>51</v>
      </c>
      <c r="L31" s="828"/>
      <c r="M31" s="828"/>
      <c r="N31" s="828"/>
      <c r="O31" s="829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C35" s="411"/>
      <c r="J35" s="122"/>
      <c r="R35" s="308"/>
    </row>
    <row r="36" spans="2:19" ht="18.75" customHeight="1">
      <c r="B36" s="412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 t="s">
        <v>107</v>
      </c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8">
    <mergeCell ref="K55:O55"/>
    <mergeCell ref="K56:O56"/>
    <mergeCell ref="K57:O57"/>
    <mergeCell ref="B62:C62"/>
    <mergeCell ref="D62:E62"/>
    <mergeCell ref="F62:G62"/>
    <mergeCell ref="H62:J62"/>
    <mergeCell ref="K62:O62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B30:C30"/>
    <mergeCell ref="D30:E30"/>
    <mergeCell ref="F30:G30"/>
    <mergeCell ref="H30:J30"/>
    <mergeCell ref="B31:C31"/>
    <mergeCell ref="D31:E31"/>
    <mergeCell ref="F31:G31"/>
    <mergeCell ref="H31:J31"/>
    <mergeCell ref="H29:J29"/>
    <mergeCell ref="K29:O30"/>
    <mergeCell ref="F20:G20"/>
    <mergeCell ref="K20:O20"/>
    <mergeCell ref="F21:G21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F17:G17"/>
    <mergeCell ref="K17:O17"/>
    <mergeCell ref="F18:G18"/>
    <mergeCell ref="K18:O18"/>
    <mergeCell ref="F19:G19"/>
    <mergeCell ref="K19:O19"/>
    <mergeCell ref="K13:O13"/>
    <mergeCell ref="K14:O14"/>
    <mergeCell ref="F15:G15"/>
    <mergeCell ref="K15:O15"/>
    <mergeCell ref="F16:G16"/>
    <mergeCell ref="K16:O16"/>
    <mergeCell ref="B13:G13"/>
    <mergeCell ref="B9:C9"/>
    <mergeCell ref="D9:H9"/>
    <mergeCell ref="I9:J9"/>
    <mergeCell ref="D10:H10"/>
    <mergeCell ref="I10:J10"/>
    <mergeCell ref="C8:H8"/>
    <mergeCell ref="I8:J8"/>
    <mergeCell ref="D2:J5"/>
    <mergeCell ref="K2:O2"/>
    <mergeCell ref="L3:O3"/>
    <mergeCell ref="L4:O4"/>
    <mergeCell ref="L5:O5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050C-19B6-4D52-8571-0D28BDA55981}">
  <sheetPr>
    <pageSetUpPr fitToPage="1"/>
  </sheetPr>
  <dimension ref="A1:T62"/>
  <sheetViews>
    <sheetView showGridLines="0" view="pageBreakPreview" zoomScale="70" zoomScaleNormal="100" zoomScaleSheetLayoutView="70" workbookViewId="0">
      <selection activeCell="I27" sqref="I27:J27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70" t="s">
        <v>9</v>
      </c>
      <c r="C8" s="953" t="s">
        <v>159</v>
      </c>
      <c r="D8" s="954"/>
      <c r="E8" s="954"/>
      <c r="F8" s="954"/>
      <c r="G8" s="954"/>
      <c r="H8" s="954"/>
      <c r="I8" s="752" t="s">
        <v>133</v>
      </c>
      <c r="J8" s="752"/>
      <c r="K8" s="152" t="s">
        <v>160</v>
      </c>
      <c r="L8" s="127"/>
      <c r="M8" s="127"/>
      <c r="N8" s="127"/>
      <c r="O8" s="434"/>
      <c r="R8" s="74"/>
    </row>
    <row r="9" spans="1:19" ht="18.75" customHeight="1">
      <c r="B9" s="932"/>
      <c r="C9" s="776"/>
      <c r="D9" s="769"/>
      <c r="E9" s="769"/>
      <c r="F9" s="769"/>
      <c r="G9" s="769"/>
      <c r="H9" s="770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161</v>
      </c>
      <c r="L10" s="137"/>
      <c r="M10" s="138"/>
      <c r="N10" s="138"/>
      <c r="O10" s="437"/>
      <c r="Q10" s="74" t="s">
        <v>62</v>
      </c>
      <c r="R10" s="56" t="s">
        <v>103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33" t="s">
        <v>91</v>
      </c>
      <c r="C13" s="926"/>
      <c r="D13" s="926"/>
      <c r="E13" s="926"/>
      <c r="F13" s="926"/>
      <c r="G13" s="927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479"/>
      <c r="C14" s="422"/>
      <c r="D14" s="422"/>
      <c r="E14" s="348"/>
      <c r="F14" s="347"/>
      <c r="G14" s="349"/>
      <c r="H14" s="355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476" t="s">
        <v>162</v>
      </c>
      <c r="C15" s="424"/>
      <c r="D15" s="492"/>
      <c r="E15" s="475"/>
      <c r="F15" s="740"/>
      <c r="G15" s="741"/>
      <c r="H15" s="356"/>
      <c r="I15" s="718"/>
      <c r="J15" s="199"/>
      <c r="K15" s="898"/>
      <c r="L15" s="898"/>
      <c r="M15" s="898"/>
      <c r="N15" s="898"/>
      <c r="O15" s="899"/>
      <c r="R15" s="192"/>
      <c r="S15" s="311"/>
    </row>
    <row r="16" spans="1:19" s="197" customFormat="1" ht="18.75" customHeight="1">
      <c r="B16" s="493" t="s">
        <v>163</v>
      </c>
      <c r="C16" s="424">
        <v>200</v>
      </c>
      <c r="D16" s="424"/>
      <c r="E16" s="740"/>
      <c r="F16" s="740"/>
      <c r="G16" s="741"/>
      <c r="H16" s="356" t="s">
        <v>25</v>
      </c>
      <c r="I16" s="718" t="s">
        <v>118</v>
      </c>
      <c r="J16" s="199" t="s">
        <v>27</v>
      </c>
      <c r="K16" s="936">
        <v>5457</v>
      </c>
      <c r="L16" s="937"/>
      <c r="M16" s="937"/>
      <c r="N16" s="937"/>
      <c r="O16" s="938"/>
      <c r="R16" s="192"/>
    </row>
    <row r="17" spans="2:20" s="197" customFormat="1" ht="20.25" customHeight="1">
      <c r="B17" s="493" t="s">
        <v>164</v>
      </c>
      <c r="C17" s="420">
        <v>15</v>
      </c>
      <c r="D17" s="748"/>
      <c r="E17" s="748"/>
      <c r="F17" s="934"/>
      <c r="G17" s="935"/>
      <c r="H17" s="356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493" t="s">
        <v>165</v>
      </c>
      <c r="C18" s="415">
        <v>5</v>
      </c>
      <c r="D18" s="748"/>
      <c r="E18" s="419"/>
      <c r="F18" s="934"/>
      <c r="G18" s="935"/>
      <c r="H18" s="356"/>
      <c r="I18" s="718"/>
      <c r="J18" s="199"/>
      <c r="K18" s="909"/>
      <c r="L18" s="909"/>
      <c r="M18" s="909"/>
      <c r="N18" s="909"/>
      <c r="O18" s="910"/>
      <c r="R18" s="192"/>
      <c r="S18" s="311"/>
    </row>
    <row r="19" spans="2:20" s="197" customFormat="1" ht="18.75" customHeight="1">
      <c r="B19" s="487"/>
      <c r="C19" s="415" t="s">
        <v>35</v>
      </c>
      <c r="D19" s="748"/>
      <c r="E19" s="419"/>
      <c r="F19" s="934"/>
      <c r="G19" s="935"/>
      <c r="H19" s="356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477"/>
      <c r="C20" s="421"/>
      <c r="D20" s="418"/>
      <c r="E20" s="419"/>
      <c r="F20" s="934"/>
      <c r="G20" s="935"/>
      <c r="H20" s="356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80"/>
      <c r="C21" s="331"/>
      <c r="D21" s="332"/>
      <c r="E21" s="333"/>
      <c r="F21" s="934"/>
      <c r="G21" s="935"/>
      <c r="H21" s="357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481" t="s">
        <v>137</v>
      </c>
      <c r="C22" s="336"/>
      <c r="D22" s="337"/>
      <c r="E22" s="338"/>
      <c r="F22" s="339"/>
      <c r="G22" s="354"/>
      <c r="H22" s="358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46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5457</v>
      </c>
      <c r="L23" s="884"/>
      <c r="M23" s="884"/>
      <c r="N23" s="884"/>
      <c r="O23" s="892"/>
      <c r="P23" s="121">
        <f>SUM(K15:O22)</f>
        <v>5457</v>
      </c>
      <c r="R23" s="309" t="s">
        <v>97</v>
      </c>
    </row>
    <row r="24" spans="2:20" ht="18.75" customHeight="1">
      <c r="B24" s="447" t="s">
        <v>33</v>
      </c>
      <c r="C24" s="461" t="s">
        <v>158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  <c r="R26" s="308"/>
    </row>
    <row r="27" spans="2:20" ht="25.5" customHeight="1">
      <c r="B27" s="453" t="s">
        <v>36</v>
      </c>
      <c r="C27" s="230" t="s">
        <v>139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5457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308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7" t="s">
        <v>51</v>
      </c>
      <c r="L31" s="828"/>
      <c r="M31" s="828"/>
      <c r="N31" s="828"/>
      <c r="O31" s="829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C35" s="411"/>
      <c r="J35" s="122"/>
      <c r="R35" s="308"/>
    </row>
    <row r="36" spans="2:19" ht="18.75" customHeight="1">
      <c r="B36" s="412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 t="s">
        <v>107</v>
      </c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6">
    <mergeCell ref="C8:H8"/>
    <mergeCell ref="I8:J8"/>
    <mergeCell ref="D2:J5"/>
    <mergeCell ref="K2:O2"/>
    <mergeCell ref="L3:O3"/>
    <mergeCell ref="L4:O4"/>
    <mergeCell ref="L5:O5"/>
    <mergeCell ref="B9:C9"/>
    <mergeCell ref="D9:H9"/>
    <mergeCell ref="I9:J9"/>
    <mergeCell ref="D10:H10"/>
    <mergeCell ref="I10:J10"/>
    <mergeCell ref="K13:O13"/>
    <mergeCell ref="K14:O14"/>
    <mergeCell ref="K15:O15"/>
    <mergeCell ref="K16:O16"/>
    <mergeCell ref="F17:G17"/>
    <mergeCell ref="K17:O17"/>
    <mergeCell ref="B13:G13"/>
    <mergeCell ref="F18:G18"/>
    <mergeCell ref="K18:O18"/>
    <mergeCell ref="F19:G19"/>
    <mergeCell ref="K19:O19"/>
    <mergeCell ref="F20:G20"/>
    <mergeCell ref="K20:O20"/>
    <mergeCell ref="K21:O21"/>
    <mergeCell ref="K22:O22"/>
    <mergeCell ref="I23:J23"/>
    <mergeCell ref="K23:O23"/>
    <mergeCell ref="I26:J26"/>
    <mergeCell ref="K26:O26"/>
    <mergeCell ref="B30:C30"/>
    <mergeCell ref="D30:E30"/>
    <mergeCell ref="F30:G30"/>
    <mergeCell ref="H30:J30"/>
    <mergeCell ref="F21:G21"/>
    <mergeCell ref="E36:J39"/>
    <mergeCell ref="K36:O36"/>
    <mergeCell ref="I27:J27"/>
    <mergeCell ref="K27:O27"/>
    <mergeCell ref="H28:O28"/>
    <mergeCell ref="H29:J29"/>
    <mergeCell ref="K29:O30"/>
    <mergeCell ref="B31:C31"/>
    <mergeCell ref="D31:E31"/>
    <mergeCell ref="F31:G31"/>
    <mergeCell ref="H31:J31"/>
    <mergeCell ref="K31:O31"/>
    <mergeCell ref="K56:O56"/>
    <mergeCell ref="C42:G42"/>
    <mergeCell ref="H42:J42"/>
    <mergeCell ref="K42:O42"/>
    <mergeCell ref="H43:J43"/>
    <mergeCell ref="K43:O43"/>
    <mergeCell ref="C44:O44"/>
    <mergeCell ref="B47:G47"/>
    <mergeCell ref="K53:O53"/>
    <mergeCell ref="B54:G54"/>
    <mergeCell ref="K54:O54"/>
    <mergeCell ref="K55:O55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822C-8410-47F9-85BE-C64D28B6BEFD}">
  <sheetPr>
    <pageSetUpPr fitToPage="1"/>
  </sheetPr>
  <dimension ref="A1:T62"/>
  <sheetViews>
    <sheetView showGridLines="0" view="pageBreakPreview" zoomScale="70" zoomScaleNormal="100" zoomScaleSheetLayoutView="70" workbookViewId="0">
      <selection activeCell="D2" sqref="D2:J5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997"/>
      <c r="C2" s="998"/>
      <c r="D2" s="981" t="s">
        <v>0</v>
      </c>
      <c r="E2" s="982"/>
      <c r="F2" s="982"/>
      <c r="G2" s="982"/>
      <c r="H2" s="982"/>
      <c r="I2" s="982"/>
      <c r="J2" s="982"/>
      <c r="K2" s="985" t="s">
        <v>1</v>
      </c>
      <c r="L2" s="986"/>
      <c r="M2" s="986"/>
      <c r="N2" s="986"/>
      <c r="O2" s="987"/>
      <c r="R2" s="74"/>
    </row>
    <row r="3" spans="1:19" ht="18.75" customHeight="1">
      <c r="B3" s="999"/>
      <c r="C3" s="1000"/>
      <c r="D3" s="983"/>
      <c r="E3" s="984"/>
      <c r="F3" s="984"/>
      <c r="G3" s="984"/>
      <c r="H3" s="984"/>
      <c r="I3" s="984"/>
      <c r="J3" s="984"/>
      <c r="K3" s="512" t="s">
        <v>2</v>
      </c>
      <c r="L3" s="988" t="s">
        <v>3</v>
      </c>
      <c r="M3" s="988"/>
      <c r="N3" s="988"/>
      <c r="O3" s="989"/>
      <c r="R3" s="74"/>
    </row>
    <row r="4" spans="1:19" ht="18.75" customHeight="1">
      <c r="B4" s="999"/>
      <c r="C4" s="1000"/>
      <c r="D4" s="983"/>
      <c r="E4" s="984"/>
      <c r="F4" s="984"/>
      <c r="G4" s="984"/>
      <c r="H4" s="984"/>
      <c r="I4" s="984"/>
      <c r="J4" s="984"/>
      <c r="K4" s="513" t="s">
        <v>4</v>
      </c>
      <c r="L4" s="990" t="s">
        <v>5</v>
      </c>
      <c r="M4" s="990"/>
      <c r="N4" s="990"/>
      <c r="O4" s="991"/>
      <c r="R4" s="74"/>
    </row>
    <row r="5" spans="1:19" ht="18.75" customHeight="1">
      <c r="B5" s="1001"/>
      <c r="C5" s="1002"/>
      <c r="D5" s="983"/>
      <c r="E5" s="984"/>
      <c r="F5" s="984"/>
      <c r="G5" s="984"/>
      <c r="H5" s="984"/>
      <c r="I5" s="984"/>
      <c r="J5" s="984"/>
      <c r="K5" s="514" t="s">
        <v>6</v>
      </c>
      <c r="L5" s="992" t="s">
        <v>7</v>
      </c>
      <c r="M5" s="993"/>
      <c r="N5" s="993"/>
      <c r="O5" s="994"/>
      <c r="R5" s="74"/>
    </row>
    <row r="6" spans="1:19" ht="18.75" customHeight="1">
      <c r="B6" s="1003"/>
      <c r="C6" s="1004"/>
      <c r="D6" s="515"/>
      <c r="E6" s="516"/>
      <c r="F6" s="517"/>
      <c r="G6" s="518"/>
      <c r="H6" s="518"/>
      <c r="I6" s="518"/>
      <c r="J6" s="518"/>
      <c r="K6" s="1005"/>
      <c r="L6" s="1006"/>
      <c r="M6" s="1006"/>
      <c r="N6" s="1006"/>
      <c r="O6" s="1007"/>
      <c r="R6" s="74"/>
    </row>
    <row r="7" spans="1:19" ht="18.75" customHeight="1">
      <c r="B7" s="601" t="s">
        <v>8</v>
      </c>
      <c r="C7" s="602"/>
      <c r="D7" s="602"/>
      <c r="E7" s="603"/>
      <c r="F7" s="602"/>
      <c r="G7" s="604"/>
      <c r="H7" s="605"/>
      <c r="I7" s="605"/>
      <c r="J7" s="606"/>
      <c r="K7" s="606"/>
      <c r="L7" s="606"/>
      <c r="M7" s="606"/>
      <c r="N7" s="606"/>
      <c r="O7" s="607"/>
      <c r="R7" s="74"/>
    </row>
    <row r="8" spans="1:19" ht="18.75" customHeight="1">
      <c r="B8" s="519" t="s">
        <v>9</v>
      </c>
      <c r="C8" s="995" t="s">
        <v>159</v>
      </c>
      <c r="D8" s="995"/>
      <c r="E8" s="995"/>
      <c r="F8" s="995"/>
      <c r="G8" s="995"/>
      <c r="H8" s="996"/>
      <c r="I8" s="980" t="s">
        <v>133</v>
      </c>
      <c r="J8" s="980"/>
      <c r="K8" s="613" t="s">
        <v>166</v>
      </c>
      <c r="L8" s="520"/>
      <c r="M8" s="520"/>
      <c r="N8" s="520"/>
      <c r="O8" s="521"/>
      <c r="R8" s="74"/>
    </row>
    <row r="9" spans="1:19" ht="18.75" customHeight="1">
      <c r="B9" s="957"/>
      <c r="C9" s="958"/>
      <c r="D9" s="959"/>
      <c r="E9" s="959"/>
      <c r="F9" s="959"/>
      <c r="G9" s="959"/>
      <c r="H9" s="960"/>
      <c r="I9" s="961" t="s">
        <v>14</v>
      </c>
      <c r="J9" s="961"/>
      <c r="K9" s="522"/>
      <c r="L9" s="522"/>
      <c r="M9" s="522"/>
      <c r="N9" s="522"/>
      <c r="O9" s="523"/>
      <c r="R9" s="74"/>
    </row>
    <row r="10" spans="1:19" ht="18.75" customHeight="1">
      <c r="B10" s="524" t="s">
        <v>15</v>
      </c>
      <c r="C10" s="525"/>
      <c r="D10" s="962"/>
      <c r="E10" s="962"/>
      <c r="F10" s="962"/>
      <c r="G10" s="962"/>
      <c r="H10" s="963"/>
      <c r="I10" s="964" t="s">
        <v>16</v>
      </c>
      <c r="J10" s="964"/>
      <c r="K10" s="614" t="s">
        <v>167</v>
      </c>
      <c r="L10" s="526"/>
      <c r="M10" s="526"/>
      <c r="N10" s="526"/>
      <c r="O10" s="527"/>
      <c r="Q10" s="74" t="s">
        <v>62</v>
      </c>
      <c r="R10" s="56" t="s">
        <v>103</v>
      </c>
    </row>
    <row r="11" spans="1:19" ht="18.75" customHeight="1">
      <c r="B11" s="528"/>
      <c r="C11" s="745"/>
      <c r="D11" s="745"/>
      <c r="E11" s="529"/>
      <c r="F11" s="745"/>
      <c r="G11" s="530"/>
      <c r="H11" s="531"/>
      <c r="I11" s="531"/>
      <c r="J11" s="745"/>
      <c r="K11" s="745"/>
      <c r="L11" s="745"/>
      <c r="M11" s="745"/>
      <c r="N11" s="745"/>
      <c r="O11" s="532"/>
      <c r="Q11" s="74" t="s">
        <v>64</v>
      </c>
      <c r="R11" s="192"/>
    </row>
    <row r="12" spans="1:19" ht="18.75" customHeight="1">
      <c r="B12" s="977" t="s">
        <v>18</v>
      </c>
      <c r="C12" s="978"/>
      <c r="D12" s="978"/>
      <c r="E12" s="978"/>
      <c r="F12" s="978"/>
      <c r="G12" s="978"/>
      <c r="H12" s="978"/>
      <c r="I12" s="978"/>
      <c r="J12" s="978"/>
      <c r="K12" s="978"/>
      <c r="L12" s="978"/>
      <c r="M12" s="978"/>
      <c r="N12" s="978"/>
      <c r="O12" s="979"/>
      <c r="R12" s="192"/>
    </row>
    <row r="13" spans="1:19" ht="30.6" customHeight="1">
      <c r="B13" s="965" t="s">
        <v>91</v>
      </c>
      <c r="C13" s="966"/>
      <c r="D13" s="966"/>
      <c r="E13" s="966"/>
      <c r="F13" s="966"/>
      <c r="G13" s="966"/>
      <c r="H13" s="608" t="s">
        <v>20</v>
      </c>
      <c r="I13" s="609" t="s">
        <v>21</v>
      </c>
      <c r="J13" s="609" t="s">
        <v>22</v>
      </c>
      <c r="K13" s="967" t="s">
        <v>23</v>
      </c>
      <c r="L13" s="968"/>
      <c r="M13" s="968"/>
      <c r="N13" s="968"/>
      <c r="O13" s="969"/>
      <c r="R13" s="192"/>
    </row>
    <row r="14" spans="1:19" ht="18.75" customHeight="1">
      <c r="B14" s="533"/>
      <c r="C14" s="534"/>
      <c r="D14" s="534"/>
      <c r="E14" s="535"/>
      <c r="F14" s="536"/>
      <c r="G14" s="537"/>
      <c r="H14" s="538"/>
      <c r="I14" s="538"/>
      <c r="J14" s="539"/>
      <c r="K14" s="970"/>
      <c r="L14" s="970"/>
      <c r="M14" s="970"/>
      <c r="N14" s="970"/>
      <c r="O14" s="971"/>
      <c r="R14" s="192"/>
    </row>
    <row r="15" spans="1:19" s="197" customFormat="1" ht="18.75" customHeight="1">
      <c r="B15" s="540"/>
      <c r="C15" s="541"/>
      <c r="D15" s="542"/>
      <c r="E15" s="543"/>
      <c r="F15" s="743"/>
      <c r="G15" s="743"/>
      <c r="H15" s="744"/>
      <c r="I15" s="744"/>
      <c r="J15" s="544"/>
      <c r="K15" s="972"/>
      <c r="L15" s="972"/>
      <c r="M15" s="972"/>
      <c r="N15" s="972"/>
      <c r="O15" s="973"/>
      <c r="R15" s="192"/>
      <c r="S15" s="311"/>
    </row>
    <row r="16" spans="1:19" s="197" customFormat="1" ht="18.75" customHeight="1">
      <c r="B16" s="610" t="s">
        <v>168</v>
      </c>
      <c r="C16" s="611"/>
      <c r="D16" s="611"/>
      <c r="E16" s="612"/>
      <c r="F16" s="612"/>
      <c r="G16" s="612"/>
      <c r="H16" s="744" t="s">
        <v>25</v>
      </c>
      <c r="I16" s="744" t="s">
        <v>26</v>
      </c>
      <c r="J16" s="544" t="s">
        <v>27</v>
      </c>
      <c r="K16" s="974">
        <v>2800</v>
      </c>
      <c r="L16" s="974"/>
      <c r="M16" s="974"/>
      <c r="N16" s="974"/>
      <c r="O16" s="975"/>
      <c r="R16" s="192"/>
    </row>
    <row r="17" spans="2:20" s="197" customFormat="1" ht="20.25" customHeight="1">
      <c r="B17" s="545"/>
      <c r="C17" s="546"/>
      <c r="D17" s="547"/>
      <c r="E17" s="547"/>
      <c r="F17" s="976"/>
      <c r="G17" s="976"/>
      <c r="H17" s="744"/>
      <c r="I17" s="744"/>
      <c r="J17" s="544"/>
      <c r="K17" s="972"/>
      <c r="L17" s="972"/>
      <c r="M17" s="972"/>
      <c r="N17" s="972"/>
      <c r="O17" s="973"/>
      <c r="R17" s="192"/>
    </row>
    <row r="18" spans="2:20" s="197" customFormat="1" ht="22.5" customHeight="1">
      <c r="B18" s="548"/>
      <c r="C18" s="549"/>
      <c r="D18" s="547"/>
      <c r="E18" s="550"/>
      <c r="F18" s="976"/>
      <c r="G18" s="976"/>
      <c r="H18" s="744"/>
      <c r="I18" s="744"/>
      <c r="J18" s="544"/>
      <c r="K18" s="955"/>
      <c r="L18" s="955"/>
      <c r="M18" s="955"/>
      <c r="N18" s="955"/>
      <c r="O18" s="956"/>
      <c r="R18" s="192"/>
      <c r="S18" s="311"/>
    </row>
    <row r="19" spans="2:20" s="197" customFormat="1" ht="18.75" customHeight="1">
      <c r="B19" s="551"/>
      <c r="C19" s="549" t="s">
        <v>35</v>
      </c>
      <c r="D19" s="547"/>
      <c r="E19" s="550"/>
      <c r="F19" s="976"/>
      <c r="G19" s="976"/>
      <c r="H19" s="744"/>
      <c r="I19" s="744"/>
      <c r="J19" s="544"/>
      <c r="K19" s="1014"/>
      <c r="L19" s="1014"/>
      <c r="M19" s="1014"/>
      <c r="N19" s="1014"/>
      <c r="O19" s="1015"/>
      <c r="R19" s="192"/>
    </row>
    <row r="20" spans="2:20" s="197" customFormat="1" ht="18.75" customHeight="1">
      <c r="B20" s="552"/>
      <c r="C20" s="549"/>
      <c r="D20" s="553"/>
      <c r="E20" s="550"/>
      <c r="F20" s="976"/>
      <c r="G20" s="976"/>
      <c r="H20" s="744"/>
      <c r="I20" s="744"/>
      <c r="J20" s="544"/>
      <c r="K20" s="1014"/>
      <c r="L20" s="1014"/>
      <c r="M20" s="1014"/>
      <c r="N20" s="1014"/>
      <c r="O20" s="1015"/>
      <c r="R20" s="192"/>
    </row>
    <row r="21" spans="2:20" s="269" customFormat="1" ht="18.75" customHeight="1">
      <c r="B21" s="554" t="s">
        <v>137</v>
      </c>
      <c r="C21" s="555"/>
      <c r="D21" s="556"/>
      <c r="E21" s="557"/>
      <c r="F21" s="976"/>
      <c r="G21" s="976"/>
      <c r="H21" s="558"/>
      <c r="I21" s="558"/>
      <c r="J21" s="559"/>
      <c r="K21" s="1016"/>
      <c r="L21" s="1017"/>
      <c r="M21" s="1017"/>
      <c r="N21" s="1017"/>
      <c r="O21" s="1018"/>
      <c r="R21" s="192"/>
    </row>
    <row r="22" spans="2:20" s="197" customFormat="1" ht="18.75" customHeight="1">
      <c r="B22" s="554"/>
      <c r="C22" s="560"/>
      <c r="D22" s="561"/>
      <c r="E22" s="562"/>
      <c r="F22" s="563"/>
      <c r="G22" s="563"/>
      <c r="H22" s="744"/>
      <c r="I22" s="744"/>
      <c r="J22" s="544"/>
      <c r="K22" s="1014"/>
      <c r="L22" s="1014"/>
      <c r="M22" s="1014"/>
      <c r="N22" s="1014"/>
      <c r="O22" s="1015"/>
      <c r="R22" s="192"/>
    </row>
    <row r="23" spans="2:20" ht="18.75" customHeight="1">
      <c r="B23" s="564" t="s">
        <v>31</v>
      </c>
      <c r="C23" s="565"/>
      <c r="D23" s="565"/>
      <c r="E23" s="566"/>
      <c r="F23" s="565"/>
      <c r="G23" s="567"/>
      <c r="H23" s="568"/>
      <c r="I23" s="1019" t="s">
        <v>32</v>
      </c>
      <c r="J23" s="1020"/>
      <c r="K23" s="1021">
        <f>SUM(K16:O22)</f>
        <v>2800</v>
      </c>
      <c r="L23" s="1021"/>
      <c r="M23" s="1021"/>
      <c r="N23" s="1021"/>
      <c r="O23" s="1022"/>
      <c r="P23" s="121">
        <f>SUM(K15:O22)</f>
        <v>2800</v>
      </c>
      <c r="R23" s="309" t="s">
        <v>97</v>
      </c>
    </row>
    <row r="24" spans="2:20" ht="18.75" customHeight="1">
      <c r="B24" s="569" t="s">
        <v>33</v>
      </c>
      <c r="C24" s="570" t="s">
        <v>37</v>
      </c>
      <c r="D24" s="571"/>
      <c r="E24" s="572"/>
      <c r="F24" s="573"/>
      <c r="G24" s="574"/>
      <c r="H24" s="575"/>
      <c r="I24" s="576"/>
      <c r="J24" s="577"/>
      <c r="K24" s="578"/>
      <c r="L24" s="578"/>
      <c r="M24" s="578"/>
      <c r="N24" s="578"/>
      <c r="O24" s="579"/>
      <c r="P24" s="121"/>
      <c r="R24" s="308"/>
      <c r="T24" s="74" t="s">
        <v>35</v>
      </c>
    </row>
    <row r="25" spans="2:20" ht="18.75" hidden="1" customHeight="1">
      <c r="B25" s="580" t="s">
        <v>36</v>
      </c>
      <c r="C25" s="581" t="s">
        <v>37</v>
      </c>
      <c r="D25" s="582"/>
      <c r="E25" s="583"/>
      <c r="F25" s="582"/>
      <c r="G25" s="584">
        <v>20000</v>
      </c>
      <c r="H25" s="585"/>
      <c r="I25" s="586"/>
      <c r="J25" s="587"/>
      <c r="K25" s="588"/>
      <c r="L25" s="588"/>
      <c r="M25" s="588"/>
      <c r="N25" s="588"/>
      <c r="O25" s="589"/>
      <c r="P25" s="121"/>
      <c r="R25" s="192"/>
    </row>
    <row r="26" spans="2:20" ht="18.75" hidden="1" customHeight="1">
      <c r="B26" s="590" t="s">
        <v>33</v>
      </c>
      <c r="C26" s="591" t="s">
        <v>38</v>
      </c>
      <c r="D26" s="592"/>
      <c r="E26" s="593"/>
      <c r="F26" s="594"/>
      <c r="G26" s="592"/>
      <c r="H26" s="595"/>
      <c r="I26" s="1023" t="s">
        <v>39</v>
      </c>
      <c r="J26" s="1024"/>
      <c r="K26" s="1025">
        <v>0</v>
      </c>
      <c r="L26" s="1025"/>
      <c r="M26" s="1025"/>
      <c r="N26" s="1025"/>
      <c r="O26" s="1026"/>
      <c r="R26" s="308"/>
    </row>
    <row r="27" spans="2:20" ht="25.5" customHeight="1">
      <c r="B27" s="596" t="s">
        <v>36</v>
      </c>
      <c r="C27" s="597" t="s">
        <v>169</v>
      </c>
      <c r="D27" s="598"/>
      <c r="E27" s="598"/>
      <c r="F27" s="599"/>
      <c r="G27" s="599"/>
      <c r="H27" s="591"/>
      <c r="I27" s="1027" t="s">
        <v>41</v>
      </c>
      <c r="J27" s="1028"/>
      <c r="K27" s="1029">
        <f>P2+K23+K26</f>
        <v>2800</v>
      </c>
      <c r="L27" s="1029"/>
      <c r="M27" s="1029"/>
      <c r="N27" s="1029"/>
      <c r="O27" s="1030"/>
      <c r="R27" s="308"/>
    </row>
    <row r="28" spans="2:20" ht="18.75" customHeight="1">
      <c r="B28" s="1040" t="s">
        <v>42</v>
      </c>
      <c r="C28" s="1041"/>
      <c r="D28" s="1031" t="s">
        <v>43</v>
      </c>
      <c r="E28" s="1032"/>
      <c r="F28" s="1032"/>
      <c r="G28" s="1041"/>
      <c r="H28" s="1031" t="s">
        <v>44</v>
      </c>
      <c r="I28" s="1032"/>
      <c r="J28" s="1032"/>
      <c r="K28" s="1032"/>
      <c r="L28" s="1032"/>
      <c r="M28" s="1032"/>
      <c r="N28" s="1032"/>
      <c r="O28" s="1033"/>
      <c r="R28" s="308"/>
    </row>
    <row r="29" spans="2:20" s="73" customFormat="1" ht="18.75" customHeight="1">
      <c r="B29" s="538"/>
      <c r="C29" s="531"/>
      <c r="D29" s="538"/>
      <c r="E29" s="600"/>
      <c r="F29" s="538"/>
      <c r="G29" s="531"/>
      <c r="H29" s="1008"/>
      <c r="I29" s="1009"/>
      <c r="J29" s="1009"/>
      <c r="K29" s="1008"/>
      <c r="L29" s="1009"/>
      <c r="M29" s="1009"/>
      <c r="N29" s="1009"/>
      <c r="O29" s="1010"/>
      <c r="R29" s="308"/>
    </row>
    <row r="30" spans="2:20" ht="18.75" customHeight="1">
      <c r="B30" s="1034" t="s">
        <v>45</v>
      </c>
      <c r="C30" s="1035"/>
      <c r="D30" s="1034" t="s">
        <v>46</v>
      </c>
      <c r="E30" s="1035"/>
      <c r="F30" s="1034"/>
      <c r="G30" s="1035"/>
      <c r="H30" s="1036"/>
      <c r="I30" s="1037"/>
      <c r="J30" s="1037"/>
      <c r="K30" s="1011"/>
      <c r="L30" s="1012"/>
      <c r="M30" s="1012"/>
      <c r="N30" s="1012"/>
      <c r="O30" s="1013"/>
      <c r="R30" s="308"/>
    </row>
    <row r="31" spans="2:20" ht="18.75" customHeight="1">
      <c r="B31" s="1038" t="s">
        <v>47</v>
      </c>
      <c r="C31" s="1038"/>
      <c r="D31" s="1038" t="s">
        <v>48</v>
      </c>
      <c r="E31" s="1038"/>
      <c r="F31" s="1038" t="s">
        <v>49</v>
      </c>
      <c r="G31" s="1038"/>
      <c r="H31" s="1038" t="s">
        <v>50</v>
      </c>
      <c r="I31" s="1038"/>
      <c r="J31" s="1039"/>
      <c r="K31" s="1038" t="s">
        <v>51</v>
      </c>
      <c r="L31" s="1038"/>
      <c r="M31" s="1038"/>
      <c r="N31" s="1038"/>
      <c r="O31" s="1038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C35" s="411"/>
      <c r="J35" s="122"/>
      <c r="R35" s="308"/>
    </row>
    <row r="36" spans="2:19" ht="18.75" customHeight="1">
      <c r="B36" s="412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 t="s">
        <v>107</v>
      </c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72">
    <mergeCell ref="B28:C28"/>
    <mergeCell ref="D28:G28"/>
    <mergeCell ref="F19:G19"/>
    <mergeCell ref="F20:G20"/>
    <mergeCell ref="F21:G21"/>
    <mergeCell ref="K55:O55"/>
    <mergeCell ref="K56:O56"/>
    <mergeCell ref="B54:G54"/>
    <mergeCell ref="K54:O54"/>
    <mergeCell ref="K31:O31"/>
    <mergeCell ref="E36:J39"/>
    <mergeCell ref="K36:O36"/>
    <mergeCell ref="C42:G42"/>
    <mergeCell ref="H42:J42"/>
    <mergeCell ref="K42:O42"/>
    <mergeCell ref="H43:J43"/>
    <mergeCell ref="K43:O43"/>
    <mergeCell ref="C44:O44"/>
    <mergeCell ref="B47:G47"/>
    <mergeCell ref="K53:O53"/>
    <mergeCell ref="K57:O57"/>
    <mergeCell ref="B62:C62"/>
    <mergeCell ref="D62:E62"/>
    <mergeCell ref="F62:G62"/>
    <mergeCell ref="H62:J62"/>
    <mergeCell ref="K62:O62"/>
    <mergeCell ref="B30:C30"/>
    <mergeCell ref="D30:E30"/>
    <mergeCell ref="F30:G30"/>
    <mergeCell ref="H30:J30"/>
    <mergeCell ref="B31:C31"/>
    <mergeCell ref="D31:E31"/>
    <mergeCell ref="F31:G31"/>
    <mergeCell ref="H31:J31"/>
    <mergeCell ref="H29:J29"/>
    <mergeCell ref="K29:O30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I8:J8"/>
    <mergeCell ref="D2:J5"/>
    <mergeCell ref="K2:O2"/>
    <mergeCell ref="L3:O3"/>
    <mergeCell ref="L4:O4"/>
    <mergeCell ref="L5:O5"/>
    <mergeCell ref="C8:H8"/>
    <mergeCell ref="B2:C5"/>
    <mergeCell ref="B6:C6"/>
    <mergeCell ref="K6:O6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F17:G17"/>
    <mergeCell ref="F18:G18"/>
    <mergeCell ref="B12:O1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8050-449F-493F-8191-02CBF36549A5}">
  <sheetPr>
    <pageSetUpPr fitToPage="1"/>
  </sheetPr>
  <dimension ref="A3:T74"/>
  <sheetViews>
    <sheetView showGridLines="0" view="pageBreakPreview" zoomScale="70" zoomScaleNormal="100" zoomScaleSheetLayoutView="70" workbookViewId="0">
      <selection activeCell="G28" sqref="G28"/>
    </sheetView>
  </sheetViews>
  <sheetFormatPr defaultColWidth="9.25" defaultRowHeight="12.75"/>
  <cols>
    <col min="1" max="1" width="2.375" style="74" customWidth="1"/>
    <col min="2" max="2" width="12.125" style="74" customWidth="1"/>
    <col min="3" max="3" width="15.875" style="74" customWidth="1"/>
    <col min="4" max="4" width="13.75" style="74" customWidth="1"/>
    <col min="5" max="5" width="13.75" style="121" customWidth="1"/>
    <col min="6" max="6" width="13.75" style="74" customWidth="1"/>
    <col min="7" max="7" width="16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75" style="74" customWidth="1"/>
    <col min="16" max="16" width="3.75" style="74" customWidth="1"/>
    <col min="17" max="17" width="15.5" style="74" bestFit="1" customWidth="1"/>
    <col min="18" max="18" width="14.25" style="384" customWidth="1"/>
    <col min="19" max="16384" width="9.25" style="74"/>
  </cols>
  <sheetData>
    <row r="3" spans="2:18" ht="18.75" customHeight="1">
      <c r="B3" s="426"/>
      <c r="C3" s="427"/>
      <c r="D3" s="753" t="s">
        <v>0</v>
      </c>
      <c r="E3" s="754"/>
      <c r="F3" s="754"/>
      <c r="G3" s="754"/>
      <c r="H3" s="754"/>
      <c r="I3" s="754"/>
      <c r="J3" s="754"/>
      <c r="K3" s="757" t="s">
        <v>1</v>
      </c>
      <c r="L3" s="758"/>
      <c r="M3" s="758"/>
      <c r="N3" s="758"/>
      <c r="O3" s="759"/>
      <c r="R3" s="74"/>
    </row>
    <row r="4" spans="2:18" ht="18.75" customHeight="1">
      <c r="B4" s="428"/>
      <c r="C4" s="126"/>
      <c r="D4" s="755"/>
      <c r="E4" s="756"/>
      <c r="F4" s="756"/>
      <c r="G4" s="756"/>
      <c r="H4" s="756"/>
      <c r="I4" s="756"/>
      <c r="J4" s="756"/>
      <c r="K4" s="49" t="s">
        <v>2</v>
      </c>
      <c r="L4" s="760" t="s">
        <v>3</v>
      </c>
      <c r="M4" s="760"/>
      <c r="N4" s="760"/>
      <c r="O4" s="761"/>
      <c r="R4" s="74"/>
    </row>
    <row r="5" spans="2:18" ht="18.75" customHeight="1">
      <c r="B5" s="428"/>
      <c r="C5" s="126"/>
      <c r="D5" s="755"/>
      <c r="E5" s="756"/>
      <c r="F5" s="756"/>
      <c r="G5" s="756"/>
      <c r="H5" s="756"/>
      <c r="I5" s="756"/>
      <c r="J5" s="756"/>
      <c r="K5" s="49" t="s">
        <v>4</v>
      </c>
      <c r="L5" s="760" t="s">
        <v>5</v>
      </c>
      <c r="M5" s="760"/>
      <c r="N5" s="760"/>
      <c r="O5" s="761"/>
      <c r="R5" s="74"/>
    </row>
    <row r="6" spans="2:18" ht="18.75" customHeight="1">
      <c r="B6" s="428"/>
      <c r="C6" s="126"/>
      <c r="D6" s="755"/>
      <c r="E6" s="756"/>
      <c r="F6" s="756"/>
      <c r="G6" s="756"/>
      <c r="H6" s="756"/>
      <c r="I6" s="756"/>
      <c r="J6" s="756"/>
      <c r="K6" s="50" t="s">
        <v>6</v>
      </c>
      <c r="L6" s="762" t="s">
        <v>7</v>
      </c>
      <c r="M6" s="763"/>
      <c r="N6" s="763"/>
      <c r="O6" s="764"/>
      <c r="R6" s="74"/>
    </row>
    <row r="7" spans="2:18" ht="18.75" customHeight="1">
      <c r="B7" s="429"/>
      <c r="C7" s="386"/>
      <c r="D7" s="386"/>
      <c r="E7" s="673"/>
      <c r="F7" s="386"/>
      <c r="G7" s="133"/>
      <c r="H7" s="133"/>
      <c r="I7" s="133"/>
      <c r="J7" s="133"/>
      <c r="K7" s="133"/>
      <c r="L7" s="133"/>
      <c r="M7" s="133"/>
      <c r="N7" s="133"/>
      <c r="O7" s="430"/>
      <c r="R7" s="74"/>
    </row>
    <row r="8" spans="2:18" ht="18.75" customHeight="1">
      <c r="B8" s="431" t="s">
        <v>8</v>
      </c>
      <c r="C8" s="148"/>
      <c r="D8" s="148"/>
      <c r="E8" s="243"/>
      <c r="F8" s="148"/>
      <c r="G8" s="149"/>
      <c r="H8" s="150"/>
      <c r="I8" s="151"/>
      <c r="J8" s="134"/>
      <c r="K8" s="134"/>
      <c r="L8" s="134"/>
      <c r="M8" s="134"/>
      <c r="N8" s="134"/>
      <c r="O8" s="432"/>
      <c r="R8" s="74"/>
    </row>
    <row r="9" spans="2:18" ht="18.75" customHeight="1">
      <c r="B9" s="470" t="s">
        <v>9</v>
      </c>
      <c r="C9" s="711" t="s">
        <v>170</v>
      </c>
      <c r="D9" s="488"/>
      <c r="E9" s="489"/>
      <c r="F9" s="363"/>
      <c r="G9" s="363"/>
      <c r="H9" s="490"/>
      <c r="I9" s="752" t="s">
        <v>11</v>
      </c>
      <c r="J9" s="752"/>
      <c r="K9" s="152" t="s">
        <v>171</v>
      </c>
      <c r="L9" s="127"/>
      <c r="M9" s="127"/>
      <c r="N9" s="127"/>
      <c r="O9" s="434"/>
      <c r="R9" s="74"/>
    </row>
    <row r="10" spans="2:18" ht="18.75" customHeight="1">
      <c r="B10" s="767" t="s">
        <v>13</v>
      </c>
      <c r="C10" s="776"/>
      <c r="D10" s="769"/>
      <c r="E10" s="769"/>
      <c r="F10" s="769"/>
      <c r="G10" s="769"/>
      <c r="H10" s="770"/>
      <c r="I10" s="771" t="s">
        <v>14</v>
      </c>
      <c r="J10" s="772"/>
      <c r="K10" s="54"/>
      <c r="L10" s="54"/>
      <c r="M10" s="136"/>
      <c r="N10" s="136"/>
      <c r="O10" s="435"/>
      <c r="R10" s="74"/>
    </row>
    <row r="11" spans="2:18" ht="18.75" customHeight="1">
      <c r="B11" s="436" t="s">
        <v>15</v>
      </c>
      <c r="C11" s="15"/>
      <c r="D11" s="773"/>
      <c r="E11" s="773"/>
      <c r="F11" s="773"/>
      <c r="G11" s="773"/>
      <c r="H11" s="774"/>
      <c r="I11" s="775" t="s">
        <v>16</v>
      </c>
      <c r="J11" s="776"/>
      <c r="K11" s="626" t="s">
        <v>172</v>
      </c>
      <c r="L11" s="137"/>
      <c r="M11" s="138"/>
      <c r="N11" s="138"/>
      <c r="O11" s="437"/>
      <c r="Q11" s="74" t="s">
        <v>62</v>
      </c>
      <c r="R11" s="56" t="s">
        <v>89</v>
      </c>
    </row>
    <row r="12" spans="2:18" ht="18.75" customHeight="1">
      <c r="B12" s="438"/>
      <c r="C12" s="189"/>
      <c r="D12" s="189"/>
      <c r="E12" s="709"/>
      <c r="F12" s="189"/>
      <c r="G12" s="129"/>
      <c r="H12" s="141"/>
      <c r="I12" s="141"/>
      <c r="J12" s="189"/>
      <c r="K12" s="189"/>
      <c r="L12" s="189"/>
      <c r="M12" s="189"/>
      <c r="N12" s="189"/>
      <c r="O12" s="439"/>
      <c r="Q12" s="74" t="s">
        <v>64</v>
      </c>
      <c r="R12" s="192" t="s">
        <v>173</v>
      </c>
    </row>
    <row r="13" spans="2:18" ht="18.75" customHeight="1">
      <c r="B13" s="440" t="s">
        <v>18</v>
      </c>
      <c r="C13" s="76"/>
      <c r="D13" s="76"/>
      <c r="E13" s="710"/>
      <c r="F13" s="76"/>
      <c r="G13" s="154"/>
      <c r="H13" s="12"/>
      <c r="I13" s="12"/>
      <c r="J13" s="52"/>
      <c r="K13" s="134"/>
      <c r="L13" s="134"/>
      <c r="M13" s="134"/>
      <c r="N13" s="134"/>
      <c r="O13" s="432"/>
      <c r="R13" s="74"/>
    </row>
    <row r="14" spans="2:18" ht="30.6" customHeight="1">
      <c r="B14" s="777"/>
      <c r="C14" s="778"/>
      <c r="D14" s="778"/>
      <c r="E14" s="778"/>
      <c r="F14" s="778"/>
      <c r="G14" s="778"/>
      <c r="H14" s="615" t="s">
        <v>20</v>
      </c>
      <c r="I14" s="625" t="s">
        <v>21</v>
      </c>
      <c r="J14" s="637" t="s">
        <v>22</v>
      </c>
      <c r="K14" s="779" t="s">
        <v>23</v>
      </c>
      <c r="L14" s="779"/>
      <c r="M14" s="779"/>
      <c r="N14" s="779"/>
      <c r="O14" s="780"/>
      <c r="R14" s="74"/>
    </row>
    <row r="15" spans="2:18" ht="18.75" customHeight="1">
      <c r="B15" s="700"/>
      <c r="C15" s="118"/>
      <c r="D15" s="118"/>
      <c r="E15" s="649"/>
      <c r="F15" s="24"/>
      <c r="G15" s="24"/>
      <c r="H15" s="702"/>
      <c r="I15" s="319"/>
      <c r="J15" s="705"/>
      <c r="K15" s="781"/>
      <c r="L15" s="781"/>
      <c r="M15" s="781"/>
      <c r="N15" s="781"/>
      <c r="O15" s="782"/>
      <c r="R15" s="74"/>
    </row>
    <row r="16" spans="2:18" s="197" customFormat="1" ht="18.75" customHeight="1">
      <c r="B16" s="696" t="s">
        <v>174</v>
      </c>
      <c r="C16" s="24"/>
      <c r="D16" s="24"/>
      <c r="E16" s="248"/>
      <c r="F16" s="24"/>
      <c r="G16" s="24"/>
      <c r="H16" s="617" t="s">
        <v>25</v>
      </c>
      <c r="I16" s="320" t="s">
        <v>26</v>
      </c>
      <c r="J16" s="706" t="s">
        <v>27</v>
      </c>
      <c r="K16" s="937">
        <v>6483.33</v>
      </c>
      <c r="L16" s="937"/>
      <c r="M16" s="937"/>
      <c r="N16" s="937"/>
      <c r="O16" s="938"/>
    </row>
    <row r="17" spans="1:20" s="197" customFormat="1" ht="18.75" customHeight="1">
      <c r="B17" s="696" t="s">
        <v>175</v>
      </c>
      <c r="C17" s="235"/>
      <c r="D17" s="236"/>
      <c r="E17" s="248"/>
      <c r="F17" s="24"/>
      <c r="G17" s="24"/>
      <c r="H17" s="617" t="s">
        <v>25</v>
      </c>
      <c r="I17" s="320" t="s">
        <v>26</v>
      </c>
      <c r="J17" s="706" t="s">
        <v>27</v>
      </c>
      <c r="K17" s="898">
        <v>592.5</v>
      </c>
      <c r="L17" s="898"/>
      <c r="M17" s="898"/>
      <c r="N17" s="898"/>
      <c r="O17" s="899"/>
    </row>
    <row r="18" spans="1:20" s="197" customFormat="1" ht="18.75" customHeight="1">
      <c r="A18" s="627"/>
      <c r="B18" s="677" t="s">
        <v>176</v>
      </c>
      <c r="C18" s="24"/>
      <c r="D18" s="200"/>
      <c r="E18" s="248"/>
      <c r="F18" s="24"/>
      <c r="G18" s="24"/>
      <c r="H18" s="617" t="s">
        <v>25</v>
      </c>
      <c r="I18" s="320" t="s">
        <v>26</v>
      </c>
      <c r="J18" s="706" t="s">
        <v>27</v>
      </c>
      <c r="K18" s="1044">
        <v>-326.04000000000002</v>
      </c>
      <c r="L18" s="1044"/>
      <c r="M18" s="1044"/>
      <c r="N18" s="1044"/>
      <c r="O18" s="1045"/>
    </row>
    <row r="19" spans="1:20" s="197" customFormat="1" ht="18.75" customHeight="1">
      <c r="B19" s="677" t="s">
        <v>177</v>
      </c>
      <c r="C19" s="697"/>
      <c r="D19" s="200"/>
      <c r="E19" s="248"/>
      <c r="F19" s="24"/>
      <c r="G19" s="24"/>
      <c r="H19" s="617" t="s">
        <v>25</v>
      </c>
      <c r="I19" s="320" t="s">
        <v>26</v>
      </c>
      <c r="J19" s="706" t="s">
        <v>27</v>
      </c>
      <c r="K19" s="1042">
        <v>-200</v>
      </c>
      <c r="L19" s="1042"/>
      <c r="M19" s="1042"/>
      <c r="N19" s="1042"/>
      <c r="O19" s="1043"/>
    </row>
    <row r="20" spans="1:20" s="197" customFormat="1" ht="18.75" customHeight="1">
      <c r="B20" s="680"/>
      <c r="C20" s="698"/>
      <c r="D20" s="200"/>
      <c r="E20" s="699"/>
      <c r="F20" s="699"/>
      <c r="G20" s="699"/>
      <c r="H20" s="703"/>
      <c r="I20" s="701"/>
      <c r="J20" s="704"/>
      <c r="K20" s="797"/>
      <c r="L20" s="797"/>
      <c r="M20" s="797"/>
      <c r="N20" s="797"/>
      <c r="O20" s="798"/>
    </row>
    <row r="21" spans="1:20" s="197" customFormat="1" ht="18.75" customHeight="1">
      <c r="B21" s="682" t="s">
        <v>178</v>
      </c>
      <c r="C21" s="699"/>
      <c r="D21" s="699"/>
      <c r="E21" s="248"/>
      <c r="F21" s="24"/>
      <c r="G21" s="24"/>
      <c r="H21" s="617"/>
      <c r="I21" s="320"/>
      <c r="J21" s="706"/>
      <c r="K21" s="797"/>
      <c r="L21" s="797"/>
      <c r="M21" s="797"/>
      <c r="N21" s="797"/>
      <c r="O21" s="798"/>
    </row>
    <row r="22" spans="1:20" s="269" customFormat="1" ht="18.75" customHeight="1">
      <c r="B22" s="683"/>
      <c r="C22" s="276"/>
      <c r="D22" s="265"/>
      <c r="E22" s="272"/>
      <c r="F22" s="226"/>
      <c r="G22" s="226"/>
      <c r="H22" s="618"/>
      <c r="I22" s="321"/>
      <c r="J22" s="707"/>
      <c r="K22" s="799"/>
      <c r="L22" s="799"/>
      <c r="M22" s="799"/>
      <c r="N22" s="799"/>
      <c r="O22" s="800"/>
    </row>
    <row r="23" spans="1:20" s="197" customFormat="1" ht="18.75" customHeight="1">
      <c r="B23" s="468"/>
      <c r="C23" s="275"/>
      <c r="D23" s="200"/>
      <c r="E23" s="273"/>
      <c r="F23" s="24"/>
      <c r="G23" s="24"/>
      <c r="H23" s="619"/>
      <c r="I23" s="322"/>
      <c r="J23" s="708"/>
      <c r="K23" s="797"/>
      <c r="L23" s="797"/>
      <c r="M23" s="797"/>
      <c r="N23" s="797"/>
      <c r="O23" s="798"/>
    </row>
    <row r="24" spans="1:20" ht="18.75" customHeight="1">
      <c r="B24" s="469" t="s">
        <v>31</v>
      </c>
      <c r="C24" s="205"/>
      <c r="D24" s="205"/>
      <c r="E24" s="258"/>
      <c r="F24" s="205"/>
      <c r="G24" s="206"/>
      <c r="H24" s="130"/>
      <c r="I24" s="801" t="s">
        <v>32</v>
      </c>
      <c r="J24" s="802"/>
      <c r="K24" s="803">
        <f>SUM(K16:O23)</f>
        <v>6549.79</v>
      </c>
      <c r="L24" s="803"/>
      <c r="M24" s="803"/>
      <c r="N24" s="803"/>
      <c r="O24" s="804"/>
      <c r="P24" s="121">
        <f>SUM(K16:O23)</f>
        <v>6549.79</v>
      </c>
      <c r="R24" s="392">
        <v>17892</v>
      </c>
    </row>
    <row r="25" spans="1:20" ht="18.75" customHeight="1">
      <c r="B25" s="651" t="s">
        <v>33</v>
      </c>
      <c r="C25" s="664" t="s">
        <v>179</v>
      </c>
      <c r="D25" s="687"/>
      <c r="E25" s="687"/>
      <c r="F25" s="687"/>
      <c r="G25" s="687"/>
      <c r="H25" s="688"/>
      <c r="I25" s="721"/>
      <c r="J25" s="393"/>
      <c r="K25" s="448"/>
      <c r="L25" s="448"/>
      <c r="M25" s="448"/>
      <c r="N25" s="448"/>
      <c r="O25" s="449"/>
      <c r="P25" s="121"/>
      <c r="R25" s="392"/>
      <c r="T25" s="74" t="s">
        <v>35</v>
      </c>
    </row>
    <row r="26" spans="1:20" ht="18.75" hidden="1" customHeight="1">
      <c r="B26" s="446" t="s">
        <v>36</v>
      </c>
      <c r="C26" s="94" t="s">
        <v>180</v>
      </c>
      <c r="D26" s="172"/>
      <c r="E26" s="250"/>
      <c r="F26" s="172"/>
      <c r="G26" s="173">
        <v>20000</v>
      </c>
      <c r="H26" s="174"/>
      <c r="I26" s="396"/>
      <c r="J26" s="397"/>
      <c r="K26" s="398"/>
      <c r="L26" s="398"/>
      <c r="M26" s="398"/>
      <c r="N26" s="398"/>
      <c r="O26" s="450"/>
      <c r="P26" s="121"/>
      <c r="R26" s="392"/>
    </row>
    <row r="27" spans="1:20" ht="18.75" hidden="1" customHeight="1">
      <c r="B27" s="451" t="s">
        <v>33</v>
      </c>
      <c r="C27" s="184" t="s">
        <v>38</v>
      </c>
      <c r="D27" s="181"/>
      <c r="E27" s="251"/>
      <c r="F27" s="452"/>
      <c r="G27" s="181"/>
      <c r="H27" s="182"/>
      <c r="I27" s="805" t="s">
        <v>39</v>
      </c>
      <c r="J27" s="805"/>
      <c r="K27" s="806">
        <v>0</v>
      </c>
      <c r="L27" s="806"/>
      <c r="M27" s="806"/>
      <c r="N27" s="806"/>
      <c r="O27" s="807"/>
    </row>
    <row r="28" spans="1:20" ht="18.75" customHeight="1">
      <c r="B28" s="453" t="s">
        <v>36</v>
      </c>
      <c r="C28" s="230" t="s">
        <v>169</v>
      </c>
      <c r="D28" s="184"/>
      <c r="E28" s="252"/>
      <c r="F28" s="185"/>
      <c r="G28" s="185"/>
      <c r="H28" s="186"/>
      <c r="I28" s="808" t="s">
        <v>41</v>
      </c>
      <c r="J28" s="808"/>
      <c r="K28" s="809">
        <f>P3+K24+K27</f>
        <v>6549.79</v>
      </c>
      <c r="L28" s="809"/>
      <c r="M28" s="809"/>
      <c r="N28" s="809"/>
      <c r="O28" s="810"/>
    </row>
    <row r="29" spans="1:20" ht="18.75" customHeight="1">
      <c r="B29" s="454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13"/>
    </row>
    <row r="30" spans="1:20" s="73" customFormat="1" ht="18.75" customHeight="1">
      <c r="B30" s="455"/>
      <c r="C30" s="47"/>
      <c r="D30" s="141"/>
      <c r="E30" s="254"/>
      <c r="F30" s="141"/>
      <c r="G30" s="47"/>
      <c r="H30" s="790"/>
      <c r="I30" s="791"/>
      <c r="J30" s="792"/>
      <c r="K30" s="793"/>
      <c r="L30" s="793"/>
      <c r="M30" s="793"/>
      <c r="N30" s="793"/>
      <c r="O30" s="794"/>
      <c r="R30" s="401"/>
    </row>
    <row r="31" spans="1:20" ht="18.75" customHeight="1">
      <c r="B31" s="814" t="s">
        <v>113</v>
      </c>
      <c r="C31" s="815"/>
      <c r="D31" s="816" t="s">
        <v>46</v>
      </c>
      <c r="E31" s="817"/>
      <c r="F31" s="816"/>
      <c r="G31" s="817"/>
      <c r="H31" s="818"/>
      <c r="I31" s="819"/>
      <c r="J31" s="820"/>
      <c r="K31" s="795"/>
      <c r="L31" s="795"/>
      <c r="M31" s="795"/>
      <c r="N31" s="795"/>
      <c r="O31" s="796"/>
    </row>
    <row r="32" spans="1:20" ht="18.75" customHeight="1">
      <c r="B32" s="821" t="s">
        <v>47</v>
      </c>
      <c r="C32" s="822"/>
      <c r="D32" s="823" t="s">
        <v>48</v>
      </c>
      <c r="E32" s="822"/>
      <c r="F32" s="823" t="s">
        <v>49</v>
      </c>
      <c r="G32" s="822"/>
      <c r="H32" s="824" t="s">
        <v>50</v>
      </c>
      <c r="I32" s="823"/>
      <c r="J32" s="822"/>
      <c r="K32" s="827" t="s">
        <v>51</v>
      </c>
      <c r="L32" s="828"/>
      <c r="M32" s="828"/>
      <c r="N32" s="828"/>
      <c r="O32" s="829"/>
      <c r="R32" s="74"/>
    </row>
    <row r="33" spans="2:19">
      <c r="B33" s="89"/>
      <c r="C33" s="89"/>
      <c r="D33" s="89"/>
      <c r="E33" s="255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256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6" spans="2:19" ht="14.25">
      <c r="J36" s="40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401"/>
      <c r="L38" s="401"/>
      <c r="M38" s="401"/>
      <c r="N38" s="401"/>
      <c r="O38" s="111"/>
      <c r="R38" s="74"/>
    </row>
    <row r="39" spans="2:19" ht="18.75" customHeight="1">
      <c r="B39" s="91"/>
      <c r="C39" s="91"/>
      <c r="D39" s="91"/>
      <c r="E39" s="830"/>
      <c r="F39" s="830"/>
      <c r="G39" s="830"/>
      <c r="H39" s="830"/>
      <c r="I39" s="830"/>
      <c r="J39" s="830"/>
      <c r="K39" s="401"/>
      <c r="L39" s="401"/>
      <c r="M39" s="401"/>
      <c r="N39" s="401"/>
      <c r="O39" s="111"/>
      <c r="R39" s="74"/>
    </row>
    <row r="40" spans="2:19" ht="18.75" customHeight="1">
      <c r="B40" s="91"/>
      <c r="C40" s="403"/>
      <c r="D40" s="91"/>
      <c r="E40" s="830"/>
      <c r="F40" s="830"/>
      <c r="G40" s="830"/>
      <c r="H40" s="830"/>
      <c r="I40" s="830"/>
      <c r="J40" s="830"/>
      <c r="K40" s="401"/>
      <c r="L40" s="401"/>
      <c r="M40" s="401"/>
      <c r="N40" s="401"/>
      <c r="O40" s="112"/>
      <c r="R40" s="74"/>
    </row>
    <row r="41" spans="2:19" ht="18.75" customHeight="1">
      <c r="B41" s="92"/>
      <c r="C41" s="92"/>
      <c r="D41" s="92"/>
      <c r="E41" s="257"/>
      <c r="F41" s="92"/>
      <c r="G41" s="93"/>
      <c r="H41" s="93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258"/>
      <c r="F42" s="94"/>
      <c r="G42" s="95"/>
      <c r="H42" s="96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33"/>
      <c r="I43" s="833"/>
      <c r="J43" s="833"/>
      <c r="K43" s="834"/>
      <c r="L43" s="834"/>
      <c r="M43" s="834"/>
      <c r="N43" s="834"/>
      <c r="O43" s="834"/>
      <c r="R43" s="74"/>
    </row>
    <row r="44" spans="2:19" ht="18.75" customHeight="1">
      <c r="B44" s="369"/>
      <c r="C44" s="369"/>
      <c r="D44" s="369"/>
      <c r="E44" s="672"/>
      <c r="F44" s="369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26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258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16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90"/>
      <c r="K50" s="190"/>
      <c r="L50" s="190"/>
      <c r="M50" s="190"/>
      <c r="N50" s="190"/>
      <c r="O50" s="7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404"/>
    </row>
    <row r="52" spans="2:18" ht="18.75" customHeight="1">
      <c r="B52" s="190"/>
      <c r="C52" s="190"/>
      <c r="D52" s="190"/>
      <c r="E52" s="260"/>
      <c r="F52" s="190"/>
      <c r="G52" s="96"/>
      <c r="H52" s="96"/>
      <c r="I52" s="96"/>
      <c r="J52" s="115"/>
      <c r="K52" s="115"/>
      <c r="L52" s="115"/>
      <c r="M52" s="115"/>
      <c r="N52" s="115"/>
      <c r="O52" s="716"/>
    </row>
    <row r="53" spans="2:18" ht="18.75" customHeight="1">
      <c r="B53" s="96"/>
      <c r="C53" s="96"/>
      <c r="D53" s="96"/>
      <c r="E53" s="261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258"/>
      <c r="F54" s="94"/>
      <c r="G54" s="95"/>
      <c r="H54" s="96"/>
      <c r="I54" s="96"/>
      <c r="J54" s="715"/>
      <c r="K54" s="836"/>
      <c r="L54" s="836"/>
      <c r="M54" s="836"/>
      <c r="N54" s="836"/>
      <c r="O54" s="836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16"/>
      <c r="K55" s="826"/>
      <c r="L55" s="826"/>
      <c r="M55" s="826"/>
      <c r="N55" s="826"/>
      <c r="O55" s="826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15"/>
      <c r="K56" s="836"/>
      <c r="L56" s="836"/>
      <c r="M56" s="836"/>
      <c r="N56" s="836"/>
      <c r="O56" s="836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16"/>
      <c r="K57" s="826"/>
      <c r="L57" s="826"/>
      <c r="M57" s="826"/>
      <c r="N57" s="826"/>
      <c r="O57" s="826"/>
    </row>
    <row r="58" spans="2:18" ht="18.75" customHeight="1">
      <c r="B58" s="190"/>
      <c r="C58" s="190"/>
      <c r="D58" s="190"/>
      <c r="E58" s="260"/>
      <c r="F58" s="190"/>
      <c r="G58" s="96"/>
      <c r="H58" s="96"/>
      <c r="I58" s="96"/>
      <c r="J58" s="715"/>
      <c r="K58" s="836"/>
      <c r="L58" s="836"/>
      <c r="M58" s="836"/>
      <c r="N58" s="836"/>
      <c r="O58" s="836"/>
    </row>
    <row r="59" spans="2:18" ht="18.75" customHeight="1">
      <c r="B59" s="99"/>
      <c r="C59" s="99"/>
      <c r="D59" s="99"/>
      <c r="E59" s="262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47"/>
      <c r="C60" s="747"/>
      <c r="D60" s="747"/>
      <c r="E60" s="747"/>
      <c r="F60" s="747"/>
      <c r="G60" s="747"/>
      <c r="H60" s="400"/>
      <c r="I60" s="400"/>
      <c r="J60" s="747"/>
      <c r="K60" s="747"/>
      <c r="L60" s="747"/>
      <c r="M60" s="747"/>
      <c r="N60" s="747"/>
      <c r="O60" s="113"/>
    </row>
    <row r="61" spans="2:18" s="73" customFormat="1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401"/>
    </row>
    <row r="62" spans="2:18" ht="18.75" customHeight="1">
      <c r="B62" s="96"/>
      <c r="C62" s="96"/>
      <c r="D62" s="96"/>
      <c r="E62" s="261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  <row r="64" spans="2:18" ht="12.75" customHeight="1"/>
    <row r="65" ht="12.75" customHeight="1"/>
    <row r="66" ht="12.75" customHeight="1"/>
    <row r="67" ht="12.7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2.75" customHeight="1"/>
  </sheetData>
  <mergeCells count="60">
    <mergeCell ref="I9:J9"/>
    <mergeCell ref="D3:J6"/>
    <mergeCell ref="K3:O3"/>
    <mergeCell ref="L4:O4"/>
    <mergeCell ref="L5:O5"/>
    <mergeCell ref="L6:O6"/>
    <mergeCell ref="K19:O19"/>
    <mergeCell ref="B10:C10"/>
    <mergeCell ref="D10:H10"/>
    <mergeCell ref="I10:J10"/>
    <mergeCell ref="D11:H11"/>
    <mergeCell ref="I11:J11"/>
    <mergeCell ref="B14:G14"/>
    <mergeCell ref="K14:O14"/>
    <mergeCell ref="K15:O15"/>
    <mergeCell ref="K16:O16"/>
    <mergeCell ref="K17:O17"/>
    <mergeCell ref="K18:O18"/>
    <mergeCell ref="H30:J30"/>
    <mergeCell ref="K30:O31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B31:C31"/>
    <mergeCell ref="D31:E31"/>
    <mergeCell ref="F31:G31"/>
    <mergeCell ref="H31:J31"/>
    <mergeCell ref="B32:C32"/>
    <mergeCell ref="D32:E32"/>
    <mergeCell ref="F32:G32"/>
    <mergeCell ref="H32:J32"/>
    <mergeCell ref="B55:G55"/>
    <mergeCell ref="K55:O55"/>
    <mergeCell ref="K32:O32"/>
    <mergeCell ref="E37:J40"/>
    <mergeCell ref="K37:O37"/>
    <mergeCell ref="C43:G43"/>
    <mergeCell ref="H43:J43"/>
    <mergeCell ref="K43:O43"/>
    <mergeCell ref="H44:J44"/>
    <mergeCell ref="K44:O44"/>
    <mergeCell ref="C45:O45"/>
    <mergeCell ref="B48:G48"/>
    <mergeCell ref="K54:O54"/>
    <mergeCell ref="K56:O56"/>
    <mergeCell ref="K57:O57"/>
    <mergeCell ref="K58:O58"/>
    <mergeCell ref="B63:C63"/>
    <mergeCell ref="D63:E63"/>
    <mergeCell ref="F63:G63"/>
    <mergeCell ref="H63:J63"/>
    <mergeCell ref="K63:O63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E29B-D01F-45B0-936E-BF6909E2F0C6}">
  <sheetPr>
    <pageSetUpPr fitToPage="1"/>
  </sheetPr>
  <dimension ref="A3:T74"/>
  <sheetViews>
    <sheetView showGridLines="0" tabSelected="1" view="pageBreakPreview" zoomScale="70" zoomScaleNormal="100" zoomScaleSheetLayoutView="70" workbookViewId="0">
      <selection activeCell="X13" sqref="X13"/>
    </sheetView>
  </sheetViews>
  <sheetFormatPr defaultColWidth="9.25" defaultRowHeight="12.75"/>
  <cols>
    <col min="1" max="1" width="2.375" style="74" customWidth="1"/>
    <col min="2" max="2" width="12.125" style="74" customWidth="1"/>
    <col min="3" max="3" width="15.875" style="74" customWidth="1"/>
    <col min="4" max="4" width="13.75" style="74" customWidth="1"/>
    <col min="5" max="5" width="13.75" style="121" customWidth="1"/>
    <col min="6" max="6" width="13.75" style="74" customWidth="1"/>
    <col min="7" max="7" width="16" style="74" customWidth="1"/>
    <col min="8" max="8" width="12.375" style="74" customWidth="1"/>
    <col min="9" max="9" width="10.625" style="74" customWidth="1"/>
    <col min="10" max="10" width="13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75" style="74" customWidth="1"/>
    <col min="16" max="16" width="3.75" style="74" customWidth="1"/>
    <col min="17" max="17" width="15.5" style="74" bestFit="1" customWidth="1"/>
    <col min="18" max="18" width="14.25" style="384" customWidth="1"/>
    <col min="19" max="16384" width="9.25" style="74"/>
  </cols>
  <sheetData>
    <row r="3" spans="2:18" ht="18.75" customHeight="1">
      <c r="B3" s="426"/>
      <c r="C3" s="427"/>
      <c r="D3" s="753" t="s">
        <v>0</v>
      </c>
      <c r="E3" s="754"/>
      <c r="F3" s="754"/>
      <c r="G3" s="754"/>
      <c r="H3" s="754"/>
      <c r="I3" s="754"/>
      <c r="J3" s="754"/>
      <c r="K3" s="757" t="s">
        <v>1</v>
      </c>
      <c r="L3" s="758"/>
      <c r="M3" s="758"/>
      <c r="N3" s="758"/>
      <c r="O3" s="759"/>
      <c r="R3" s="74"/>
    </row>
    <row r="4" spans="2:18" ht="18.75" customHeight="1">
      <c r="B4" s="428"/>
      <c r="C4" s="126"/>
      <c r="D4" s="755"/>
      <c r="E4" s="756"/>
      <c r="F4" s="756"/>
      <c r="G4" s="756"/>
      <c r="H4" s="756"/>
      <c r="I4" s="756"/>
      <c r="J4" s="756"/>
      <c r="K4" s="49" t="s">
        <v>2</v>
      </c>
      <c r="L4" s="760" t="s">
        <v>3</v>
      </c>
      <c r="M4" s="760"/>
      <c r="N4" s="760"/>
      <c r="O4" s="761"/>
      <c r="R4" s="74"/>
    </row>
    <row r="5" spans="2:18" ht="18.75" customHeight="1">
      <c r="B5" s="428"/>
      <c r="C5" s="126"/>
      <c r="D5" s="755"/>
      <c r="E5" s="756"/>
      <c r="F5" s="756"/>
      <c r="G5" s="756"/>
      <c r="H5" s="756"/>
      <c r="I5" s="756"/>
      <c r="J5" s="756"/>
      <c r="K5" s="49" t="s">
        <v>4</v>
      </c>
      <c r="L5" s="760" t="s">
        <v>5</v>
      </c>
      <c r="M5" s="760"/>
      <c r="N5" s="760"/>
      <c r="O5" s="761"/>
      <c r="R5" s="74"/>
    </row>
    <row r="6" spans="2:18" ht="18.75" customHeight="1">
      <c r="B6" s="428"/>
      <c r="C6" s="126"/>
      <c r="D6" s="755"/>
      <c r="E6" s="756"/>
      <c r="F6" s="756"/>
      <c r="G6" s="756"/>
      <c r="H6" s="756"/>
      <c r="I6" s="756"/>
      <c r="J6" s="756"/>
      <c r="K6" s="50" t="s">
        <v>6</v>
      </c>
      <c r="L6" s="762" t="s">
        <v>7</v>
      </c>
      <c r="M6" s="763"/>
      <c r="N6" s="763"/>
      <c r="O6" s="764"/>
      <c r="R6" s="74"/>
    </row>
    <row r="7" spans="2:18" ht="18.75" customHeight="1">
      <c r="B7" s="429"/>
      <c r="C7" s="386"/>
      <c r="D7" s="386"/>
      <c r="E7" s="673"/>
      <c r="F7" s="386"/>
      <c r="G7" s="133"/>
      <c r="H7" s="133"/>
      <c r="I7" s="133"/>
      <c r="J7" s="133"/>
      <c r="K7" s="133"/>
      <c r="L7" s="133"/>
      <c r="M7" s="133"/>
      <c r="N7" s="133"/>
      <c r="O7" s="430"/>
      <c r="R7" s="74"/>
    </row>
    <row r="8" spans="2:18" ht="18.75" customHeight="1">
      <c r="B8" s="431" t="s">
        <v>8</v>
      </c>
      <c r="C8" s="148"/>
      <c r="D8" s="148"/>
      <c r="E8" s="243"/>
      <c r="F8" s="148"/>
      <c r="G8" s="149"/>
      <c r="H8" s="150"/>
      <c r="I8" s="151"/>
      <c r="J8" s="134"/>
      <c r="K8" s="134"/>
      <c r="L8" s="134"/>
      <c r="M8" s="134"/>
      <c r="N8" s="134"/>
      <c r="O8" s="432"/>
      <c r="R8" s="74"/>
    </row>
    <row r="9" spans="2:18" ht="18.75" customHeight="1">
      <c r="B9" s="470" t="s">
        <v>9</v>
      </c>
      <c r="C9" s="694" t="s">
        <v>181</v>
      </c>
      <c r="D9" s="488"/>
      <c r="E9" s="489"/>
      <c r="F9" s="363"/>
      <c r="G9" s="363"/>
      <c r="H9" s="490"/>
      <c r="I9" s="752" t="s">
        <v>11</v>
      </c>
      <c r="J9" s="752"/>
      <c r="K9" s="152" t="s">
        <v>182</v>
      </c>
      <c r="L9" s="127"/>
      <c r="M9" s="127"/>
      <c r="N9" s="127"/>
      <c r="O9" s="434"/>
      <c r="R9" s="74"/>
    </row>
    <row r="10" spans="2:18" ht="18.75" customHeight="1">
      <c r="B10" s="767" t="s">
        <v>13</v>
      </c>
      <c r="C10" s="768"/>
      <c r="D10" s="769"/>
      <c r="E10" s="769"/>
      <c r="F10" s="769"/>
      <c r="G10" s="769"/>
      <c r="H10" s="770"/>
      <c r="I10" s="771" t="s">
        <v>14</v>
      </c>
      <c r="J10" s="772"/>
      <c r="K10" s="54"/>
      <c r="L10" s="54"/>
      <c r="M10" s="136"/>
      <c r="N10" s="136"/>
      <c r="O10" s="435"/>
      <c r="R10" s="74"/>
    </row>
    <row r="11" spans="2:18" ht="18.75" customHeight="1">
      <c r="B11" s="436" t="s">
        <v>15</v>
      </c>
      <c r="C11" s="15"/>
      <c r="D11" s="773"/>
      <c r="E11" s="773"/>
      <c r="F11" s="773"/>
      <c r="G11" s="773"/>
      <c r="H11" s="774"/>
      <c r="I11" s="775" t="s">
        <v>16</v>
      </c>
      <c r="J11" s="776"/>
      <c r="K11" s="626" t="s">
        <v>183</v>
      </c>
      <c r="L11" s="137"/>
      <c r="M11" s="138"/>
      <c r="N11" s="138"/>
      <c r="O11" s="437"/>
      <c r="Q11" s="74" t="s">
        <v>62</v>
      </c>
      <c r="R11" s="56" t="s">
        <v>89</v>
      </c>
    </row>
    <row r="12" spans="2:18" ht="18.75" customHeight="1">
      <c r="B12" s="438"/>
      <c r="C12" s="189"/>
      <c r="D12" s="189"/>
      <c r="E12" s="245"/>
      <c r="F12" s="189"/>
      <c r="G12" s="129"/>
      <c r="H12" s="141"/>
      <c r="I12" s="141"/>
      <c r="J12" s="189"/>
      <c r="K12" s="189"/>
      <c r="L12" s="189"/>
      <c r="M12" s="189"/>
      <c r="N12" s="189"/>
      <c r="O12" s="439"/>
      <c r="Q12" s="74" t="s">
        <v>64</v>
      </c>
      <c r="R12" s="192" t="s">
        <v>173</v>
      </c>
    </row>
    <row r="13" spans="2:18" ht="18.75" customHeight="1">
      <c r="B13" s="440" t="s">
        <v>18</v>
      </c>
      <c r="C13" s="76"/>
      <c r="D13" s="76"/>
      <c r="E13" s="246"/>
      <c r="F13" s="76"/>
      <c r="G13" s="154"/>
      <c r="H13" s="12"/>
      <c r="I13" s="12"/>
      <c r="J13" s="52"/>
      <c r="K13" s="134"/>
      <c r="L13" s="134"/>
      <c r="M13" s="134"/>
      <c r="N13" s="134"/>
      <c r="O13" s="432"/>
      <c r="R13" s="74"/>
    </row>
    <row r="14" spans="2:18" ht="30.6" customHeight="1">
      <c r="B14" s="777"/>
      <c r="C14" s="778"/>
      <c r="D14" s="778"/>
      <c r="E14" s="778"/>
      <c r="F14" s="778"/>
      <c r="G14" s="778"/>
      <c r="H14" s="615" t="s">
        <v>20</v>
      </c>
      <c r="I14" s="625" t="s">
        <v>21</v>
      </c>
      <c r="J14" s="637" t="s">
        <v>22</v>
      </c>
      <c r="K14" s="779" t="s">
        <v>23</v>
      </c>
      <c r="L14" s="779"/>
      <c r="M14" s="779"/>
      <c r="N14" s="779"/>
      <c r="O14" s="780"/>
      <c r="R14" s="74"/>
    </row>
    <row r="15" spans="2:18" ht="18.75" customHeight="1">
      <c r="B15" s="650"/>
      <c r="C15" s="118"/>
      <c r="D15" s="118"/>
      <c r="E15" s="649"/>
      <c r="F15" s="24"/>
      <c r="G15" s="24"/>
      <c r="H15" s="616"/>
      <c r="I15" s="616"/>
      <c r="J15" s="621"/>
      <c r="K15" s="781"/>
      <c r="L15" s="781"/>
      <c r="M15" s="781"/>
      <c r="N15" s="781"/>
      <c r="O15" s="782"/>
      <c r="R15" s="74"/>
    </row>
    <row r="16" spans="2:18" s="197" customFormat="1" ht="18.75" customHeight="1">
      <c r="B16" s="468"/>
      <c r="C16" s="24"/>
      <c r="D16" s="24"/>
      <c r="E16" s="248"/>
      <c r="F16" s="24"/>
      <c r="G16" s="24"/>
      <c r="H16" s="617"/>
      <c r="I16" s="617"/>
      <c r="J16" s="622"/>
      <c r="K16" s="783"/>
      <c r="L16" s="783"/>
      <c r="M16" s="783"/>
      <c r="N16" s="783"/>
      <c r="O16" s="784"/>
    </row>
    <row r="17" spans="1:20" s="197" customFormat="1" ht="18.75" customHeight="1">
      <c r="B17" s="751" t="s">
        <v>184</v>
      </c>
      <c r="C17" s="235"/>
      <c r="D17" s="236"/>
      <c r="E17" s="248"/>
      <c r="F17" s="24"/>
      <c r="G17" s="24"/>
      <c r="H17" s="617" t="s">
        <v>25</v>
      </c>
      <c r="I17" s="617" t="s">
        <v>26</v>
      </c>
      <c r="J17" s="622" t="s">
        <v>27</v>
      </c>
      <c r="K17" s="785">
        <v>11775.45</v>
      </c>
      <c r="L17" s="785"/>
      <c r="M17" s="785"/>
      <c r="N17" s="785"/>
      <c r="O17" s="786"/>
    </row>
    <row r="18" spans="1:20" s="197" customFormat="1" ht="18.75" customHeight="1">
      <c r="A18" s="627"/>
      <c r="B18" s="677"/>
      <c r="C18" s="24"/>
      <c r="D18" s="200"/>
      <c r="E18" s="248"/>
      <c r="F18" s="24"/>
      <c r="G18" s="24"/>
      <c r="H18" s="617"/>
      <c r="I18" s="617"/>
      <c r="J18" s="622"/>
      <c r="K18" s="787"/>
      <c r="L18" s="788"/>
      <c r="M18" s="788"/>
      <c r="N18" s="788"/>
      <c r="O18" s="789"/>
    </row>
    <row r="19" spans="1:20" s="197" customFormat="1" ht="18.75" customHeight="1">
      <c r="B19" s="677"/>
      <c r="C19" s="697"/>
      <c r="D19" s="200"/>
      <c r="E19" s="248"/>
      <c r="F19" s="24"/>
      <c r="G19" s="24"/>
      <c r="H19" s="617"/>
      <c r="I19" s="617"/>
      <c r="J19" s="622"/>
      <c r="K19" s="765"/>
      <c r="L19" s="765"/>
      <c r="M19" s="765"/>
      <c r="N19" s="765"/>
      <c r="O19" s="766"/>
    </row>
    <row r="20" spans="1:20" s="197" customFormat="1" ht="18.75" customHeight="1">
      <c r="B20" s="680"/>
      <c r="C20" s="698"/>
      <c r="D20" s="200"/>
      <c r="E20" s="699"/>
      <c r="F20" s="699"/>
      <c r="G20" s="681"/>
      <c r="H20" s="617"/>
      <c r="I20" s="617"/>
      <c r="J20" s="622"/>
      <c r="K20" s="797"/>
      <c r="L20" s="797"/>
      <c r="M20" s="797"/>
      <c r="N20" s="797"/>
      <c r="O20" s="798"/>
    </row>
    <row r="21" spans="1:20" s="197" customFormat="1" ht="18.75" customHeight="1">
      <c r="B21" s="682" t="s">
        <v>178</v>
      </c>
      <c r="C21" s="699"/>
      <c r="D21" s="699"/>
      <c r="E21" s="248"/>
      <c r="F21" s="24"/>
      <c r="G21" s="24"/>
      <c r="H21" s="617"/>
      <c r="I21" s="617"/>
      <c r="J21" s="622"/>
      <c r="K21" s="797"/>
      <c r="L21" s="797"/>
      <c r="M21" s="797"/>
      <c r="N21" s="797"/>
      <c r="O21" s="798"/>
    </row>
    <row r="22" spans="1:20" s="269" customFormat="1" ht="18.75" customHeight="1">
      <c r="B22" s="683"/>
      <c r="C22" s="276"/>
      <c r="D22" s="265"/>
      <c r="E22" s="272"/>
      <c r="F22" s="226"/>
      <c r="G22" s="226"/>
      <c r="H22" s="618"/>
      <c r="I22" s="618"/>
      <c r="J22" s="623"/>
      <c r="K22" s="799"/>
      <c r="L22" s="799"/>
      <c r="M22" s="799"/>
      <c r="N22" s="799"/>
      <c r="O22" s="800"/>
    </row>
    <row r="23" spans="1:20" s="197" customFormat="1" ht="18.75" customHeight="1">
      <c r="B23" s="468"/>
      <c r="C23" s="275"/>
      <c r="D23" s="200"/>
      <c r="E23" s="273"/>
      <c r="F23" s="24"/>
      <c r="G23" s="24"/>
      <c r="H23" s="619"/>
      <c r="I23" s="619"/>
      <c r="J23" s="624"/>
      <c r="K23" s="797"/>
      <c r="L23" s="797"/>
      <c r="M23" s="797"/>
      <c r="N23" s="797"/>
      <c r="O23" s="798"/>
    </row>
    <row r="24" spans="1:20" ht="18.75" customHeight="1">
      <c r="B24" s="469" t="s">
        <v>31</v>
      </c>
      <c r="C24" s="205"/>
      <c r="D24" s="205"/>
      <c r="E24" s="258"/>
      <c r="F24" s="205"/>
      <c r="G24" s="206"/>
      <c r="H24" s="130"/>
      <c r="I24" s="801" t="s">
        <v>32</v>
      </c>
      <c r="J24" s="802"/>
      <c r="K24" s="803">
        <f>SUM(K16:O23)</f>
        <v>11775.45</v>
      </c>
      <c r="L24" s="803"/>
      <c r="M24" s="803"/>
      <c r="N24" s="803"/>
      <c r="O24" s="804"/>
      <c r="P24" s="121">
        <f>SUM(K16:O23)</f>
        <v>11775.45</v>
      </c>
      <c r="R24" s="392">
        <v>17892</v>
      </c>
    </row>
    <row r="25" spans="1:20" ht="18.75" customHeight="1">
      <c r="B25" s="651" t="s">
        <v>33</v>
      </c>
      <c r="C25" s="664" t="s">
        <v>138</v>
      </c>
      <c r="D25" s="687"/>
      <c r="E25" s="687"/>
      <c r="F25" s="687"/>
      <c r="G25" s="687"/>
      <c r="H25" s="688"/>
      <c r="I25" s="721"/>
      <c r="J25" s="393"/>
      <c r="K25" s="448"/>
      <c r="L25" s="448"/>
      <c r="M25" s="448"/>
      <c r="N25" s="448"/>
      <c r="O25" s="449"/>
      <c r="P25" s="121"/>
      <c r="R25" s="392"/>
      <c r="T25" s="74" t="s">
        <v>35</v>
      </c>
    </row>
    <row r="26" spans="1:20" ht="18.75" hidden="1" customHeight="1">
      <c r="B26" s="446" t="s">
        <v>36</v>
      </c>
      <c r="C26" s="94" t="s">
        <v>180</v>
      </c>
      <c r="D26" s="172"/>
      <c r="E26" s="250"/>
      <c r="F26" s="172"/>
      <c r="G26" s="173">
        <v>20000</v>
      </c>
      <c r="H26" s="174"/>
      <c r="I26" s="396"/>
      <c r="J26" s="397"/>
      <c r="K26" s="398"/>
      <c r="L26" s="398"/>
      <c r="M26" s="398"/>
      <c r="N26" s="398"/>
      <c r="O26" s="450"/>
      <c r="P26" s="121"/>
      <c r="R26" s="392"/>
    </row>
    <row r="27" spans="1:20" ht="18.75" hidden="1" customHeight="1">
      <c r="B27" s="451" t="s">
        <v>33</v>
      </c>
      <c r="C27" s="184" t="s">
        <v>38</v>
      </c>
      <c r="D27" s="181"/>
      <c r="E27" s="251"/>
      <c r="F27" s="452"/>
      <c r="G27" s="181"/>
      <c r="H27" s="182"/>
      <c r="I27" s="805" t="s">
        <v>39</v>
      </c>
      <c r="J27" s="805"/>
      <c r="K27" s="806">
        <v>0</v>
      </c>
      <c r="L27" s="806"/>
      <c r="M27" s="806"/>
      <c r="N27" s="806"/>
      <c r="O27" s="807"/>
    </row>
    <row r="28" spans="1:20" ht="18.75" customHeight="1">
      <c r="B28" s="453" t="s">
        <v>36</v>
      </c>
      <c r="C28" s="692" t="s">
        <v>169</v>
      </c>
      <c r="D28" s="184"/>
      <c r="E28" s="252"/>
      <c r="F28" s="185"/>
      <c r="G28" s="185"/>
      <c r="H28" s="186"/>
      <c r="I28" s="808" t="s">
        <v>41</v>
      </c>
      <c r="J28" s="808"/>
      <c r="K28" s="809">
        <f>P3+K24+K27</f>
        <v>11775.45</v>
      </c>
      <c r="L28" s="809"/>
      <c r="M28" s="809"/>
      <c r="N28" s="809"/>
      <c r="O28" s="810"/>
    </row>
    <row r="29" spans="1:20" ht="18.75" customHeight="1">
      <c r="B29" s="454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13"/>
    </row>
    <row r="30" spans="1:20" s="73" customFormat="1" ht="18.75" customHeight="1">
      <c r="B30" s="455"/>
      <c r="C30" s="47"/>
      <c r="D30" s="141"/>
      <c r="E30" s="254"/>
      <c r="F30" s="141"/>
      <c r="G30" s="47"/>
      <c r="H30" s="790"/>
      <c r="I30" s="791"/>
      <c r="J30" s="792"/>
      <c r="K30" s="793"/>
      <c r="L30" s="793"/>
      <c r="M30" s="793"/>
      <c r="N30" s="793"/>
      <c r="O30" s="794"/>
      <c r="R30" s="401"/>
    </row>
    <row r="31" spans="1:20" ht="18.75" customHeight="1">
      <c r="B31" s="814" t="s">
        <v>113</v>
      </c>
      <c r="C31" s="815"/>
      <c r="D31" s="816" t="s">
        <v>46</v>
      </c>
      <c r="E31" s="817"/>
      <c r="F31" s="816"/>
      <c r="G31" s="817"/>
      <c r="H31" s="818"/>
      <c r="I31" s="819"/>
      <c r="J31" s="820"/>
      <c r="K31" s="795"/>
      <c r="L31" s="795"/>
      <c r="M31" s="795"/>
      <c r="N31" s="795"/>
      <c r="O31" s="796"/>
    </row>
    <row r="32" spans="1:20" ht="18.75" customHeight="1">
      <c r="B32" s="821" t="s">
        <v>47</v>
      </c>
      <c r="C32" s="822"/>
      <c r="D32" s="823" t="s">
        <v>48</v>
      </c>
      <c r="E32" s="822"/>
      <c r="F32" s="823" t="s">
        <v>49</v>
      </c>
      <c r="G32" s="822"/>
      <c r="H32" s="824" t="s">
        <v>50</v>
      </c>
      <c r="I32" s="823"/>
      <c r="J32" s="822"/>
      <c r="K32" s="827" t="s">
        <v>51</v>
      </c>
      <c r="L32" s="828"/>
      <c r="M32" s="828"/>
      <c r="N32" s="828"/>
      <c r="O32" s="829"/>
      <c r="R32" s="74"/>
    </row>
    <row r="33" spans="2:19">
      <c r="B33" s="89"/>
      <c r="C33" s="89"/>
      <c r="D33" s="89"/>
      <c r="E33" s="255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256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6" spans="2:19" ht="14.25">
      <c r="J36" s="40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401"/>
      <c r="L38" s="401"/>
      <c r="M38" s="401"/>
      <c r="N38" s="401"/>
      <c r="O38" s="111"/>
      <c r="R38" s="74"/>
    </row>
    <row r="39" spans="2:19" ht="18.75" customHeight="1">
      <c r="B39" s="91"/>
      <c r="C39" s="91"/>
      <c r="D39" s="91"/>
      <c r="E39" s="830"/>
      <c r="F39" s="830"/>
      <c r="G39" s="830"/>
      <c r="H39" s="830"/>
      <c r="I39" s="830"/>
      <c r="J39" s="830"/>
      <c r="K39" s="401"/>
      <c r="L39" s="401"/>
      <c r="M39" s="401"/>
      <c r="N39" s="401"/>
      <c r="O39" s="111"/>
      <c r="R39" s="74"/>
    </row>
    <row r="40" spans="2:19" ht="18.75" customHeight="1">
      <c r="B40" s="91"/>
      <c r="C40" s="403"/>
      <c r="D40" s="91"/>
      <c r="E40" s="830"/>
      <c r="F40" s="830"/>
      <c r="G40" s="830"/>
      <c r="H40" s="830"/>
      <c r="I40" s="830"/>
      <c r="J40" s="830"/>
      <c r="K40" s="401"/>
      <c r="L40" s="401"/>
      <c r="M40" s="401"/>
      <c r="N40" s="401"/>
      <c r="O40" s="112"/>
      <c r="R40" s="74"/>
    </row>
    <row r="41" spans="2:19" ht="18.75" customHeight="1">
      <c r="B41" s="92"/>
      <c r="C41" s="92"/>
      <c r="D41" s="92"/>
      <c r="E41" s="257"/>
      <c r="F41" s="92"/>
      <c r="G41" s="93"/>
      <c r="H41" s="93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258"/>
      <c r="F42" s="94"/>
      <c r="G42" s="95"/>
      <c r="H42" s="96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33"/>
      <c r="I43" s="833"/>
      <c r="J43" s="833"/>
      <c r="K43" s="834"/>
      <c r="L43" s="834"/>
      <c r="M43" s="834"/>
      <c r="N43" s="834"/>
      <c r="O43" s="834"/>
      <c r="R43" s="74"/>
    </row>
    <row r="44" spans="2:19" ht="18.75" customHeight="1">
      <c r="B44" s="369"/>
      <c r="C44" s="369"/>
      <c r="D44" s="369"/>
      <c r="E44" s="672"/>
      <c r="F44" s="369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26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258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16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90"/>
      <c r="K50" s="190"/>
      <c r="L50" s="190"/>
      <c r="M50" s="190"/>
      <c r="N50" s="190"/>
      <c r="O50" s="7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404"/>
    </row>
    <row r="52" spans="2:18" ht="18.75" customHeight="1">
      <c r="B52" s="190"/>
      <c r="C52" s="190"/>
      <c r="D52" s="190"/>
      <c r="E52" s="260"/>
      <c r="F52" s="190"/>
      <c r="G52" s="96"/>
      <c r="H52" s="96"/>
      <c r="I52" s="96"/>
      <c r="J52" s="115"/>
      <c r="K52" s="115"/>
      <c r="L52" s="115"/>
      <c r="M52" s="115"/>
      <c r="N52" s="115"/>
      <c r="O52" s="716"/>
    </row>
    <row r="53" spans="2:18" ht="18.75" customHeight="1">
      <c r="B53" s="96"/>
      <c r="C53" s="96"/>
      <c r="D53" s="96"/>
      <c r="E53" s="261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258"/>
      <c r="F54" s="94"/>
      <c r="G54" s="95"/>
      <c r="H54" s="96"/>
      <c r="I54" s="96"/>
      <c r="J54" s="715"/>
      <c r="K54" s="836"/>
      <c r="L54" s="836"/>
      <c r="M54" s="836"/>
      <c r="N54" s="836"/>
      <c r="O54" s="836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16"/>
      <c r="K55" s="826"/>
      <c r="L55" s="826"/>
      <c r="M55" s="826"/>
      <c r="N55" s="826"/>
      <c r="O55" s="826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15"/>
      <c r="K56" s="836"/>
      <c r="L56" s="836"/>
      <c r="M56" s="836"/>
      <c r="N56" s="836"/>
      <c r="O56" s="836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16"/>
      <c r="K57" s="826"/>
      <c r="L57" s="826"/>
      <c r="M57" s="826"/>
      <c r="N57" s="826"/>
      <c r="O57" s="826"/>
    </row>
    <row r="58" spans="2:18" ht="18.75" customHeight="1">
      <c r="B58" s="190"/>
      <c r="C58" s="190"/>
      <c r="D58" s="190"/>
      <c r="E58" s="260"/>
      <c r="F58" s="190"/>
      <c r="G58" s="96"/>
      <c r="H58" s="96"/>
      <c r="I58" s="96"/>
      <c r="J58" s="715"/>
      <c r="K58" s="836"/>
      <c r="L58" s="836"/>
      <c r="M58" s="836"/>
      <c r="N58" s="836"/>
      <c r="O58" s="836"/>
    </row>
    <row r="59" spans="2:18" ht="18.75" customHeight="1">
      <c r="B59" s="99"/>
      <c r="C59" s="99"/>
      <c r="D59" s="99"/>
      <c r="E59" s="262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47"/>
      <c r="C60" s="747"/>
      <c r="D60" s="747"/>
      <c r="E60" s="747"/>
      <c r="F60" s="747"/>
      <c r="G60" s="747"/>
      <c r="H60" s="400"/>
      <c r="I60" s="400"/>
      <c r="J60" s="747"/>
      <c r="K60" s="747"/>
      <c r="L60" s="747"/>
      <c r="M60" s="747"/>
      <c r="N60" s="747"/>
      <c r="O60" s="113"/>
    </row>
    <row r="61" spans="2:18" s="73" customFormat="1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401"/>
    </row>
    <row r="62" spans="2:18" ht="18.75" customHeight="1">
      <c r="B62" s="96"/>
      <c r="C62" s="96"/>
      <c r="D62" s="96"/>
      <c r="E62" s="261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  <row r="64" spans="2:18" ht="12.75" customHeight="1"/>
    <row r="65" ht="12.75" customHeight="1"/>
    <row r="66" ht="12.75" customHeight="1"/>
    <row r="67" ht="12.7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2.75" customHeight="1"/>
  </sheetData>
  <mergeCells count="60">
    <mergeCell ref="K56:O56"/>
    <mergeCell ref="K57:O57"/>
    <mergeCell ref="K58:O58"/>
    <mergeCell ref="B63:C63"/>
    <mergeCell ref="D63:E63"/>
    <mergeCell ref="F63:G63"/>
    <mergeCell ref="H63:J63"/>
    <mergeCell ref="K63:O63"/>
    <mergeCell ref="B55:G55"/>
    <mergeCell ref="K55:O55"/>
    <mergeCell ref="K32:O32"/>
    <mergeCell ref="E37:J40"/>
    <mergeCell ref="K37:O37"/>
    <mergeCell ref="C43:G43"/>
    <mergeCell ref="H43:J43"/>
    <mergeCell ref="K43:O43"/>
    <mergeCell ref="H44:J44"/>
    <mergeCell ref="K44:O44"/>
    <mergeCell ref="C45:O45"/>
    <mergeCell ref="B48:G48"/>
    <mergeCell ref="K54:O54"/>
    <mergeCell ref="B31:C31"/>
    <mergeCell ref="D31:E31"/>
    <mergeCell ref="F31:G31"/>
    <mergeCell ref="H31:J31"/>
    <mergeCell ref="B32:C32"/>
    <mergeCell ref="D32:E32"/>
    <mergeCell ref="F32:G32"/>
    <mergeCell ref="H32:J32"/>
    <mergeCell ref="H30:J30"/>
    <mergeCell ref="K30:O31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K19:O19"/>
    <mergeCell ref="B10:C10"/>
    <mergeCell ref="D10:H10"/>
    <mergeCell ref="I10:J10"/>
    <mergeCell ref="D11:H11"/>
    <mergeCell ref="I11:J11"/>
    <mergeCell ref="B14:G14"/>
    <mergeCell ref="K14:O14"/>
    <mergeCell ref="K15:O15"/>
    <mergeCell ref="K16:O16"/>
    <mergeCell ref="K17:O17"/>
    <mergeCell ref="K18:O18"/>
    <mergeCell ref="I9:J9"/>
    <mergeCell ref="D3:J6"/>
    <mergeCell ref="K3:O3"/>
    <mergeCell ref="L4:O4"/>
    <mergeCell ref="L5:O5"/>
    <mergeCell ref="L6:O6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038-8DA9-4CEA-859B-B393692A0D0F}">
  <sheetPr>
    <pageSetUpPr fitToPage="1"/>
  </sheetPr>
  <dimension ref="A3:T74"/>
  <sheetViews>
    <sheetView showGridLines="0" view="pageBreakPreview" zoomScale="70" zoomScaleNormal="100" zoomScaleSheetLayoutView="70" workbookViewId="0">
      <selection activeCell="B14" sqref="B14:G14"/>
    </sheetView>
  </sheetViews>
  <sheetFormatPr defaultColWidth="9.25" defaultRowHeight="12.75"/>
  <cols>
    <col min="1" max="1" width="2.375" style="74" customWidth="1"/>
    <col min="2" max="2" width="12.125" style="74" customWidth="1"/>
    <col min="3" max="3" width="15.875" style="74" customWidth="1"/>
    <col min="4" max="4" width="13.75" style="74" customWidth="1"/>
    <col min="5" max="5" width="13.75" style="121" customWidth="1"/>
    <col min="6" max="6" width="13.75" style="74" customWidth="1"/>
    <col min="7" max="7" width="16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75" style="74" customWidth="1"/>
    <col min="16" max="16" width="3.75" style="74" customWidth="1"/>
    <col min="17" max="17" width="15.5" style="74" bestFit="1" customWidth="1"/>
    <col min="18" max="18" width="14.25" style="384" customWidth="1"/>
    <col min="19" max="16384" width="9.25" style="74"/>
  </cols>
  <sheetData>
    <row r="3" spans="2:18" ht="18.75" customHeight="1">
      <c r="B3" s="426"/>
      <c r="C3" s="427"/>
      <c r="D3" s="753" t="s">
        <v>0</v>
      </c>
      <c r="E3" s="754"/>
      <c r="F3" s="754"/>
      <c r="G3" s="754"/>
      <c r="H3" s="754"/>
      <c r="I3" s="754"/>
      <c r="J3" s="754"/>
      <c r="K3" s="757" t="s">
        <v>1</v>
      </c>
      <c r="L3" s="758"/>
      <c r="M3" s="758"/>
      <c r="N3" s="758"/>
      <c r="O3" s="759"/>
      <c r="R3" s="74"/>
    </row>
    <row r="4" spans="2:18" ht="18.75" customHeight="1">
      <c r="B4" s="428"/>
      <c r="C4" s="4"/>
      <c r="D4" s="755"/>
      <c r="E4" s="1047"/>
      <c r="F4" s="1047"/>
      <c r="G4" s="1047"/>
      <c r="H4" s="1047"/>
      <c r="I4" s="1047"/>
      <c r="J4" s="1047"/>
      <c r="K4" s="49" t="s">
        <v>2</v>
      </c>
      <c r="L4" s="1048" t="s">
        <v>3</v>
      </c>
      <c r="M4" s="1048"/>
      <c r="N4" s="1048"/>
      <c r="O4" s="761"/>
      <c r="R4" s="74"/>
    </row>
    <row r="5" spans="2:18" ht="18.75" customHeight="1">
      <c r="B5" s="428"/>
      <c r="C5" s="4"/>
      <c r="D5" s="755"/>
      <c r="E5" s="1047"/>
      <c r="F5" s="1047"/>
      <c r="G5" s="1047"/>
      <c r="H5" s="1047"/>
      <c r="I5" s="1047"/>
      <c r="J5" s="1047"/>
      <c r="K5" s="49" t="s">
        <v>4</v>
      </c>
      <c r="L5" s="1048" t="s">
        <v>5</v>
      </c>
      <c r="M5" s="1048"/>
      <c r="N5" s="1048"/>
      <c r="O5" s="761"/>
      <c r="R5" s="74"/>
    </row>
    <row r="6" spans="2:18" ht="18.75" customHeight="1">
      <c r="B6" s="428"/>
      <c r="C6" s="4"/>
      <c r="D6" s="755"/>
      <c r="E6" s="1047"/>
      <c r="F6" s="1047"/>
      <c r="G6" s="1047"/>
      <c r="H6" s="1047"/>
      <c r="I6" s="1047"/>
      <c r="J6" s="1047"/>
      <c r="K6" s="50" t="s">
        <v>6</v>
      </c>
      <c r="L6" s="762" t="s">
        <v>7</v>
      </c>
      <c r="M6" s="763"/>
      <c r="N6" s="763"/>
      <c r="O6" s="764"/>
      <c r="R6" s="74"/>
    </row>
    <row r="7" spans="2:18" ht="18.75" customHeight="1">
      <c r="B7" s="429"/>
      <c r="C7" s="386"/>
      <c r="D7" s="386"/>
      <c r="E7" s="673"/>
      <c r="F7" s="386"/>
      <c r="G7" s="133"/>
      <c r="H7" s="133"/>
      <c r="I7" s="133"/>
      <c r="J7" s="133"/>
      <c r="K7" s="133"/>
      <c r="L7" s="133"/>
      <c r="M7" s="133"/>
      <c r="N7" s="133"/>
      <c r="O7" s="430"/>
      <c r="R7" s="74"/>
    </row>
    <row r="8" spans="2:18" ht="18.75" customHeight="1">
      <c r="B8" s="431" t="s">
        <v>8</v>
      </c>
      <c r="C8" s="148"/>
      <c r="D8" s="148"/>
      <c r="E8" s="243"/>
      <c r="F8" s="148"/>
      <c r="G8" s="387"/>
      <c r="H8" s="388"/>
      <c r="I8" s="151"/>
      <c r="J8" s="134"/>
      <c r="K8" s="134"/>
      <c r="L8" s="134"/>
      <c r="M8" s="134"/>
      <c r="N8" s="134"/>
      <c r="O8" s="432"/>
      <c r="R8" s="74"/>
    </row>
    <row r="9" spans="2:18" ht="18.75" customHeight="1">
      <c r="B9" s="470" t="s">
        <v>9</v>
      </c>
      <c r="C9" s="694" t="s">
        <v>185</v>
      </c>
      <c r="D9" s="488"/>
      <c r="E9" s="489"/>
      <c r="F9" s="363"/>
      <c r="G9" s="363"/>
      <c r="H9" s="490"/>
      <c r="I9" s="1046" t="s">
        <v>11</v>
      </c>
      <c r="J9" s="1046"/>
      <c r="K9" s="405" t="s">
        <v>186</v>
      </c>
      <c r="L9" s="389"/>
      <c r="M9" s="389"/>
      <c r="N9" s="389"/>
      <c r="O9" s="434"/>
      <c r="R9" s="74"/>
    </row>
    <row r="10" spans="2:18" ht="18.75" customHeight="1">
      <c r="B10" s="767" t="s">
        <v>13</v>
      </c>
      <c r="C10" s="768"/>
      <c r="D10" s="769"/>
      <c r="E10" s="769"/>
      <c r="F10" s="769"/>
      <c r="G10" s="769"/>
      <c r="H10" s="770"/>
      <c r="I10" s="771" t="s">
        <v>14</v>
      </c>
      <c r="J10" s="772"/>
      <c r="K10" s="54"/>
      <c r="L10" s="54"/>
      <c r="M10" s="136"/>
      <c r="N10" s="136"/>
      <c r="O10" s="435"/>
      <c r="R10" s="74"/>
    </row>
    <row r="11" spans="2:18" ht="18.75" customHeight="1">
      <c r="B11" s="436" t="s">
        <v>15</v>
      </c>
      <c r="C11" s="15"/>
      <c r="D11" s="773"/>
      <c r="E11" s="773"/>
      <c r="F11" s="773"/>
      <c r="G11" s="773"/>
      <c r="H11" s="774"/>
      <c r="I11" s="775" t="s">
        <v>16</v>
      </c>
      <c r="J11" s="776"/>
      <c r="K11" s="626" t="s">
        <v>187</v>
      </c>
      <c r="L11" s="137"/>
      <c r="M11" s="138"/>
      <c r="N11" s="138"/>
      <c r="O11" s="437"/>
      <c r="Q11" s="74" t="s">
        <v>62</v>
      </c>
      <c r="R11" s="56" t="s">
        <v>89</v>
      </c>
    </row>
    <row r="12" spans="2:18" ht="18.75" customHeight="1">
      <c r="B12" s="438"/>
      <c r="C12" s="17"/>
      <c r="D12" s="17"/>
      <c r="E12" s="674"/>
      <c r="F12" s="17"/>
      <c r="G12" s="18"/>
      <c r="H12" s="19"/>
      <c r="I12" s="19"/>
      <c r="J12" s="17"/>
      <c r="K12" s="17"/>
      <c r="L12" s="17"/>
      <c r="M12" s="17"/>
      <c r="N12" s="17"/>
      <c r="O12" s="439"/>
      <c r="Q12" s="74" t="s">
        <v>64</v>
      </c>
      <c r="R12" s="192" t="s">
        <v>173</v>
      </c>
    </row>
    <row r="13" spans="2:18" ht="18.75" customHeight="1">
      <c r="B13" s="440" t="s">
        <v>18</v>
      </c>
      <c r="C13" s="76"/>
      <c r="D13" s="76"/>
      <c r="E13" s="246"/>
      <c r="F13" s="76"/>
      <c r="G13" s="154"/>
      <c r="H13" s="12"/>
      <c r="I13" s="12"/>
      <c r="J13" s="52"/>
      <c r="K13" s="134"/>
      <c r="L13" s="134"/>
      <c r="M13" s="134"/>
      <c r="N13" s="134"/>
      <c r="O13" s="432"/>
      <c r="R13" s="74"/>
    </row>
    <row r="14" spans="2:18" ht="30.6" customHeight="1">
      <c r="B14" s="777"/>
      <c r="C14" s="778"/>
      <c r="D14" s="778"/>
      <c r="E14" s="778"/>
      <c r="F14" s="778"/>
      <c r="G14" s="778"/>
      <c r="H14" s="615" t="s">
        <v>20</v>
      </c>
      <c r="I14" s="625" t="s">
        <v>21</v>
      </c>
      <c r="J14" s="637" t="s">
        <v>22</v>
      </c>
      <c r="K14" s="1050" t="s">
        <v>23</v>
      </c>
      <c r="L14" s="1050"/>
      <c r="M14" s="1050"/>
      <c r="N14" s="1050"/>
      <c r="O14" s="780"/>
      <c r="R14" s="74"/>
    </row>
    <row r="15" spans="2:18" ht="18.75" customHeight="1">
      <c r="B15" s="650"/>
      <c r="E15" s="675"/>
      <c r="F15" s="25"/>
      <c r="G15" s="25"/>
      <c r="H15" s="616"/>
      <c r="I15" s="616"/>
      <c r="J15" s="621"/>
      <c r="K15" s="781"/>
      <c r="L15" s="781"/>
      <c r="M15" s="781"/>
      <c r="N15" s="781"/>
      <c r="O15" s="782"/>
      <c r="R15" s="74"/>
    </row>
    <row r="16" spans="2:18" s="197" customFormat="1" ht="18.75" customHeight="1">
      <c r="B16" s="468"/>
      <c r="C16" s="25"/>
      <c r="D16" s="25"/>
      <c r="E16" s="676"/>
      <c r="F16" s="25"/>
      <c r="G16" s="25"/>
      <c r="H16" s="617"/>
      <c r="I16" s="617"/>
      <c r="J16" s="622"/>
      <c r="K16" s="1051"/>
      <c r="L16" s="1051"/>
      <c r="M16" s="1051"/>
      <c r="N16" s="1051"/>
      <c r="O16" s="784"/>
    </row>
    <row r="17" spans="1:20" s="197" customFormat="1" ht="18.75" customHeight="1">
      <c r="B17" s="712" t="s">
        <v>188</v>
      </c>
      <c r="C17" s="671"/>
      <c r="D17" s="678"/>
      <c r="E17" s="676"/>
      <c r="F17" s="25"/>
      <c r="G17" s="25"/>
      <c r="H17" s="617" t="s">
        <v>25</v>
      </c>
      <c r="I17" s="617" t="s">
        <v>26</v>
      </c>
      <c r="J17" s="622" t="s">
        <v>27</v>
      </c>
      <c r="K17" s="1052">
        <v>1000</v>
      </c>
      <c r="L17" s="1052"/>
      <c r="M17" s="1052"/>
      <c r="N17" s="1052"/>
      <c r="O17" s="786"/>
    </row>
    <row r="18" spans="1:20" s="197" customFormat="1" ht="18.75" customHeight="1">
      <c r="A18" s="627"/>
      <c r="B18" s="677"/>
      <c r="C18" s="25"/>
      <c r="D18" s="679"/>
      <c r="E18" s="676"/>
      <c r="F18" s="25"/>
      <c r="G18" s="25"/>
      <c r="H18" s="617"/>
      <c r="I18" s="617"/>
      <c r="J18" s="622"/>
      <c r="K18" s="787"/>
      <c r="L18" s="1053"/>
      <c r="M18" s="1053"/>
      <c r="N18" s="1053"/>
      <c r="O18" s="789"/>
    </row>
    <row r="19" spans="1:20" s="197" customFormat="1" ht="18.75" customHeight="1">
      <c r="B19" s="677"/>
      <c r="C19" s="670"/>
      <c r="D19" s="679"/>
      <c r="E19" s="676"/>
      <c r="F19" s="25"/>
      <c r="G19" s="25"/>
      <c r="H19" s="617"/>
      <c r="I19" s="617"/>
      <c r="J19" s="622"/>
      <c r="K19" s="1049"/>
      <c r="L19" s="1049"/>
      <c r="M19" s="1049"/>
      <c r="N19" s="1049"/>
      <c r="O19" s="766"/>
    </row>
    <row r="20" spans="1:20" s="197" customFormat="1" ht="18.75" customHeight="1">
      <c r="B20" s="680"/>
      <c r="C20" s="669"/>
      <c r="D20" s="679"/>
      <c r="E20" s="668"/>
      <c r="F20" s="668"/>
      <c r="G20" s="681"/>
      <c r="H20" s="617"/>
      <c r="I20" s="617"/>
      <c r="J20" s="622"/>
      <c r="K20" s="1055"/>
      <c r="L20" s="1055"/>
      <c r="M20" s="1055"/>
      <c r="N20" s="1055"/>
      <c r="O20" s="798"/>
    </row>
    <row r="21" spans="1:20" s="197" customFormat="1" ht="18.75" customHeight="1">
      <c r="B21" s="682" t="s">
        <v>178</v>
      </c>
      <c r="C21" s="668"/>
      <c r="D21" s="668"/>
      <c r="E21" s="676"/>
      <c r="F21" s="25"/>
      <c r="G21" s="25"/>
      <c r="H21" s="617"/>
      <c r="I21" s="617"/>
      <c r="J21" s="622"/>
      <c r="K21" s="1055"/>
      <c r="L21" s="1055"/>
      <c r="M21" s="1055"/>
      <c r="N21" s="1055"/>
      <c r="O21" s="798"/>
    </row>
    <row r="22" spans="1:20" s="269" customFormat="1" ht="18.75" customHeight="1">
      <c r="B22" s="683"/>
      <c r="C22" s="667"/>
      <c r="D22" s="684"/>
      <c r="E22" s="685"/>
      <c r="F22" s="686"/>
      <c r="G22" s="686"/>
      <c r="H22" s="618"/>
      <c r="I22" s="618"/>
      <c r="J22" s="623"/>
      <c r="K22" s="1056"/>
      <c r="L22" s="1056"/>
      <c r="M22" s="1056"/>
      <c r="N22" s="1056"/>
      <c r="O22" s="800"/>
    </row>
    <row r="23" spans="1:20" s="197" customFormat="1" ht="18.75" customHeight="1">
      <c r="B23" s="468"/>
      <c r="C23" s="666"/>
      <c r="D23" s="679"/>
      <c r="E23" s="273"/>
      <c r="F23" s="25"/>
      <c r="G23" s="25"/>
      <c r="H23" s="619"/>
      <c r="I23" s="619"/>
      <c r="J23" s="624"/>
      <c r="K23" s="1055"/>
      <c r="L23" s="1055"/>
      <c r="M23" s="1055"/>
      <c r="N23" s="1055"/>
      <c r="O23" s="798"/>
    </row>
    <row r="24" spans="1:20" ht="18.75" customHeight="1">
      <c r="B24" s="469" t="s">
        <v>31</v>
      </c>
      <c r="C24" s="665"/>
      <c r="D24" s="665"/>
      <c r="E24" s="258"/>
      <c r="F24" s="665"/>
      <c r="G24" s="206"/>
      <c r="H24" s="96"/>
      <c r="I24" s="801" t="s">
        <v>32</v>
      </c>
      <c r="J24" s="802"/>
      <c r="K24" s="803">
        <f>SUM(K16:O23)</f>
        <v>1000</v>
      </c>
      <c r="L24" s="803"/>
      <c r="M24" s="803"/>
      <c r="N24" s="803"/>
      <c r="O24" s="804"/>
      <c r="P24" s="121">
        <f>SUM(K16:O23)</f>
        <v>1000</v>
      </c>
      <c r="R24" s="392">
        <v>17892</v>
      </c>
    </row>
    <row r="25" spans="1:20" ht="18.75" customHeight="1">
      <c r="B25" s="651" t="s">
        <v>33</v>
      </c>
      <c r="C25" s="664" t="s">
        <v>189</v>
      </c>
      <c r="D25" s="687"/>
      <c r="E25" s="687"/>
      <c r="F25" s="687"/>
      <c r="G25" s="687"/>
      <c r="H25" s="688"/>
      <c r="I25" s="747"/>
      <c r="J25" s="393"/>
      <c r="K25" s="394"/>
      <c r="L25" s="394"/>
      <c r="M25" s="394"/>
      <c r="N25" s="394"/>
      <c r="O25" s="449"/>
      <c r="P25" s="121"/>
      <c r="R25" s="392"/>
      <c r="T25" s="74" t="s">
        <v>35</v>
      </c>
    </row>
    <row r="26" spans="1:20" ht="18.75" hidden="1" customHeight="1">
      <c r="B26" s="446" t="s">
        <v>36</v>
      </c>
      <c r="C26" s="94" t="s">
        <v>180</v>
      </c>
      <c r="D26" s="172"/>
      <c r="E26" s="250"/>
      <c r="F26" s="172"/>
      <c r="G26" s="173">
        <v>20000</v>
      </c>
      <c r="H26" s="174"/>
      <c r="I26" s="396"/>
      <c r="J26" s="397"/>
      <c r="K26" s="398"/>
      <c r="L26" s="398"/>
      <c r="M26" s="398"/>
      <c r="N26" s="398"/>
      <c r="O26" s="450"/>
      <c r="P26" s="121"/>
      <c r="R26" s="392"/>
    </row>
    <row r="27" spans="1:20" ht="18.75" hidden="1" customHeight="1">
      <c r="B27" s="451" t="s">
        <v>33</v>
      </c>
      <c r="C27" s="184" t="s">
        <v>38</v>
      </c>
      <c r="D27" s="181"/>
      <c r="E27" s="251"/>
      <c r="F27" s="400"/>
      <c r="G27" s="181"/>
      <c r="H27" s="182"/>
      <c r="I27" s="1057" t="s">
        <v>39</v>
      </c>
      <c r="J27" s="1057"/>
      <c r="K27" s="1058">
        <v>0</v>
      </c>
      <c r="L27" s="1058"/>
      <c r="M27" s="1058"/>
      <c r="N27" s="1058"/>
      <c r="O27" s="807"/>
    </row>
    <row r="28" spans="1:20" ht="18.75" customHeight="1">
      <c r="B28" s="453" t="s">
        <v>36</v>
      </c>
      <c r="C28" s="230" t="s">
        <v>169</v>
      </c>
      <c r="D28" s="184"/>
      <c r="E28" s="252"/>
      <c r="F28" s="185"/>
      <c r="G28" s="185"/>
      <c r="H28" s="186"/>
      <c r="I28" s="808" t="s">
        <v>41</v>
      </c>
      <c r="J28" s="808"/>
      <c r="K28" s="809">
        <f>P3+K24+K27</f>
        <v>1000</v>
      </c>
      <c r="L28" s="809"/>
      <c r="M28" s="809"/>
      <c r="N28" s="809"/>
      <c r="O28" s="810"/>
    </row>
    <row r="29" spans="1:20" ht="18.75" customHeight="1">
      <c r="B29" s="454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13"/>
    </row>
    <row r="30" spans="1:20" s="73" customFormat="1" ht="18.75" customHeight="1">
      <c r="B30" s="455"/>
      <c r="C30" s="47"/>
      <c r="D30" s="19"/>
      <c r="E30" s="254"/>
      <c r="F30" s="19"/>
      <c r="G30" s="47"/>
      <c r="H30" s="790"/>
      <c r="I30" s="791"/>
      <c r="J30" s="792"/>
      <c r="K30" s="1054"/>
      <c r="L30" s="1054"/>
      <c r="M30" s="1054"/>
      <c r="N30" s="1054"/>
      <c r="O30" s="794"/>
      <c r="R30" s="401"/>
    </row>
    <row r="31" spans="1:20" ht="18.75" customHeight="1">
      <c r="B31" s="814" t="s">
        <v>113</v>
      </c>
      <c r="C31" s="815"/>
      <c r="D31" s="1059" t="s">
        <v>46</v>
      </c>
      <c r="E31" s="817"/>
      <c r="F31" s="1059"/>
      <c r="G31" s="817"/>
      <c r="H31" s="818"/>
      <c r="I31" s="1060"/>
      <c r="J31" s="820"/>
      <c r="K31" s="795"/>
      <c r="L31" s="795"/>
      <c r="M31" s="795"/>
      <c r="N31" s="795"/>
      <c r="O31" s="796"/>
    </row>
    <row r="32" spans="1:20" ht="18.75" customHeight="1">
      <c r="B32" s="821" t="s">
        <v>47</v>
      </c>
      <c r="C32" s="822"/>
      <c r="D32" s="823" t="s">
        <v>48</v>
      </c>
      <c r="E32" s="822"/>
      <c r="F32" s="823" t="s">
        <v>49</v>
      </c>
      <c r="G32" s="822"/>
      <c r="H32" s="824" t="s">
        <v>50</v>
      </c>
      <c r="I32" s="823"/>
      <c r="J32" s="822"/>
      <c r="K32" s="827" t="s">
        <v>51</v>
      </c>
      <c r="L32" s="828"/>
      <c r="M32" s="828"/>
      <c r="N32" s="828"/>
      <c r="O32" s="829"/>
      <c r="R32" s="74"/>
    </row>
    <row r="33" spans="2:19">
      <c r="B33" s="89"/>
      <c r="C33" s="89"/>
      <c r="D33" s="89"/>
      <c r="E33" s="255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256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6" spans="2:19" ht="14.25">
      <c r="J36" s="40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401"/>
      <c r="L38" s="401"/>
      <c r="M38" s="401"/>
      <c r="N38" s="401"/>
      <c r="O38" s="111"/>
      <c r="R38" s="74"/>
    </row>
    <row r="39" spans="2:19" ht="18.75" customHeight="1">
      <c r="B39" s="91"/>
      <c r="C39" s="91"/>
      <c r="D39" s="91"/>
      <c r="E39" s="830"/>
      <c r="F39" s="830"/>
      <c r="G39" s="830"/>
      <c r="H39" s="830"/>
      <c r="I39" s="830"/>
      <c r="J39" s="830"/>
      <c r="K39" s="401"/>
      <c r="L39" s="401"/>
      <c r="M39" s="401"/>
      <c r="N39" s="401"/>
      <c r="O39" s="111"/>
      <c r="R39" s="74"/>
    </row>
    <row r="40" spans="2:19" ht="18.75" customHeight="1">
      <c r="B40" s="91"/>
      <c r="C40" s="403"/>
      <c r="D40" s="91"/>
      <c r="E40" s="830"/>
      <c r="F40" s="830"/>
      <c r="G40" s="830"/>
      <c r="H40" s="830"/>
      <c r="I40" s="830"/>
      <c r="J40" s="830"/>
      <c r="K40" s="401"/>
      <c r="L40" s="401"/>
      <c r="M40" s="401"/>
      <c r="N40" s="401"/>
      <c r="O40" s="112"/>
      <c r="R40" s="74"/>
    </row>
    <row r="41" spans="2:19" ht="18.75" customHeight="1">
      <c r="B41" s="92"/>
      <c r="C41" s="92"/>
      <c r="D41" s="92"/>
      <c r="E41" s="257"/>
      <c r="F41" s="92"/>
      <c r="G41" s="93"/>
      <c r="H41" s="93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258"/>
      <c r="F42" s="94"/>
      <c r="G42" s="95"/>
      <c r="H42" s="96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33"/>
      <c r="I43" s="833"/>
      <c r="J43" s="833"/>
      <c r="K43" s="834"/>
      <c r="L43" s="834"/>
      <c r="M43" s="834"/>
      <c r="N43" s="834"/>
      <c r="O43" s="834"/>
      <c r="R43" s="74"/>
    </row>
    <row r="44" spans="2:19" ht="18.75" customHeight="1">
      <c r="B44" s="369"/>
      <c r="C44" s="369"/>
      <c r="D44" s="369"/>
      <c r="E44" s="672"/>
      <c r="F44" s="369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26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258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16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90"/>
      <c r="K50" s="190"/>
      <c r="L50" s="190"/>
      <c r="M50" s="190"/>
      <c r="N50" s="190"/>
      <c r="O50" s="7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404"/>
    </row>
    <row r="52" spans="2:18" ht="18.75" customHeight="1">
      <c r="B52" s="190"/>
      <c r="C52" s="190"/>
      <c r="D52" s="190"/>
      <c r="E52" s="260"/>
      <c r="F52" s="190"/>
      <c r="G52" s="96"/>
      <c r="H52" s="96"/>
      <c r="I52" s="96"/>
      <c r="J52" s="115"/>
      <c r="K52" s="115"/>
      <c r="L52" s="115"/>
      <c r="M52" s="115"/>
      <c r="N52" s="115"/>
      <c r="O52" s="716"/>
    </row>
    <row r="53" spans="2:18" ht="18.75" customHeight="1">
      <c r="B53" s="96"/>
      <c r="C53" s="96"/>
      <c r="D53" s="96"/>
      <c r="E53" s="261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258"/>
      <c r="F54" s="94"/>
      <c r="G54" s="95"/>
      <c r="H54" s="96"/>
      <c r="I54" s="96"/>
      <c r="J54" s="715"/>
      <c r="K54" s="836"/>
      <c r="L54" s="836"/>
      <c r="M54" s="836"/>
      <c r="N54" s="836"/>
      <c r="O54" s="836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16"/>
      <c r="K55" s="826"/>
      <c r="L55" s="826"/>
      <c r="M55" s="826"/>
      <c r="N55" s="826"/>
      <c r="O55" s="826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15"/>
      <c r="K56" s="836"/>
      <c r="L56" s="836"/>
      <c r="M56" s="836"/>
      <c r="N56" s="836"/>
      <c r="O56" s="836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16"/>
      <c r="K57" s="826"/>
      <c r="L57" s="826"/>
      <c r="M57" s="826"/>
      <c r="N57" s="826"/>
      <c r="O57" s="826"/>
    </row>
    <row r="58" spans="2:18" ht="18.75" customHeight="1">
      <c r="B58" s="190"/>
      <c r="C58" s="190"/>
      <c r="D58" s="190"/>
      <c r="E58" s="260"/>
      <c r="F58" s="190"/>
      <c r="G58" s="96"/>
      <c r="H58" s="96"/>
      <c r="I58" s="96"/>
      <c r="J58" s="715"/>
      <c r="K58" s="836"/>
      <c r="L58" s="836"/>
      <c r="M58" s="836"/>
      <c r="N58" s="836"/>
      <c r="O58" s="836"/>
    </row>
    <row r="59" spans="2:18" ht="18.75" customHeight="1">
      <c r="B59" s="99"/>
      <c r="C59" s="99"/>
      <c r="D59" s="99"/>
      <c r="E59" s="262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47"/>
      <c r="C60" s="747"/>
      <c r="D60" s="747"/>
      <c r="E60" s="747"/>
      <c r="F60" s="747"/>
      <c r="G60" s="747"/>
      <c r="H60" s="400"/>
      <c r="I60" s="400"/>
      <c r="J60" s="747"/>
      <c r="K60" s="747"/>
      <c r="L60" s="747"/>
      <c r="M60" s="747"/>
      <c r="N60" s="747"/>
      <c r="O60" s="113"/>
    </row>
    <row r="61" spans="2:18" s="73" customFormat="1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401"/>
    </row>
    <row r="62" spans="2:18" ht="18.75" customHeight="1">
      <c r="B62" s="96"/>
      <c r="C62" s="96"/>
      <c r="D62" s="96"/>
      <c r="E62" s="261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  <row r="64" spans="2:18" ht="12.75" customHeight="1"/>
    <row r="65" ht="12.75" customHeight="1"/>
    <row r="66" ht="12.75" customHeight="1"/>
    <row r="67" ht="12.7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2.75" customHeight="1"/>
  </sheetData>
  <mergeCells count="60">
    <mergeCell ref="K56:O56"/>
    <mergeCell ref="K57:O57"/>
    <mergeCell ref="K58:O58"/>
    <mergeCell ref="B63:C63"/>
    <mergeCell ref="D63:E63"/>
    <mergeCell ref="F63:G63"/>
    <mergeCell ref="H63:J63"/>
    <mergeCell ref="K63:O63"/>
    <mergeCell ref="B55:G55"/>
    <mergeCell ref="K55:O55"/>
    <mergeCell ref="K32:O32"/>
    <mergeCell ref="E37:J40"/>
    <mergeCell ref="K37:O37"/>
    <mergeCell ref="C43:G43"/>
    <mergeCell ref="H43:J43"/>
    <mergeCell ref="K43:O43"/>
    <mergeCell ref="H44:J44"/>
    <mergeCell ref="K44:O44"/>
    <mergeCell ref="C45:O45"/>
    <mergeCell ref="B48:G48"/>
    <mergeCell ref="K54:O54"/>
    <mergeCell ref="B31:C31"/>
    <mergeCell ref="D31:E31"/>
    <mergeCell ref="F31:G31"/>
    <mergeCell ref="H31:J31"/>
    <mergeCell ref="B32:C32"/>
    <mergeCell ref="D32:E32"/>
    <mergeCell ref="F32:G32"/>
    <mergeCell ref="H32:J32"/>
    <mergeCell ref="H30:J30"/>
    <mergeCell ref="K30:O31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K19:O19"/>
    <mergeCell ref="B10:C10"/>
    <mergeCell ref="D10:H10"/>
    <mergeCell ref="I10:J10"/>
    <mergeCell ref="D11:H11"/>
    <mergeCell ref="I11:J11"/>
    <mergeCell ref="B14:G14"/>
    <mergeCell ref="K14:O14"/>
    <mergeCell ref="K15:O15"/>
    <mergeCell ref="K16:O16"/>
    <mergeCell ref="K17:O17"/>
    <mergeCell ref="K18:O18"/>
    <mergeCell ref="I9:J9"/>
    <mergeCell ref="D3:J6"/>
    <mergeCell ref="K3:O3"/>
    <mergeCell ref="L4:O4"/>
    <mergeCell ref="L5:O5"/>
    <mergeCell ref="L6:O6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A560-AA87-4924-8D74-D3D246861D37}">
  <sheetPr>
    <pageSetUpPr fitToPage="1"/>
  </sheetPr>
  <dimension ref="A1:T63"/>
  <sheetViews>
    <sheetView showGridLines="0" view="pageBreakPreview" topLeftCell="A7" zoomScale="70" zoomScaleNormal="100" zoomScaleSheetLayoutView="70" workbookViewId="0">
      <selection activeCell="R17" sqref="R17"/>
    </sheetView>
  </sheetViews>
  <sheetFormatPr defaultColWidth="9.25" defaultRowHeight="12.75"/>
  <cols>
    <col min="1" max="1" width="2.375" style="74" customWidth="1"/>
    <col min="2" max="2" width="12.125" style="74" customWidth="1"/>
    <col min="3" max="3" width="15.875" style="74" customWidth="1"/>
    <col min="4" max="4" width="13.75" style="74" customWidth="1"/>
    <col min="5" max="5" width="13.75" style="121" customWidth="1"/>
    <col min="6" max="6" width="13.75" style="74" customWidth="1"/>
    <col min="7" max="7" width="16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75" style="74" customWidth="1"/>
    <col min="16" max="16" width="3.7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2:18">
      <c r="B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2:18">
      <c r="B2" s="118"/>
      <c r="D2" s="118"/>
      <c r="E2" s="241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2:18" ht="18.75" customHeight="1">
      <c r="B3" s="426"/>
      <c r="C3" s="427"/>
      <c r="D3" s="753" t="s">
        <v>0</v>
      </c>
      <c r="E3" s="754"/>
      <c r="F3" s="754"/>
      <c r="G3" s="754"/>
      <c r="H3" s="754"/>
      <c r="I3" s="754"/>
      <c r="J3" s="754"/>
      <c r="K3" s="757" t="s">
        <v>1</v>
      </c>
      <c r="L3" s="758"/>
      <c r="M3" s="758"/>
      <c r="N3" s="758"/>
      <c r="O3" s="759"/>
      <c r="R3" s="74"/>
    </row>
    <row r="4" spans="2:18" ht="18.75" customHeight="1">
      <c r="B4" s="428"/>
      <c r="C4" s="4"/>
      <c r="D4" s="755"/>
      <c r="E4" s="756"/>
      <c r="F4" s="756"/>
      <c r="G4" s="756"/>
      <c r="H4" s="756"/>
      <c r="I4" s="756"/>
      <c r="J4" s="756"/>
      <c r="K4" s="49" t="s">
        <v>2</v>
      </c>
      <c r="L4" s="877" t="s">
        <v>3</v>
      </c>
      <c r="M4" s="877"/>
      <c r="N4" s="877"/>
      <c r="O4" s="902"/>
      <c r="R4" s="74"/>
    </row>
    <row r="5" spans="2:18" ht="18.75" customHeight="1">
      <c r="B5" s="428"/>
      <c r="C5" s="4"/>
      <c r="D5" s="755"/>
      <c r="E5" s="756"/>
      <c r="F5" s="756"/>
      <c r="G5" s="756"/>
      <c r="H5" s="756"/>
      <c r="I5" s="756"/>
      <c r="J5" s="756"/>
      <c r="K5" s="49" t="s">
        <v>4</v>
      </c>
      <c r="L5" s="877" t="s">
        <v>5</v>
      </c>
      <c r="M5" s="877"/>
      <c r="N5" s="877"/>
      <c r="O5" s="902"/>
      <c r="R5" s="74"/>
    </row>
    <row r="6" spans="2:18" ht="18.75" customHeight="1">
      <c r="B6" s="428"/>
      <c r="C6" s="4"/>
      <c r="D6" s="755"/>
      <c r="E6" s="756"/>
      <c r="F6" s="756"/>
      <c r="G6" s="756"/>
      <c r="H6" s="756"/>
      <c r="I6" s="756"/>
      <c r="J6" s="756"/>
      <c r="K6" s="50" t="s">
        <v>6</v>
      </c>
      <c r="L6" s="879" t="s">
        <v>7</v>
      </c>
      <c r="M6" s="880"/>
      <c r="N6" s="880"/>
      <c r="O6" s="903"/>
      <c r="R6" s="74"/>
    </row>
    <row r="7" spans="2:18" ht="18.75" customHeight="1">
      <c r="B7" s="456"/>
      <c r="C7" s="386"/>
      <c r="D7" s="145"/>
      <c r="E7" s="242"/>
      <c r="F7" s="145"/>
      <c r="G7" s="133"/>
      <c r="H7" s="133"/>
      <c r="I7" s="133"/>
      <c r="J7" s="133"/>
      <c r="K7" s="133"/>
      <c r="L7" s="133"/>
      <c r="M7" s="133"/>
      <c r="N7" s="133"/>
      <c r="O7" s="430"/>
      <c r="R7" s="74"/>
    </row>
    <row r="8" spans="2:18" ht="18.75" customHeight="1">
      <c r="B8" s="628" t="s">
        <v>8</v>
      </c>
      <c r="C8" s="148"/>
      <c r="D8" s="629"/>
      <c r="E8" s="630"/>
      <c r="F8" s="629"/>
      <c r="G8" s="631"/>
      <c r="H8" s="150"/>
      <c r="I8" s="151"/>
      <c r="J8" s="283"/>
      <c r="K8" s="283"/>
      <c r="L8" s="283"/>
      <c r="M8" s="283"/>
      <c r="N8" s="283"/>
      <c r="O8" s="474"/>
      <c r="R8" s="74"/>
    </row>
    <row r="9" spans="2:18" ht="18.75" customHeight="1">
      <c r="B9" s="470" t="s">
        <v>9</v>
      </c>
      <c r="C9" s="695" t="s">
        <v>190</v>
      </c>
      <c r="D9" s="488"/>
      <c r="E9" s="489"/>
      <c r="F9" s="363"/>
      <c r="G9" s="363"/>
      <c r="H9" s="490"/>
      <c r="I9" s="752" t="s">
        <v>11</v>
      </c>
      <c r="J9" s="752"/>
      <c r="K9" s="152" t="s">
        <v>191</v>
      </c>
      <c r="L9" s="127"/>
      <c r="M9" s="127"/>
      <c r="N9" s="127"/>
      <c r="O9" s="434"/>
      <c r="R9" s="74"/>
    </row>
    <row r="10" spans="2:18" ht="18.75" customHeight="1">
      <c r="B10" s="932" t="s">
        <v>13</v>
      </c>
      <c r="C10" s="776"/>
      <c r="D10" s="769"/>
      <c r="E10" s="769"/>
      <c r="F10" s="769"/>
      <c r="G10" s="769"/>
      <c r="H10" s="770"/>
      <c r="I10" s="771" t="s">
        <v>14</v>
      </c>
      <c r="J10" s="772"/>
      <c r="K10" s="54"/>
      <c r="L10" s="54"/>
      <c r="M10" s="136"/>
      <c r="N10" s="136"/>
      <c r="O10" s="435"/>
      <c r="R10" s="74"/>
    </row>
    <row r="11" spans="2:18" ht="18.75" customHeight="1">
      <c r="B11" s="738" t="s">
        <v>15</v>
      </c>
      <c r="C11" s="15"/>
      <c r="D11" s="773"/>
      <c r="E11" s="773"/>
      <c r="F11" s="773"/>
      <c r="G11" s="773"/>
      <c r="H11" s="774"/>
      <c r="I11" s="775" t="s">
        <v>16</v>
      </c>
      <c r="J11" s="776"/>
      <c r="K11" s="626" t="s">
        <v>192</v>
      </c>
      <c r="L11" s="137"/>
      <c r="M11" s="138"/>
      <c r="N11" s="138"/>
      <c r="O11" s="437"/>
      <c r="Q11" s="74" t="s">
        <v>62</v>
      </c>
      <c r="R11" s="56" t="s">
        <v>89</v>
      </c>
    </row>
    <row r="12" spans="2:18" ht="18.75" customHeight="1">
      <c r="B12" s="471"/>
      <c r="C12" s="17"/>
      <c r="D12" s="725"/>
      <c r="E12" s="281"/>
      <c r="F12" s="725"/>
      <c r="G12" s="129"/>
      <c r="H12" s="141"/>
      <c r="I12" s="141"/>
      <c r="J12" s="725"/>
      <c r="K12" s="725"/>
      <c r="L12" s="725"/>
      <c r="M12" s="725"/>
      <c r="N12" s="725"/>
      <c r="O12" s="472"/>
      <c r="Q12" s="74" t="s">
        <v>64</v>
      </c>
      <c r="R12" s="192" t="s">
        <v>173</v>
      </c>
    </row>
    <row r="13" spans="2:18" ht="18.75" customHeight="1">
      <c r="B13" s="632" t="s">
        <v>18</v>
      </c>
      <c r="C13" s="76"/>
      <c r="D13" s="633"/>
      <c r="E13" s="634"/>
      <c r="F13" s="633"/>
      <c r="G13" s="635"/>
      <c r="H13" s="12"/>
      <c r="I13" s="12"/>
      <c r="J13" s="636"/>
      <c r="K13" s="283"/>
      <c r="L13" s="283"/>
      <c r="M13" s="283"/>
      <c r="N13" s="283"/>
      <c r="O13" s="474"/>
      <c r="R13" s="74"/>
    </row>
    <row r="14" spans="2:18" ht="30.6" customHeight="1">
      <c r="B14" s="777"/>
      <c r="C14" s="778"/>
      <c r="D14" s="777"/>
      <c r="E14" s="777"/>
      <c r="F14" s="777"/>
      <c r="G14" s="777"/>
      <c r="H14" s="615" t="s">
        <v>20</v>
      </c>
      <c r="I14" s="625" t="s">
        <v>21</v>
      </c>
      <c r="J14" s="637" t="s">
        <v>22</v>
      </c>
      <c r="K14" s="779" t="s">
        <v>23</v>
      </c>
      <c r="L14" s="779"/>
      <c r="M14" s="779"/>
      <c r="N14" s="779"/>
      <c r="O14" s="780"/>
      <c r="R14" s="74"/>
    </row>
    <row r="15" spans="2:18" ht="18.75" customHeight="1">
      <c r="B15" s="650"/>
      <c r="D15" s="118"/>
      <c r="E15" s="649"/>
      <c r="F15" s="24"/>
      <c r="G15" s="24"/>
      <c r="H15" s="616"/>
      <c r="I15" s="616"/>
      <c r="J15" s="638"/>
      <c r="K15" s="781"/>
      <c r="L15" s="781"/>
      <c r="M15" s="781"/>
      <c r="N15" s="781"/>
      <c r="O15" s="782"/>
      <c r="R15" s="74"/>
    </row>
    <row r="16" spans="2:18" s="197" customFormat="1" ht="18.75" customHeight="1">
      <c r="B16" s="468"/>
      <c r="C16" s="25"/>
      <c r="D16" s="24"/>
      <c r="E16" s="248"/>
      <c r="F16" s="24"/>
      <c r="G16" s="24"/>
      <c r="H16" s="617"/>
      <c r="I16" s="617"/>
      <c r="J16" s="622"/>
      <c r="K16" s="783"/>
      <c r="L16" s="783"/>
      <c r="M16" s="783"/>
      <c r="N16" s="783"/>
      <c r="O16" s="784"/>
    </row>
    <row r="17" spans="1:20" s="197" customFormat="1" ht="18.75" customHeight="1">
      <c r="B17" s="693" t="s">
        <v>193</v>
      </c>
      <c r="C17" s="671"/>
      <c r="D17" s="236"/>
      <c r="E17" s="248"/>
      <c r="F17" s="24"/>
      <c r="G17" s="24"/>
      <c r="H17" s="617" t="s">
        <v>25</v>
      </c>
      <c r="I17" s="617" t="s">
        <v>26</v>
      </c>
      <c r="J17" s="622" t="s">
        <v>27</v>
      </c>
      <c r="K17" s="898">
        <v>1300</v>
      </c>
      <c r="L17" s="898"/>
      <c r="M17" s="898"/>
      <c r="N17" s="898"/>
      <c r="O17" s="899"/>
    </row>
    <row r="18" spans="1:20" s="197" customFormat="1" ht="18.75" customHeight="1">
      <c r="A18" s="627"/>
      <c r="B18" s="463"/>
      <c r="C18" s="25"/>
      <c r="D18" s="200"/>
      <c r="E18" s="248"/>
      <c r="F18" s="24"/>
      <c r="G18" s="24"/>
      <c r="H18" s="617"/>
      <c r="I18" s="617"/>
      <c r="J18" s="622"/>
      <c r="K18" s="787"/>
      <c r="L18" s="788"/>
      <c r="M18" s="788"/>
      <c r="N18" s="788"/>
      <c r="O18" s="789"/>
    </row>
    <row r="19" spans="1:20" s="197" customFormat="1" ht="18.75" customHeight="1">
      <c r="B19" s="463"/>
      <c r="C19" s="670"/>
      <c r="D19" s="200"/>
      <c r="E19" s="248"/>
      <c r="F19" s="24"/>
      <c r="G19" s="24"/>
      <c r="H19" s="617"/>
      <c r="I19" s="617"/>
      <c r="J19" s="622"/>
      <c r="K19" s="765"/>
      <c r="L19" s="765"/>
      <c r="M19" s="765"/>
      <c r="N19" s="765"/>
      <c r="O19" s="766"/>
    </row>
    <row r="20" spans="1:20" s="197" customFormat="1" ht="18.75" customHeight="1">
      <c r="B20" s="639"/>
      <c r="C20" s="669"/>
      <c r="D20" s="200"/>
      <c r="E20" s="641"/>
      <c r="F20" s="641"/>
      <c r="G20" s="642"/>
      <c r="H20" s="617"/>
      <c r="I20" s="617"/>
      <c r="J20" s="622"/>
      <c r="K20" s="797"/>
      <c r="L20" s="797"/>
      <c r="M20" s="797"/>
      <c r="N20" s="797"/>
      <c r="O20" s="798"/>
    </row>
    <row r="21" spans="1:20" s="197" customFormat="1" ht="18.75" customHeight="1">
      <c r="B21" s="645" t="s">
        <v>178</v>
      </c>
      <c r="C21" s="668"/>
      <c r="D21" s="641"/>
      <c r="E21" s="248"/>
      <c r="F21" s="24"/>
      <c r="G21" s="24"/>
      <c r="H21" s="617"/>
      <c r="I21" s="617"/>
      <c r="J21" s="622"/>
      <c r="K21" s="797"/>
      <c r="L21" s="797"/>
      <c r="M21" s="797"/>
      <c r="N21" s="797"/>
      <c r="O21" s="798"/>
    </row>
    <row r="22" spans="1:20" s="269" customFormat="1" ht="18.75" customHeight="1">
      <c r="B22" s="467"/>
      <c r="C22" s="667"/>
      <c r="D22" s="265"/>
      <c r="E22" s="272"/>
      <c r="F22" s="226"/>
      <c r="G22" s="226"/>
      <c r="H22" s="618"/>
      <c r="I22" s="618"/>
      <c r="J22" s="623"/>
      <c r="K22" s="799"/>
      <c r="L22" s="799"/>
      <c r="M22" s="799"/>
      <c r="N22" s="799"/>
      <c r="O22" s="800"/>
    </row>
    <row r="23" spans="1:20" s="197" customFormat="1" ht="18.75" customHeight="1">
      <c r="B23" s="468"/>
      <c r="C23" s="666"/>
      <c r="D23" s="200"/>
      <c r="E23" s="273"/>
      <c r="F23" s="24"/>
      <c r="G23" s="24"/>
      <c r="H23" s="619"/>
      <c r="I23" s="619"/>
      <c r="J23" s="624"/>
      <c r="K23" s="797"/>
      <c r="L23" s="797"/>
      <c r="M23" s="797"/>
      <c r="N23" s="797"/>
      <c r="O23" s="798"/>
    </row>
    <row r="24" spans="1:20" ht="18.75" customHeight="1">
      <c r="B24" s="469" t="s">
        <v>31</v>
      </c>
      <c r="C24" s="665"/>
      <c r="D24" s="210"/>
      <c r="E24" s="286"/>
      <c r="F24" s="210"/>
      <c r="G24" s="640"/>
      <c r="H24" s="130"/>
      <c r="I24" s="1061" t="s">
        <v>32</v>
      </c>
      <c r="J24" s="1062"/>
      <c r="K24" s="884">
        <f>SUM(K16:O23)</f>
        <v>1300</v>
      </c>
      <c r="L24" s="884"/>
      <c r="M24" s="884"/>
      <c r="N24" s="884"/>
      <c r="O24" s="892"/>
      <c r="P24" s="121">
        <f>SUM(K16:O23)</f>
        <v>1300</v>
      </c>
      <c r="R24" s="123">
        <v>17892</v>
      </c>
    </row>
    <row r="25" spans="1:20" ht="18.75" customHeight="1">
      <c r="B25" s="651" t="s">
        <v>33</v>
      </c>
      <c r="C25" s="664" t="s">
        <v>98</v>
      </c>
      <c r="D25" s="643"/>
      <c r="E25" s="643"/>
      <c r="F25" s="643"/>
      <c r="G25" s="643"/>
      <c r="H25" s="644"/>
      <c r="I25" s="734"/>
      <c r="J25" s="169"/>
      <c r="K25" s="170"/>
      <c r="L25" s="170"/>
      <c r="M25" s="170"/>
      <c r="N25" s="170"/>
      <c r="O25" s="458"/>
      <c r="P25" s="121"/>
      <c r="R25" s="123"/>
      <c r="T25" s="74" t="s">
        <v>35</v>
      </c>
    </row>
    <row r="26" spans="1:20" ht="18.75" hidden="1" customHeight="1">
      <c r="B26" s="446" t="s">
        <v>36</v>
      </c>
      <c r="C26" s="94" t="s">
        <v>180</v>
      </c>
      <c r="D26" s="289"/>
      <c r="E26" s="290"/>
      <c r="F26" s="289"/>
      <c r="G26" s="291">
        <v>20000</v>
      </c>
      <c r="H26" s="174"/>
      <c r="I26" s="175"/>
      <c r="J26" s="176"/>
      <c r="K26" s="177"/>
      <c r="L26" s="177"/>
      <c r="M26" s="177"/>
      <c r="N26" s="177"/>
      <c r="O26" s="459"/>
      <c r="P26" s="121"/>
      <c r="R26" s="123"/>
    </row>
    <row r="27" spans="1:20" ht="18.75" hidden="1" customHeight="1">
      <c r="B27" s="451" t="s">
        <v>33</v>
      </c>
      <c r="C27" s="184" t="s">
        <v>38</v>
      </c>
      <c r="D27" s="181"/>
      <c r="E27" s="25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93"/>
    </row>
    <row r="28" spans="1:20" ht="18.75" customHeight="1">
      <c r="B28" s="453" t="s">
        <v>36</v>
      </c>
      <c r="C28" s="230" t="s">
        <v>169</v>
      </c>
      <c r="D28" s="184"/>
      <c r="E28" s="252"/>
      <c r="F28" s="185"/>
      <c r="G28" s="185"/>
      <c r="H28" s="186"/>
      <c r="I28" s="808" t="s">
        <v>41</v>
      </c>
      <c r="J28" s="808"/>
      <c r="K28" s="809">
        <f>P3+K24+K27</f>
        <v>1300</v>
      </c>
      <c r="L28" s="809"/>
      <c r="M28" s="809"/>
      <c r="N28" s="809"/>
      <c r="O28" s="810"/>
      <c r="R28" s="384"/>
    </row>
    <row r="29" spans="1:20" ht="18.75" customHeight="1">
      <c r="B29" s="454" t="s">
        <v>42</v>
      </c>
      <c r="C29" s="187"/>
      <c r="D29" s="723" t="s">
        <v>43</v>
      </c>
      <c r="E29" s="253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13"/>
      <c r="R29" s="384"/>
    </row>
    <row r="30" spans="1:20" s="73" customFormat="1" ht="18.75" customHeight="1">
      <c r="B30" s="455"/>
      <c r="C30" s="47"/>
      <c r="D30" s="141"/>
      <c r="E30" s="254"/>
      <c r="F30" s="141"/>
      <c r="G30" s="47"/>
      <c r="H30" s="790"/>
      <c r="I30" s="791"/>
      <c r="J30" s="792"/>
      <c r="K30" s="793"/>
      <c r="L30" s="793"/>
      <c r="M30" s="793"/>
      <c r="N30" s="793"/>
      <c r="O30" s="794"/>
      <c r="R30" s="401"/>
    </row>
    <row r="31" spans="1:20" ht="18.75" customHeight="1">
      <c r="B31" s="890" t="s">
        <v>113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5"/>
      <c r="L31" s="795"/>
      <c r="M31" s="795"/>
      <c r="N31" s="795"/>
      <c r="O31" s="796"/>
      <c r="R31" s="384"/>
    </row>
    <row r="32" spans="1:20" ht="18.75" customHeight="1">
      <c r="B32" s="821" t="s">
        <v>47</v>
      </c>
      <c r="C32" s="822"/>
      <c r="D32" s="823" t="s">
        <v>48</v>
      </c>
      <c r="E32" s="822"/>
      <c r="F32" s="823" t="s">
        <v>49</v>
      </c>
      <c r="G32" s="822"/>
      <c r="H32" s="824" t="s">
        <v>50</v>
      </c>
      <c r="I32" s="823"/>
      <c r="J32" s="822"/>
      <c r="K32" s="827" t="s">
        <v>51</v>
      </c>
      <c r="L32" s="828"/>
      <c r="M32" s="828"/>
      <c r="N32" s="828"/>
      <c r="O32" s="829"/>
      <c r="R32" s="74"/>
    </row>
    <row r="33" spans="2:19">
      <c r="B33" s="89"/>
      <c r="C33" s="89"/>
      <c r="D33" s="89"/>
      <c r="E33" s="255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256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6" spans="2:19" ht="14.25">
      <c r="J36" s="40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401"/>
      <c r="L38" s="401"/>
      <c r="M38" s="401"/>
      <c r="N38" s="401"/>
      <c r="O38" s="111"/>
      <c r="R38" s="74"/>
    </row>
    <row r="39" spans="2:19" ht="18.75" customHeight="1">
      <c r="B39" s="91"/>
      <c r="C39" s="91"/>
      <c r="D39" s="91"/>
      <c r="E39" s="830"/>
      <c r="F39" s="830"/>
      <c r="G39" s="830"/>
      <c r="H39" s="830"/>
      <c r="I39" s="830"/>
      <c r="J39" s="830"/>
      <c r="K39" s="401"/>
      <c r="L39" s="401"/>
      <c r="M39" s="401"/>
      <c r="N39" s="401"/>
      <c r="O39" s="111"/>
      <c r="R39" s="74"/>
    </row>
    <row r="40" spans="2:19" ht="18.75" customHeight="1">
      <c r="B40" s="91"/>
      <c r="C40" s="403"/>
      <c r="D40" s="91"/>
      <c r="E40" s="830"/>
      <c r="F40" s="830"/>
      <c r="G40" s="830"/>
      <c r="H40" s="830"/>
      <c r="I40" s="830"/>
      <c r="J40" s="830"/>
      <c r="K40" s="401"/>
      <c r="L40" s="401"/>
      <c r="M40" s="401"/>
      <c r="N40" s="401"/>
      <c r="O40" s="112"/>
      <c r="R40" s="74"/>
    </row>
    <row r="41" spans="2:19" ht="18.75" customHeight="1">
      <c r="B41" s="92"/>
      <c r="C41" s="92"/>
      <c r="D41" s="92"/>
      <c r="E41" s="257"/>
      <c r="F41" s="92"/>
      <c r="G41" s="93"/>
      <c r="H41" s="93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258"/>
      <c r="F42" s="94"/>
      <c r="G42" s="95"/>
      <c r="H42" s="96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33"/>
      <c r="I43" s="833"/>
      <c r="J43" s="833"/>
      <c r="K43" s="834"/>
      <c r="L43" s="834"/>
      <c r="M43" s="834"/>
      <c r="N43" s="834"/>
      <c r="O43" s="834"/>
      <c r="R43" s="74"/>
    </row>
    <row r="44" spans="2:19" ht="18.75" customHeight="1">
      <c r="B44" s="369"/>
      <c r="C44" s="369"/>
      <c r="D44" s="369"/>
      <c r="E44" s="672"/>
      <c r="F44" s="369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26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258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16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90"/>
      <c r="K50" s="190"/>
      <c r="L50" s="190"/>
      <c r="M50" s="190"/>
      <c r="N50" s="190"/>
      <c r="O50" s="7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404"/>
    </row>
    <row r="52" spans="2:18" ht="18.75" customHeight="1">
      <c r="B52" s="190"/>
      <c r="C52" s="190"/>
      <c r="D52" s="190"/>
      <c r="E52" s="260"/>
      <c r="F52" s="190"/>
      <c r="G52" s="96"/>
      <c r="H52" s="96"/>
      <c r="I52" s="96"/>
      <c r="J52" s="115"/>
      <c r="K52" s="115"/>
      <c r="L52" s="115"/>
      <c r="M52" s="115"/>
      <c r="N52" s="115"/>
      <c r="O52" s="716"/>
    </row>
    <row r="53" spans="2:18" ht="18.75" customHeight="1">
      <c r="B53" s="96"/>
      <c r="C53" s="96"/>
      <c r="D53" s="96"/>
      <c r="E53" s="261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258"/>
      <c r="F54" s="94"/>
      <c r="G54" s="95"/>
      <c r="H54" s="96"/>
      <c r="I54" s="96"/>
      <c r="J54" s="715"/>
      <c r="K54" s="836"/>
      <c r="L54" s="836"/>
      <c r="M54" s="836"/>
      <c r="N54" s="836"/>
      <c r="O54" s="836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16"/>
      <c r="K55" s="826"/>
      <c r="L55" s="826"/>
      <c r="M55" s="826"/>
      <c r="N55" s="826"/>
      <c r="O55" s="826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15"/>
      <c r="K56" s="836"/>
      <c r="L56" s="836"/>
      <c r="M56" s="836"/>
      <c r="N56" s="836"/>
      <c r="O56" s="836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16"/>
      <c r="K57" s="826"/>
      <c r="L57" s="826"/>
      <c r="M57" s="826"/>
      <c r="N57" s="826"/>
      <c r="O57" s="826"/>
    </row>
    <row r="58" spans="2:18" ht="18.75" customHeight="1">
      <c r="B58" s="190"/>
      <c r="C58" s="190"/>
      <c r="D58" s="190"/>
      <c r="E58" s="260"/>
      <c r="F58" s="190"/>
      <c r="G58" s="96"/>
      <c r="H58" s="96"/>
      <c r="I58" s="96"/>
      <c r="J58" s="715"/>
      <c r="K58" s="836"/>
      <c r="L58" s="836"/>
      <c r="M58" s="836"/>
      <c r="N58" s="836"/>
      <c r="O58" s="836"/>
    </row>
    <row r="59" spans="2:18" ht="18.75" customHeight="1">
      <c r="B59" s="99"/>
      <c r="C59" s="99"/>
      <c r="D59" s="99"/>
      <c r="E59" s="262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47"/>
      <c r="C60" s="747"/>
      <c r="D60" s="747"/>
      <c r="E60" s="747"/>
      <c r="F60" s="747"/>
      <c r="G60" s="747"/>
      <c r="H60" s="400"/>
      <c r="I60" s="400"/>
      <c r="J60" s="747"/>
      <c r="K60" s="747"/>
      <c r="L60" s="747"/>
      <c r="M60" s="747"/>
      <c r="N60" s="747"/>
      <c r="O60" s="113"/>
    </row>
    <row r="61" spans="2:18" s="73" customFormat="1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261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0">
    <mergeCell ref="I9:J9"/>
    <mergeCell ref="D3:J6"/>
    <mergeCell ref="K3:O3"/>
    <mergeCell ref="L4:O4"/>
    <mergeCell ref="L5:O5"/>
    <mergeCell ref="L6:O6"/>
    <mergeCell ref="K20:O20"/>
    <mergeCell ref="B10:C10"/>
    <mergeCell ref="D10:H10"/>
    <mergeCell ref="I10:J10"/>
    <mergeCell ref="D11:H11"/>
    <mergeCell ref="I11:J11"/>
    <mergeCell ref="B14:G14"/>
    <mergeCell ref="K14:O14"/>
    <mergeCell ref="K15:O15"/>
    <mergeCell ref="K16:O16"/>
    <mergeCell ref="K17:O17"/>
    <mergeCell ref="K19:O19"/>
    <mergeCell ref="K18:O18"/>
    <mergeCell ref="B31:C31"/>
    <mergeCell ref="D31:E31"/>
    <mergeCell ref="F31:G31"/>
    <mergeCell ref="H31:J31"/>
    <mergeCell ref="K21:O21"/>
    <mergeCell ref="K22:O22"/>
    <mergeCell ref="K23:O23"/>
    <mergeCell ref="I24:J24"/>
    <mergeCell ref="K24:O24"/>
    <mergeCell ref="I27:J27"/>
    <mergeCell ref="K27:O27"/>
    <mergeCell ref="E37:J40"/>
    <mergeCell ref="K37:O37"/>
    <mergeCell ref="I28:J28"/>
    <mergeCell ref="K28:O28"/>
    <mergeCell ref="H29:O29"/>
    <mergeCell ref="H30:J30"/>
    <mergeCell ref="K30:O31"/>
    <mergeCell ref="B32:C32"/>
    <mergeCell ref="D32:E32"/>
    <mergeCell ref="F32:G32"/>
    <mergeCell ref="H32:J32"/>
    <mergeCell ref="K32:O32"/>
    <mergeCell ref="K57:O57"/>
    <mergeCell ref="C43:G43"/>
    <mergeCell ref="H43:J43"/>
    <mergeCell ref="K43:O43"/>
    <mergeCell ref="H44:J44"/>
    <mergeCell ref="K44:O44"/>
    <mergeCell ref="C45:O45"/>
    <mergeCell ref="B48:G48"/>
    <mergeCell ref="K54:O54"/>
    <mergeCell ref="B55:G55"/>
    <mergeCell ref="K55:O55"/>
    <mergeCell ref="K56:O56"/>
    <mergeCell ref="K58:O58"/>
    <mergeCell ref="B63:C63"/>
    <mergeCell ref="D63:E63"/>
    <mergeCell ref="F63:G63"/>
    <mergeCell ref="H63:J63"/>
    <mergeCell ref="K63:O63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46AC-CF5A-4A6E-BA6D-70EFA3193F1A}">
  <sheetPr>
    <pageSetUpPr fitToPage="1"/>
  </sheetPr>
  <dimension ref="A1:T63"/>
  <sheetViews>
    <sheetView showGridLines="0" view="pageBreakPreview" topLeftCell="A5" zoomScale="70" zoomScaleNormal="100" zoomScaleSheetLayoutView="70" workbookViewId="0">
      <selection activeCell="T16" sqref="T16"/>
    </sheetView>
  </sheetViews>
  <sheetFormatPr defaultColWidth="9.25" defaultRowHeight="12.75"/>
  <cols>
    <col min="1" max="1" width="2.375" style="74" customWidth="1"/>
    <col min="2" max="2" width="17.875" style="74" customWidth="1"/>
    <col min="3" max="3" width="15.875" style="74" customWidth="1"/>
    <col min="4" max="4" width="13.7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75" style="74" customWidth="1"/>
    <col min="16" max="16" width="3.7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8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8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8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8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8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8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8" ht="18.75" customHeight="1">
      <c r="B7" s="660"/>
      <c r="C7" s="661"/>
      <c r="D7" s="661"/>
      <c r="E7" s="662"/>
      <c r="F7" s="661"/>
      <c r="G7" s="663"/>
      <c r="H7" s="663"/>
      <c r="I7" s="133"/>
      <c r="J7" s="133"/>
      <c r="K7" s="133"/>
      <c r="L7" s="133"/>
      <c r="M7" s="133"/>
      <c r="N7" s="133"/>
      <c r="O7" s="430"/>
      <c r="R7" s="74"/>
    </row>
    <row r="8" spans="1:18" ht="18.75" customHeight="1">
      <c r="B8" s="431" t="s">
        <v>8</v>
      </c>
      <c r="C8" s="148"/>
      <c r="D8" s="148"/>
      <c r="E8" s="243"/>
      <c r="F8" s="148"/>
      <c r="G8" s="149"/>
      <c r="H8" s="150"/>
      <c r="I8" s="151"/>
      <c r="J8" s="134"/>
      <c r="K8" s="134"/>
      <c r="L8" s="134"/>
      <c r="M8" s="134"/>
      <c r="N8" s="134"/>
      <c r="O8" s="432"/>
      <c r="R8" s="74"/>
    </row>
    <row r="9" spans="1:18" ht="18.75" customHeight="1">
      <c r="B9" s="470" t="s">
        <v>9</v>
      </c>
      <c r="C9" s="378" t="s">
        <v>194</v>
      </c>
      <c r="D9" s="488"/>
      <c r="E9" s="489"/>
      <c r="F9" s="363"/>
      <c r="G9" s="363"/>
      <c r="H9" s="490"/>
      <c r="I9" s="752" t="s">
        <v>11</v>
      </c>
      <c r="J9" s="752"/>
      <c r="K9" s="152" t="s">
        <v>195</v>
      </c>
      <c r="L9" s="127"/>
      <c r="M9" s="127"/>
      <c r="N9" s="127"/>
      <c r="O9" s="434"/>
      <c r="R9" s="74"/>
    </row>
    <row r="10" spans="1:18" ht="18.75" customHeight="1">
      <c r="B10" s="932" t="s">
        <v>13</v>
      </c>
      <c r="C10" s="776"/>
      <c r="D10" s="769"/>
      <c r="E10" s="769"/>
      <c r="F10" s="769"/>
      <c r="G10" s="769"/>
      <c r="H10" s="770"/>
      <c r="I10" s="771" t="s">
        <v>14</v>
      </c>
      <c r="J10" s="772"/>
      <c r="K10" s="54"/>
      <c r="L10" s="54"/>
      <c r="M10" s="136"/>
      <c r="N10" s="136"/>
      <c r="O10" s="435"/>
      <c r="R10" s="74"/>
    </row>
    <row r="11" spans="1:18" ht="18.75" customHeight="1">
      <c r="B11" s="436" t="s">
        <v>15</v>
      </c>
      <c r="C11" s="15"/>
      <c r="D11" s="773"/>
      <c r="E11" s="773"/>
      <c r="F11" s="773"/>
      <c r="G11" s="773"/>
      <c r="H11" s="774"/>
      <c r="I11" s="775" t="s">
        <v>16</v>
      </c>
      <c r="J11" s="776"/>
      <c r="K11" s="626" t="s">
        <v>196</v>
      </c>
      <c r="L11" s="137"/>
      <c r="M11" s="138"/>
      <c r="N11" s="138"/>
      <c r="O11" s="437"/>
      <c r="Q11" s="74" t="s">
        <v>62</v>
      </c>
      <c r="R11" s="56" t="s">
        <v>197</v>
      </c>
    </row>
    <row r="12" spans="1:18" ht="18.75" customHeight="1">
      <c r="B12" s="438"/>
      <c r="C12" s="189"/>
      <c r="D12" s="189"/>
      <c r="E12" s="245"/>
      <c r="F12" s="189"/>
      <c r="G12" s="129"/>
      <c r="H12" s="141"/>
      <c r="I12" s="141"/>
      <c r="J12" s="189"/>
      <c r="K12" s="189"/>
      <c r="L12" s="189"/>
      <c r="M12" s="189"/>
      <c r="N12" s="189"/>
      <c r="O12" s="439"/>
      <c r="Q12" s="74" t="s">
        <v>64</v>
      </c>
      <c r="R12" s="192"/>
    </row>
    <row r="13" spans="1:18" ht="18.75" customHeight="1">
      <c r="B13" s="440" t="s">
        <v>18</v>
      </c>
      <c r="C13" s="76"/>
      <c r="D13" s="76"/>
      <c r="E13" s="246"/>
      <c r="F13" s="76"/>
      <c r="G13" s="154"/>
      <c r="H13" s="12"/>
      <c r="I13" s="12"/>
      <c r="J13" s="52"/>
      <c r="K13" s="134"/>
      <c r="L13" s="134"/>
      <c r="M13" s="134"/>
      <c r="N13" s="134"/>
      <c r="O13" s="432"/>
      <c r="R13" s="74"/>
    </row>
    <row r="14" spans="1:18" ht="30.6" customHeight="1">
      <c r="B14" s="895" t="s">
        <v>19</v>
      </c>
      <c r="C14" s="864"/>
      <c r="D14" s="864"/>
      <c r="E14" s="864"/>
      <c r="F14" s="864"/>
      <c r="G14" s="864"/>
      <c r="H14" s="615" t="s">
        <v>20</v>
      </c>
      <c r="I14" s="625" t="s">
        <v>21</v>
      </c>
      <c r="J14" s="620" t="s">
        <v>22</v>
      </c>
      <c r="K14" s="865" t="s">
        <v>23</v>
      </c>
      <c r="L14" s="865"/>
      <c r="M14" s="865"/>
      <c r="N14" s="865"/>
      <c r="O14" s="896"/>
      <c r="R14" s="74"/>
    </row>
    <row r="15" spans="1:18" ht="18.75" customHeight="1">
      <c r="B15" s="462"/>
      <c r="C15" s="229"/>
      <c r="D15" s="229"/>
      <c r="E15" s="247"/>
      <c r="F15" s="229"/>
      <c r="G15" s="229"/>
      <c r="H15" s="616"/>
      <c r="I15" s="616"/>
      <c r="J15" s="621"/>
      <c r="K15" s="781"/>
      <c r="L15" s="781"/>
      <c r="M15" s="781"/>
      <c r="N15" s="781"/>
      <c r="O15" s="782"/>
      <c r="R15" s="74"/>
    </row>
    <row r="16" spans="1:18" s="197" customFormat="1" ht="18.75" customHeight="1">
      <c r="B16" s="463"/>
      <c r="C16" s="235"/>
      <c r="D16" s="236"/>
      <c r="E16" s="248"/>
      <c r="F16" s="24"/>
      <c r="G16" s="24"/>
      <c r="H16" s="617"/>
      <c r="I16" s="617"/>
      <c r="J16" s="622"/>
      <c r="K16" s="783"/>
      <c r="L16" s="783"/>
      <c r="M16" s="783"/>
      <c r="N16" s="783"/>
      <c r="O16" s="784"/>
    </row>
    <row r="17" spans="1:20" s="197" customFormat="1" ht="18.75" customHeight="1">
      <c r="B17" s="689" t="s">
        <v>198</v>
      </c>
      <c r="C17" s="24"/>
      <c r="D17" s="200"/>
      <c r="E17" s="248"/>
      <c r="F17" s="24"/>
      <c r="G17" s="24"/>
      <c r="H17" s="617" t="s">
        <v>25</v>
      </c>
      <c r="I17" s="617" t="s">
        <v>26</v>
      </c>
      <c r="J17" s="622" t="s">
        <v>27</v>
      </c>
      <c r="K17" s="898">
        <v>4500</v>
      </c>
      <c r="L17" s="898"/>
      <c r="M17" s="898"/>
      <c r="N17" s="898"/>
      <c r="O17" s="899"/>
    </row>
    <row r="18" spans="1:20" s="197" customFormat="1" ht="18.75" customHeight="1">
      <c r="A18" s="627" t="s">
        <v>199</v>
      </c>
      <c r="B18" s="690"/>
      <c r="C18" s="748"/>
      <c r="D18" s="656"/>
      <c r="E18" s="248"/>
      <c r="F18" s="24"/>
      <c r="G18" s="24"/>
      <c r="H18" s="617"/>
      <c r="I18" s="617"/>
      <c r="J18" s="622"/>
      <c r="K18" s="724"/>
      <c r="L18" s="724"/>
      <c r="M18" s="724"/>
      <c r="N18" s="724"/>
      <c r="O18" s="742"/>
    </row>
    <row r="19" spans="1:20" s="197" customFormat="1" ht="18.75" customHeight="1">
      <c r="B19" s="646"/>
      <c r="C19" s="657"/>
      <c r="D19" s="656"/>
      <c r="E19" s="248"/>
      <c r="F19" s="24"/>
      <c r="G19" s="24"/>
      <c r="H19" s="617"/>
      <c r="I19" s="617"/>
      <c r="J19" s="622"/>
      <c r="K19" s="765"/>
      <c r="L19" s="765"/>
      <c r="M19" s="765"/>
      <c r="N19" s="765"/>
      <c r="O19" s="766"/>
    </row>
    <row r="20" spans="1:20" s="197" customFormat="1" ht="18.75" customHeight="1">
      <c r="B20" s="646"/>
      <c r="C20" s="658"/>
      <c r="D20" s="656"/>
      <c r="E20" s="248"/>
      <c r="F20" s="24"/>
      <c r="G20" s="24"/>
      <c r="H20" s="617"/>
      <c r="I20" s="617"/>
      <c r="J20" s="622"/>
      <c r="K20" s="797"/>
      <c r="L20" s="797"/>
      <c r="M20" s="797"/>
      <c r="N20" s="797"/>
      <c r="O20" s="798"/>
    </row>
    <row r="21" spans="1:20" s="197" customFormat="1" ht="18.75" customHeight="1">
      <c r="B21" s="466"/>
      <c r="C21" s="275"/>
      <c r="D21" s="200"/>
      <c r="E21" s="248"/>
      <c r="F21" s="24"/>
      <c r="G21" s="24"/>
      <c r="H21" s="617"/>
      <c r="I21" s="617"/>
      <c r="J21" s="622"/>
      <c r="K21" s="797"/>
      <c r="L21" s="797"/>
      <c r="M21" s="797"/>
      <c r="N21" s="797"/>
      <c r="O21" s="798"/>
    </row>
    <row r="22" spans="1:20" s="269" customFormat="1" ht="18.75" customHeight="1">
      <c r="B22" s="659" t="s">
        <v>111</v>
      </c>
      <c r="C22" s="276"/>
      <c r="D22" s="265"/>
      <c r="E22" s="272"/>
      <c r="F22" s="226"/>
      <c r="G22" s="226"/>
      <c r="H22" s="618"/>
      <c r="I22" s="618"/>
      <c r="J22" s="623"/>
      <c r="K22" s="799"/>
      <c r="L22" s="799"/>
      <c r="M22" s="799"/>
      <c r="N22" s="799"/>
      <c r="O22" s="800"/>
    </row>
    <row r="23" spans="1:20" s="197" customFormat="1" ht="18.75" customHeight="1">
      <c r="B23" s="468"/>
      <c r="C23" s="275"/>
      <c r="D23" s="200"/>
      <c r="E23" s="273"/>
      <c r="F23" s="24"/>
      <c r="G23" s="24"/>
      <c r="H23" s="619"/>
      <c r="I23" s="619"/>
      <c r="J23" s="624"/>
      <c r="K23" s="797"/>
      <c r="L23" s="797"/>
      <c r="M23" s="797"/>
      <c r="N23" s="797"/>
      <c r="O23" s="798"/>
    </row>
    <row r="24" spans="1:20" ht="18.75" customHeight="1">
      <c r="B24" s="469" t="s">
        <v>31</v>
      </c>
      <c r="C24" s="210"/>
      <c r="D24" s="205"/>
      <c r="E24" s="258"/>
      <c r="F24" s="205"/>
      <c r="G24" s="206"/>
      <c r="H24" s="130"/>
      <c r="I24" s="1061" t="s">
        <v>32</v>
      </c>
      <c r="J24" s="1062"/>
      <c r="K24" s="884">
        <f>SUM(K16:O23)</f>
        <v>4500</v>
      </c>
      <c r="L24" s="884"/>
      <c r="M24" s="884"/>
      <c r="N24" s="884"/>
      <c r="O24" s="892"/>
      <c r="P24" s="121">
        <f>SUM(K16:O23)</f>
        <v>4500</v>
      </c>
      <c r="R24" s="123">
        <v>17892</v>
      </c>
    </row>
    <row r="25" spans="1:20" ht="18.75" customHeight="1">
      <c r="B25" s="447" t="s">
        <v>33</v>
      </c>
      <c r="C25" s="279" t="s">
        <v>200</v>
      </c>
      <c r="D25" s="14"/>
      <c r="E25" s="249"/>
      <c r="F25" s="34"/>
      <c r="G25" s="35"/>
      <c r="H25" s="36"/>
      <c r="I25" s="734"/>
      <c r="J25" s="169"/>
      <c r="K25" s="170"/>
      <c r="L25" s="170"/>
      <c r="M25" s="170"/>
      <c r="N25" s="170"/>
      <c r="O25" s="458"/>
      <c r="P25" s="121"/>
      <c r="R25" s="123"/>
      <c r="T25" s="74" t="s">
        <v>35</v>
      </c>
    </row>
    <row r="26" spans="1:20" ht="18.75" hidden="1" customHeight="1">
      <c r="B26" s="446" t="s">
        <v>36</v>
      </c>
      <c r="C26" s="211" t="s">
        <v>37</v>
      </c>
      <c r="D26" s="172"/>
      <c r="E26" s="250"/>
      <c r="F26" s="172"/>
      <c r="G26" s="173">
        <v>20000</v>
      </c>
      <c r="H26" s="174"/>
      <c r="I26" s="175"/>
      <c r="J26" s="176"/>
      <c r="K26" s="177"/>
      <c r="L26" s="177"/>
      <c r="M26" s="177"/>
      <c r="N26" s="177"/>
      <c r="O26" s="459"/>
      <c r="P26" s="121"/>
      <c r="R26" s="123"/>
    </row>
    <row r="27" spans="1:20" ht="18.75" hidden="1" customHeight="1">
      <c r="B27" s="451" t="s">
        <v>33</v>
      </c>
      <c r="C27" s="184" t="s">
        <v>38</v>
      </c>
      <c r="D27" s="181"/>
      <c r="E27" s="25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93"/>
    </row>
    <row r="28" spans="1:20" ht="18.75" customHeight="1">
      <c r="B28" s="453" t="s">
        <v>36</v>
      </c>
      <c r="C28" s="230" t="s">
        <v>169</v>
      </c>
      <c r="D28" s="184"/>
      <c r="E28" s="252"/>
      <c r="F28" s="185"/>
      <c r="G28" s="185"/>
      <c r="H28" s="186"/>
      <c r="I28" s="808" t="s">
        <v>41</v>
      </c>
      <c r="J28" s="808"/>
      <c r="K28" s="809">
        <f>P2+K24+K27</f>
        <v>4500</v>
      </c>
      <c r="L28" s="809"/>
      <c r="M28" s="809"/>
      <c r="N28" s="809"/>
      <c r="O28" s="810"/>
    </row>
    <row r="29" spans="1:20" ht="18.75" customHeight="1">
      <c r="B29" s="454" t="s">
        <v>42</v>
      </c>
      <c r="C29" s="187"/>
      <c r="D29" s="723" t="s">
        <v>43</v>
      </c>
      <c r="E29" s="253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13"/>
    </row>
    <row r="30" spans="1:20" s="73" customFormat="1" ht="18.75" customHeight="1">
      <c r="B30" s="455"/>
      <c r="C30" s="47"/>
      <c r="D30" s="141"/>
      <c r="E30" s="254"/>
      <c r="F30" s="141"/>
      <c r="G30" s="47"/>
      <c r="H30" s="790"/>
      <c r="I30" s="791"/>
      <c r="J30" s="792"/>
      <c r="K30" s="793"/>
      <c r="L30" s="793"/>
      <c r="M30" s="793"/>
      <c r="N30" s="793"/>
      <c r="O30" s="794"/>
      <c r="R30" s="110"/>
    </row>
    <row r="31" spans="1:20" ht="18.75" customHeight="1">
      <c r="B31" s="890" t="s">
        <v>113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5"/>
      <c r="L31" s="795"/>
      <c r="M31" s="795"/>
      <c r="N31" s="795"/>
      <c r="O31" s="796"/>
    </row>
    <row r="32" spans="1:20" ht="18.75" customHeight="1">
      <c r="B32" s="821" t="s">
        <v>47</v>
      </c>
      <c r="C32" s="822"/>
      <c r="D32" s="823" t="s">
        <v>48</v>
      </c>
      <c r="E32" s="822"/>
      <c r="F32" s="823" t="s">
        <v>49</v>
      </c>
      <c r="G32" s="822"/>
      <c r="H32" s="824" t="s">
        <v>50</v>
      </c>
      <c r="I32" s="823"/>
      <c r="J32" s="822"/>
      <c r="K32" s="827" t="s">
        <v>51</v>
      </c>
      <c r="L32" s="828"/>
      <c r="M32" s="828"/>
      <c r="N32" s="828"/>
      <c r="O32" s="829"/>
      <c r="R32" s="74"/>
    </row>
    <row r="33" spans="2:19">
      <c r="B33" s="89"/>
      <c r="C33" s="89"/>
      <c r="D33" s="89"/>
      <c r="E33" s="255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256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5" spans="2:19">
      <c r="C35" s="118"/>
    </row>
    <row r="36" spans="2:19" ht="15.75">
      <c r="J36" s="12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91"/>
      <c r="D39" s="128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1"/>
      <c r="R39" s="74"/>
    </row>
    <row r="40" spans="2:19" ht="18.75" customHeight="1">
      <c r="B40" s="91"/>
      <c r="C40" s="119"/>
      <c r="D40" s="91"/>
      <c r="E40" s="830"/>
      <c r="F40" s="830"/>
      <c r="G40" s="830"/>
      <c r="H40" s="830"/>
      <c r="I40" s="830"/>
      <c r="J40" s="830"/>
      <c r="K40" s="110"/>
      <c r="L40" s="110"/>
      <c r="M40" s="110"/>
      <c r="N40" s="110"/>
      <c r="O40" s="112"/>
      <c r="R40" s="74"/>
    </row>
    <row r="41" spans="2:19" ht="18.75" customHeight="1">
      <c r="B41" s="92"/>
      <c r="C41" s="92"/>
      <c r="D41" s="92"/>
      <c r="E41" s="257"/>
      <c r="F41" s="92"/>
      <c r="G41" s="93"/>
      <c r="H41" s="131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258"/>
      <c r="F42" s="94"/>
      <c r="G42" s="95"/>
      <c r="H42" s="130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43"/>
      <c r="I43" s="843"/>
      <c r="J43" s="843"/>
      <c r="K43" s="834"/>
      <c r="L43" s="834"/>
      <c r="M43" s="834"/>
      <c r="N43" s="834"/>
      <c r="O43" s="834"/>
      <c r="R43" s="74"/>
    </row>
    <row r="44" spans="2:19" ht="18.75" customHeight="1">
      <c r="B44" s="717"/>
      <c r="C44" s="717"/>
      <c r="D44" s="717"/>
      <c r="E44" s="259"/>
      <c r="F44" s="717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26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258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90"/>
      <c r="K50" s="190"/>
      <c r="L50" s="190"/>
      <c r="M50" s="190"/>
      <c r="N50" s="190"/>
      <c r="O50" s="737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116"/>
    </row>
    <row r="52" spans="2:18" ht="18.75" customHeight="1">
      <c r="B52" s="190"/>
      <c r="C52" s="190"/>
      <c r="D52" s="190"/>
      <c r="E52" s="260"/>
      <c r="F52" s="190"/>
      <c r="G52" s="96"/>
      <c r="H52" s="96"/>
      <c r="I52" s="96"/>
      <c r="J52" s="115"/>
      <c r="K52" s="115"/>
      <c r="L52" s="115"/>
      <c r="M52" s="115"/>
      <c r="N52" s="115"/>
      <c r="O52" s="737"/>
    </row>
    <row r="53" spans="2:18" ht="18.75" customHeight="1">
      <c r="B53" s="96"/>
      <c r="C53" s="96"/>
      <c r="D53" s="96"/>
      <c r="E53" s="261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258"/>
      <c r="F54" s="94"/>
      <c r="G54" s="95"/>
      <c r="H54" s="96"/>
      <c r="I54" s="96"/>
      <c r="J54" s="736"/>
      <c r="K54" s="839"/>
      <c r="L54" s="839"/>
      <c r="M54" s="839"/>
      <c r="N54" s="839"/>
      <c r="O54" s="839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37"/>
      <c r="K55" s="838"/>
      <c r="L55" s="838"/>
      <c r="M55" s="838"/>
      <c r="N55" s="838"/>
      <c r="O55" s="838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6"/>
      <c r="K56" s="839"/>
      <c r="L56" s="839"/>
      <c r="M56" s="839"/>
      <c r="N56" s="839"/>
      <c r="O56" s="839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7"/>
      <c r="K57" s="838"/>
      <c r="L57" s="838"/>
      <c r="M57" s="838"/>
      <c r="N57" s="838"/>
      <c r="O57" s="838"/>
    </row>
    <row r="58" spans="2:18" ht="18.75" customHeight="1">
      <c r="B58" s="190"/>
      <c r="C58" s="190"/>
      <c r="D58" s="190"/>
      <c r="E58" s="260"/>
      <c r="F58" s="190"/>
      <c r="G58" s="96"/>
      <c r="H58" s="96"/>
      <c r="I58" s="96"/>
      <c r="J58" s="736"/>
      <c r="K58" s="839"/>
      <c r="L58" s="839"/>
      <c r="M58" s="839"/>
      <c r="N58" s="839"/>
      <c r="O58" s="839"/>
    </row>
    <row r="59" spans="2:18" ht="18.75" customHeight="1">
      <c r="B59" s="99"/>
      <c r="C59" s="99"/>
      <c r="D59" s="99"/>
      <c r="E59" s="262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34"/>
      <c r="C60" s="734"/>
      <c r="D60" s="734"/>
      <c r="E60" s="263"/>
      <c r="F60" s="734"/>
      <c r="G60" s="734"/>
      <c r="H60" s="101"/>
      <c r="I60" s="101"/>
      <c r="J60" s="734"/>
      <c r="K60" s="734"/>
      <c r="L60" s="734"/>
      <c r="M60" s="734"/>
      <c r="N60" s="734"/>
      <c r="O60" s="113"/>
    </row>
    <row r="61" spans="2:18" s="73" customFormat="1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261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59">
    <mergeCell ref="I9:J9"/>
    <mergeCell ref="D2:J5"/>
    <mergeCell ref="K2:O2"/>
    <mergeCell ref="L3:O3"/>
    <mergeCell ref="L4:O4"/>
    <mergeCell ref="L5:O5"/>
    <mergeCell ref="K20:O20"/>
    <mergeCell ref="B10:C10"/>
    <mergeCell ref="D10:H10"/>
    <mergeCell ref="I10:J10"/>
    <mergeCell ref="D11:H11"/>
    <mergeCell ref="I11:J11"/>
    <mergeCell ref="B14:G14"/>
    <mergeCell ref="K14:O14"/>
    <mergeCell ref="K15:O15"/>
    <mergeCell ref="K16:O16"/>
    <mergeCell ref="K17:O17"/>
    <mergeCell ref="K19:O19"/>
    <mergeCell ref="B31:C31"/>
    <mergeCell ref="D31:E31"/>
    <mergeCell ref="F31:G31"/>
    <mergeCell ref="H31:J31"/>
    <mergeCell ref="K21:O21"/>
    <mergeCell ref="K22:O22"/>
    <mergeCell ref="K23:O23"/>
    <mergeCell ref="I24:J24"/>
    <mergeCell ref="K24:O24"/>
    <mergeCell ref="I27:J27"/>
    <mergeCell ref="K27:O27"/>
    <mergeCell ref="E37:J40"/>
    <mergeCell ref="K37:O37"/>
    <mergeCell ref="I28:J28"/>
    <mergeCell ref="K28:O28"/>
    <mergeCell ref="H29:O29"/>
    <mergeCell ref="H30:J30"/>
    <mergeCell ref="K30:O31"/>
    <mergeCell ref="B32:C32"/>
    <mergeCell ref="D32:E32"/>
    <mergeCell ref="F32:G32"/>
    <mergeCell ref="H32:J32"/>
    <mergeCell ref="K32:O32"/>
    <mergeCell ref="K57:O57"/>
    <mergeCell ref="C43:G43"/>
    <mergeCell ref="H43:J43"/>
    <mergeCell ref="K43:O43"/>
    <mergeCell ref="H44:J44"/>
    <mergeCell ref="K44:O44"/>
    <mergeCell ref="C45:O45"/>
    <mergeCell ref="B48:G48"/>
    <mergeCell ref="K54:O54"/>
    <mergeCell ref="B55:G55"/>
    <mergeCell ref="K55:O55"/>
    <mergeCell ref="K56:O56"/>
    <mergeCell ref="K58:O58"/>
    <mergeCell ref="B63:C63"/>
    <mergeCell ref="D63:E63"/>
    <mergeCell ref="F63:G63"/>
    <mergeCell ref="H63:J63"/>
    <mergeCell ref="K63:O63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82D1-DB5B-4275-9D19-DDDDD5F13EE0}">
  <sheetPr>
    <pageSetUpPr fitToPage="1"/>
  </sheetPr>
  <dimension ref="A1:T62"/>
  <sheetViews>
    <sheetView showGridLines="0" view="pageBreakPreview" zoomScale="70" zoomScaleNormal="100" zoomScaleSheetLayoutView="70" workbookViewId="0">
      <selection activeCell="C27" sqref="C27"/>
    </sheetView>
  </sheetViews>
  <sheetFormatPr defaultColWidth="9.25" defaultRowHeight="12.75"/>
  <cols>
    <col min="1" max="1" width="2.375" style="74" customWidth="1"/>
    <col min="2" max="2" width="17.875" style="74" customWidth="1"/>
    <col min="3" max="3" width="15.875" style="74" customWidth="1"/>
    <col min="4" max="4" width="13.7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7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8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1:18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1:18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1:18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1:18" ht="18.75" customHeight="1">
      <c r="B6" s="144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1:18" ht="18.75" customHeight="1">
      <c r="B7" s="147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1:18" ht="18.75" customHeight="1">
      <c r="B8" s="414" t="s">
        <v>9</v>
      </c>
      <c r="C8" s="378" t="s">
        <v>10</v>
      </c>
      <c r="D8" s="488"/>
      <c r="E8" s="489"/>
      <c r="F8" s="363"/>
      <c r="G8" s="363"/>
      <c r="H8" s="490"/>
      <c r="I8" s="752" t="s">
        <v>11</v>
      </c>
      <c r="J8" s="752"/>
      <c r="K8" s="152" t="s">
        <v>141</v>
      </c>
      <c r="L8" s="127"/>
      <c r="M8" s="127"/>
      <c r="N8" s="127"/>
      <c r="O8" s="132"/>
      <c r="R8" s="74"/>
    </row>
    <row r="9" spans="1:18" ht="18.75" customHeight="1">
      <c r="B9" s="1063" t="s">
        <v>13</v>
      </c>
      <c r="C9" s="776"/>
      <c r="D9" s="769"/>
      <c r="E9" s="769"/>
      <c r="F9" s="769"/>
      <c r="G9" s="769"/>
      <c r="H9" s="770"/>
      <c r="I9" s="771" t="s">
        <v>14</v>
      </c>
      <c r="J9" s="772"/>
      <c r="K9" s="54"/>
      <c r="L9" s="54"/>
      <c r="M9" s="136"/>
      <c r="N9" s="136"/>
      <c r="O9" s="55"/>
      <c r="R9" s="74"/>
    </row>
    <row r="10" spans="1:18" ht="18.75" customHeight="1">
      <c r="B10" s="191" t="s">
        <v>15</v>
      </c>
      <c r="D10" s="773"/>
      <c r="E10" s="773"/>
      <c r="F10" s="773"/>
      <c r="G10" s="773"/>
      <c r="H10" s="774"/>
      <c r="I10" s="775" t="s">
        <v>16</v>
      </c>
      <c r="J10" s="776"/>
      <c r="K10" s="137" t="s">
        <v>201</v>
      </c>
      <c r="L10" s="137"/>
      <c r="M10" s="138"/>
      <c r="N10" s="138"/>
      <c r="O10" s="139"/>
      <c r="Q10" s="74" t="s">
        <v>62</v>
      </c>
      <c r="R10" s="56" t="s">
        <v>197</v>
      </c>
    </row>
    <row r="11" spans="1:18" ht="18.75" customHeight="1">
      <c r="B11" s="140"/>
      <c r="C11" s="15"/>
      <c r="D11" s="189"/>
      <c r="E11" s="245"/>
      <c r="F11" s="189"/>
      <c r="G11" s="129"/>
      <c r="H11" s="141"/>
      <c r="I11" s="141"/>
      <c r="J11" s="189"/>
      <c r="K11" s="189"/>
      <c r="L11" s="189"/>
      <c r="M11" s="189"/>
      <c r="N11" s="189"/>
      <c r="O11" s="142"/>
      <c r="Q11" s="74" t="s">
        <v>64</v>
      </c>
      <c r="R11" s="192"/>
    </row>
    <row r="12" spans="1:18" ht="18.75" customHeight="1">
      <c r="B12" s="153" t="s">
        <v>18</v>
      </c>
      <c r="C12" s="76"/>
      <c r="D12" s="76"/>
      <c r="E12" s="24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1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66"/>
      <c r="R13" s="74"/>
    </row>
    <row r="14" spans="1:18" ht="18.75" customHeight="1">
      <c r="B14" s="237"/>
      <c r="C14" s="229"/>
      <c r="D14" s="229"/>
      <c r="E14" s="247"/>
      <c r="F14" s="229"/>
      <c r="G14" s="229"/>
      <c r="H14" s="231"/>
      <c r="I14" s="157"/>
      <c r="J14" s="60"/>
      <c r="K14" s="781"/>
      <c r="L14" s="781"/>
      <c r="M14" s="781"/>
      <c r="N14" s="781"/>
      <c r="O14" s="867"/>
      <c r="R14" s="74"/>
    </row>
    <row r="15" spans="1:18" s="197" customFormat="1" ht="18.75" customHeight="1">
      <c r="B15" s="239"/>
      <c r="C15" s="235"/>
      <c r="D15" s="236"/>
      <c r="E15" s="248"/>
      <c r="F15" s="24"/>
      <c r="G15" s="24"/>
      <c r="H15" s="232"/>
      <c r="I15" s="718"/>
      <c r="J15" s="199"/>
      <c r="K15" s="783"/>
      <c r="L15" s="783"/>
      <c r="M15" s="783"/>
      <c r="N15" s="783"/>
      <c r="O15" s="887"/>
    </row>
    <row r="16" spans="1:18" s="197" customFormat="1" ht="18.75" customHeight="1">
      <c r="B16" s="713" t="s">
        <v>202</v>
      </c>
      <c r="C16" s="235"/>
      <c r="D16" s="236"/>
      <c r="E16" s="248"/>
      <c r="F16" s="24"/>
      <c r="G16" s="24"/>
      <c r="H16" s="232" t="s">
        <v>25</v>
      </c>
      <c r="I16" s="718" t="s">
        <v>118</v>
      </c>
      <c r="J16" s="199" t="s">
        <v>27</v>
      </c>
      <c r="K16" s="1064">
        <v>2991</v>
      </c>
      <c r="L16" s="1065"/>
      <c r="M16" s="1065"/>
      <c r="N16" s="1065"/>
      <c r="O16" s="1066"/>
    </row>
    <row r="17" spans="2:20" s="197" customFormat="1" ht="18.75" customHeight="1">
      <c r="B17" s="714" t="s">
        <v>203</v>
      </c>
      <c r="C17" s="341"/>
      <c r="D17" s="236"/>
      <c r="E17" s="248"/>
      <c r="F17" s="24"/>
      <c r="G17" s="24"/>
      <c r="H17" s="232"/>
      <c r="I17" s="718"/>
      <c r="J17" s="199"/>
      <c r="K17" s="724"/>
      <c r="L17" s="724"/>
      <c r="M17" s="724"/>
      <c r="N17" s="724"/>
      <c r="O17" s="368"/>
    </row>
    <row r="18" spans="2:20" s="197" customFormat="1" ht="18.75" customHeight="1">
      <c r="B18" s="277"/>
      <c r="C18" s="278"/>
      <c r="D18" s="200"/>
      <c r="E18" s="271"/>
      <c r="F18" s="24"/>
      <c r="G18" s="24"/>
      <c r="H18" s="232"/>
      <c r="I18" s="718"/>
      <c r="J18" s="199"/>
      <c r="K18" s="765"/>
      <c r="L18" s="765"/>
      <c r="M18" s="765"/>
      <c r="N18" s="765"/>
      <c r="O18" s="888"/>
    </row>
    <row r="19" spans="2:20" s="197" customFormat="1" ht="18.75" customHeight="1">
      <c r="B19" s="240"/>
      <c r="C19" s="275"/>
      <c r="D19" s="200"/>
      <c r="E19" s="248"/>
      <c r="F19" s="24"/>
      <c r="G19" s="24"/>
      <c r="H19" s="232"/>
      <c r="I19" s="718"/>
      <c r="J19" s="199"/>
      <c r="K19" s="797"/>
      <c r="L19" s="797"/>
      <c r="M19" s="797"/>
      <c r="N19" s="797"/>
      <c r="O19" s="886"/>
    </row>
    <row r="20" spans="2:20" s="197" customFormat="1" ht="18.75" customHeight="1">
      <c r="B20" s="240"/>
      <c r="C20" s="275"/>
      <c r="D20" s="200"/>
      <c r="E20" s="248"/>
      <c r="F20" s="24"/>
      <c r="G20" s="24"/>
      <c r="H20" s="232"/>
      <c r="I20" s="718"/>
      <c r="J20" s="199"/>
      <c r="K20" s="797"/>
      <c r="L20" s="797"/>
      <c r="M20" s="797"/>
      <c r="N20" s="797"/>
      <c r="O20" s="886"/>
    </row>
    <row r="21" spans="2:20" s="269" customFormat="1" ht="18.75" customHeight="1">
      <c r="B21" s="264"/>
      <c r="C21" s="276"/>
      <c r="D21" s="265"/>
      <c r="E21" s="272"/>
      <c r="F21" s="226"/>
      <c r="G21" s="226"/>
      <c r="H21" s="266"/>
      <c r="I21" s="267"/>
      <c r="J21" s="268"/>
      <c r="K21" s="799"/>
      <c r="L21" s="799"/>
      <c r="M21" s="799"/>
      <c r="N21" s="799"/>
      <c r="O21" s="921"/>
    </row>
    <row r="22" spans="2:20" s="197" customFormat="1" ht="18.75" customHeight="1">
      <c r="B22" s="238"/>
      <c r="C22" s="275"/>
      <c r="D22" s="200"/>
      <c r="E22" s="273"/>
      <c r="F22" s="24"/>
      <c r="G22" s="24"/>
      <c r="H22" s="232"/>
      <c r="I22" s="718"/>
      <c r="J22" s="199"/>
      <c r="K22" s="891"/>
      <c r="L22" s="797"/>
      <c r="M22" s="797"/>
      <c r="N22" s="797"/>
      <c r="O22" s="886"/>
    </row>
    <row r="23" spans="2:20" ht="18.75" customHeight="1">
      <c r="B23" s="204" t="s">
        <v>31</v>
      </c>
      <c r="C23" s="210"/>
      <c r="D23" s="205"/>
      <c r="E23" s="258"/>
      <c r="F23" s="205"/>
      <c r="G23" s="206"/>
      <c r="H23" s="207"/>
      <c r="I23" s="882" t="s">
        <v>32</v>
      </c>
      <c r="J23" s="883"/>
      <c r="K23" s="884">
        <f>SUM(K15:O22)</f>
        <v>2991</v>
      </c>
      <c r="L23" s="884"/>
      <c r="M23" s="884"/>
      <c r="N23" s="884"/>
      <c r="O23" s="885"/>
      <c r="P23" s="121">
        <f>SUM(K15:O22)</f>
        <v>2991</v>
      </c>
      <c r="R23" s="123">
        <v>17892</v>
      </c>
    </row>
    <row r="24" spans="2:20" ht="18.75" customHeight="1">
      <c r="B24" s="37" t="s">
        <v>33</v>
      </c>
      <c r="C24" s="279" t="s">
        <v>204</v>
      </c>
      <c r="D24" s="14"/>
      <c r="E24" s="249"/>
      <c r="F24" s="34"/>
      <c r="G24" s="35"/>
      <c r="H24" s="36"/>
      <c r="I24" s="734"/>
      <c r="J24" s="169"/>
      <c r="K24" s="170"/>
      <c r="L24" s="170"/>
      <c r="M24" s="170"/>
      <c r="N24" s="170"/>
      <c r="O24" s="171"/>
      <c r="P24" s="121"/>
      <c r="R24" s="123"/>
      <c r="T24" s="74" t="s">
        <v>35</v>
      </c>
    </row>
    <row r="25" spans="2:20" ht="18.75" hidden="1" customHeight="1">
      <c r="B25" s="167" t="s">
        <v>36</v>
      </c>
      <c r="C25" s="211" t="s">
        <v>37</v>
      </c>
      <c r="D25" s="172"/>
      <c r="E25" s="250"/>
      <c r="F25" s="172"/>
      <c r="G25" s="173">
        <v>20000</v>
      </c>
      <c r="H25" s="174"/>
      <c r="I25" s="175"/>
      <c r="J25" s="176"/>
      <c r="K25" s="177"/>
      <c r="L25" s="177"/>
      <c r="M25" s="177"/>
      <c r="N25" s="177"/>
      <c r="O25" s="178"/>
      <c r="P25" s="121"/>
      <c r="R25" s="123"/>
    </row>
    <row r="26" spans="2:20" ht="18.75" hidden="1" customHeight="1">
      <c r="B26" s="179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57"/>
    </row>
    <row r="27" spans="2:20" ht="18.75" customHeight="1">
      <c r="B27" s="183" t="s">
        <v>36</v>
      </c>
      <c r="C27" s="230" t="s">
        <v>122</v>
      </c>
      <c r="D27" s="184"/>
      <c r="E27" s="252"/>
      <c r="F27" s="185"/>
      <c r="G27" s="185"/>
      <c r="H27" s="186"/>
      <c r="I27" s="808" t="s">
        <v>41</v>
      </c>
      <c r="J27" s="808"/>
      <c r="K27" s="809">
        <f>P2+K23+K26</f>
        <v>2991</v>
      </c>
      <c r="L27" s="809"/>
      <c r="M27" s="809"/>
      <c r="N27" s="809"/>
      <c r="O27" s="858"/>
    </row>
    <row r="28" spans="2:20" ht="18.75" customHeight="1">
      <c r="B28" s="722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59"/>
    </row>
    <row r="29" spans="2:20" s="73" customFormat="1" ht="18.75" customHeight="1">
      <c r="B29" s="46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845"/>
      <c r="R29" s="110"/>
    </row>
    <row r="30" spans="2:20" ht="18.75" customHeight="1">
      <c r="B30" s="844" t="s">
        <v>113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920"/>
    </row>
    <row r="31" spans="2:20" ht="18.75" customHeight="1">
      <c r="B31" s="840" t="s">
        <v>47</v>
      </c>
      <c r="C31" s="842"/>
      <c r="D31" s="841" t="s">
        <v>48</v>
      </c>
      <c r="E31" s="842"/>
      <c r="F31" s="841" t="s">
        <v>49</v>
      </c>
      <c r="G31" s="842"/>
      <c r="H31" s="840" t="s">
        <v>50</v>
      </c>
      <c r="I31" s="841"/>
      <c r="J31" s="842"/>
      <c r="K31" s="922" t="s">
        <v>51</v>
      </c>
      <c r="L31" s="923"/>
      <c r="M31" s="923"/>
      <c r="N31" s="923"/>
      <c r="O31" s="924"/>
      <c r="R31" s="74"/>
    </row>
    <row r="32" spans="2:20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74"/>
    </row>
    <row r="33" spans="2:19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74"/>
    </row>
    <row r="34" spans="2:19">
      <c r="C34" s="118"/>
    </row>
    <row r="35" spans="2:19" ht="15.75">
      <c r="J35" s="122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74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74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59">
    <mergeCell ref="K57:O57"/>
    <mergeCell ref="B62:C62"/>
    <mergeCell ref="D62:E62"/>
    <mergeCell ref="F62:G62"/>
    <mergeCell ref="H62:J62"/>
    <mergeCell ref="K62:O62"/>
    <mergeCell ref="K56:O56"/>
    <mergeCell ref="C42:G42"/>
    <mergeCell ref="H42:J42"/>
    <mergeCell ref="K42:O42"/>
    <mergeCell ref="H43:J43"/>
    <mergeCell ref="K43:O43"/>
    <mergeCell ref="C44:O44"/>
    <mergeCell ref="B47:G47"/>
    <mergeCell ref="K53:O53"/>
    <mergeCell ref="B54:G54"/>
    <mergeCell ref="K54:O54"/>
    <mergeCell ref="K55:O55"/>
    <mergeCell ref="B31:C31"/>
    <mergeCell ref="D31:E31"/>
    <mergeCell ref="F31:G31"/>
    <mergeCell ref="H31:J31"/>
    <mergeCell ref="K31:O31"/>
    <mergeCell ref="E36:J39"/>
    <mergeCell ref="K36:O36"/>
    <mergeCell ref="I27:J27"/>
    <mergeCell ref="K27:O27"/>
    <mergeCell ref="H28:O28"/>
    <mergeCell ref="H29:J29"/>
    <mergeCell ref="K29:O30"/>
    <mergeCell ref="B30:C30"/>
    <mergeCell ref="D30:E30"/>
    <mergeCell ref="F30:G30"/>
    <mergeCell ref="H30:J30"/>
    <mergeCell ref="K20:O20"/>
    <mergeCell ref="K21:O21"/>
    <mergeCell ref="K22:O22"/>
    <mergeCell ref="I23:J23"/>
    <mergeCell ref="K23:O23"/>
    <mergeCell ref="I26:J26"/>
    <mergeCell ref="K26:O26"/>
    <mergeCell ref="K19:O19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8:O18"/>
    <mergeCell ref="I8:J8"/>
    <mergeCell ref="D2:J5"/>
    <mergeCell ref="K2:O2"/>
    <mergeCell ref="L3:O3"/>
    <mergeCell ref="L4:O4"/>
    <mergeCell ref="L5:O5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597A-D57F-48A6-BF3C-167125297963}">
  <sheetPr>
    <pageSetUpPr fitToPage="1"/>
  </sheetPr>
  <dimension ref="A1:T62"/>
  <sheetViews>
    <sheetView showGridLines="0" view="pageBreakPreview" zoomScale="70" zoomScaleNormal="100" zoomScaleSheetLayoutView="70" workbookViewId="0">
      <selection activeCell="E17" sqref="E17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1:19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1:19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1:19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1:19" ht="18.75" customHeight="1">
      <c r="B6" s="144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1:19" ht="18.75" customHeight="1">
      <c r="B7" s="147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1:19" ht="18.75" customHeight="1">
      <c r="B8" s="274" t="s">
        <v>9</v>
      </c>
      <c r="C8" s="303" t="s">
        <v>205</v>
      </c>
      <c r="D8" s="195"/>
      <c r="E8" s="244"/>
      <c r="F8" s="15"/>
      <c r="G8" s="15"/>
      <c r="H8" s="16"/>
      <c r="I8" s="752" t="s">
        <v>11</v>
      </c>
      <c r="J8" s="752"/>
      <c r="K8" s="152" t="s">
        <v>206</v>
      </c>
      <c r="L8" s="127"/>
      <c r="M8" s="127"/>
      <c r="N8" s="127"/>
      <c r="O8" s="132"/>
      <c r="R8" s="74"/>
    </row>
    <row r="9" spans="1:19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1:19" ht="18.75" customHeight="1">
      <c r="B10" s="72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207</v>
      </c>
      <c r="L10" s="137"/>
      <c r="M10" s="138"/>
      <c r="N10" s="138"/>
      <c r="O10" s="139"/>
      <c r="Q10" s="74" t="s">
        <v>62</v>
      </c>
      <c r="R10" s="56" t="s">
        <v>208</v>
      </c>
    </row>
    <row r="11" spans="1:19" ht="18.75" customHeight="1">
      <c r="B11" s="280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282"/>
      <c r="Q11" s="74" t="s">
        <v>64</v>
      </c>
      <c r="R11" s="192"/>
    </row>
    <row r="12" spans="1:19" ht="18.75" customHeight="1">
      <c r="B12" s="312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284"/>
      <c r="R12" s="192"/>
    </row>
    <row r="13" spans="1:19" ht="30.6" customHeight="1">
      <c r="B13" s="916" t="s">
        <v>91</v>
      </c>
      <c r="C13" s="912"/>
      <c r="D13" s="912"/>
      <c r="E13" s="912"/>
      <c r="F13" s="912"/>
      <c r="G13" s="913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917"/>
      <c r="R13" s="192"/>
    </row>
    <row r="14" spans="1:19" ht="18.75" customHeight="1">
      <c r="B14" s="325"/>
      <c r="C14" s="323"/>
      <c r="D14" s="323"/>
      <c r="E14" s="306"/>
      <c r="F14" s="323"/>
      <c r="G14" s="326"/>
      <c r="H14" s="319"/>
      <c r="I14" s="157"/>
      <c r="J14" s="285"/>
      <c r="K14" s="914"/>
      <c r="L14" s="781"/>
      <c r="M14" s="781"/>
      <c r="N14" s="781"/>
      <c r="O14" s="867"/>
      <c r="R14" s="192"/>
    </row>
    <row r="15" spans="1:19" s="197" customFormat="1" ht="18.75" customHeight="1">
      <c r="B15" s="316"/>
      <c r="C15" s="270"/>
      <c r="D15" s="324"/>
      <c r="E15" s="298"/>
      <c r="F15" s="323"/>
      <c r="G15" s="323"/>
      <c r="H15" s="320"/>
      <c r="I15" s="718"/>
      <c r="J15" s="199"/>
      <c r="K15" s="904"/>
      <c r="L15" s="904"/>
      <c r="M15" s="904"/>
      <c r="N15" s="904"/>
      <c r="O15" s="918"/>
      <c r="R15" s="192"/>
      <c r="S15" s="311"/>
    </row>
    <row r="16" spans="1:19" s="197" customFormat="1" ht="18.75" customHeight="1">
      <c r="B16" s="340" t="s">
        <v>209</v>
      </c>
      <c r="C16" s="342"/>
      <c r="D16" s="342"/>
      <c r="E16" s="342"/>
      <c r="F16" s="342"/>
      <c r="G16" s="343"/>
      <c r="H16" s="320" t="s">
        <v>25</v>
      </c>
      <c r="I16" s="718" t="s">
        <v>26</v>
      </c>
      <c r="J16" s="199" t="s">
        <v>27</v>
      </c>
      <c r="K16" s="897">
        <v>13150</v>
      </c>
      <c r="L16" s="898"/>
      <c r="M16" s="898"/>
      <c r="N16" s="898"/>
      <c r="O16" s="919"/>
      <c r="R16" s="192"/>
    </row>
    <row r="17" spans="2:20" s="197" customFormat="1" ht="20.25" customHeight="1">
      <c r="B17" s="351" t="s">
        <v>210</v>
      </c>
      <c r="C17" s="304"/>
      <c r="D17" s="302"/>
      <c r="E17" s="302"/>
      <c r="F17" s="1068"/>
      <c r="G17" s="1069"/>
      <c r="H17" s="320"/>
      <c r="I17" s="718"/>
      <c r="J17" s="199"/>
      <c r="K17" s="897"/>
      <c r="L17" s="898"/>
      <c r="M17" s="898"/>
      <c r="N17" s="898"/>
      <c r="O17" s="919"/>
      <c r="R17" s="192"/>
    </row>
    <row r="18" spans="2:20" s="197" customFormat="1" ht="22.5" customHeight="1">
      <c r="B18" s="327"/>
      <c r="C18" s="305"/>
      <c r="D18" s="296"/>
      <c r="E18" s="297"/>
      <c r="F18" s="323"/>
      <c r="G18" s="323"/>
      <c r="H18" s="320"/>
      <c r="I18" s="718"/>
      <c r="J18" s="199"/>
      <c r="K18" s="909"/>
      <c r="L18" s="909"/>
      <c r="M18" s="909"/>
      <c r="N18" s="909"/>
      <c r="O18" s="915"/>
      <c r="R18" s="192"/>
      <c r="S18" s="311"/>
    </row>
    <row r="19" spans="2:20" s="197" customFormat="1" ht="18.75" customHeight="1">
      <c r="B19" s="1067" t="s">
        <v>111</v>
      </c>
      <c r="C19" s="908"/>
      <c r="D19" s="296"/>
      <c r="E19" s="298"/>
      <c r="F19" s="323"/>
      <c r="G19" s="323"/>
      <c r="H19" s="320"/>
      <c r="I19" s="718"/>
      <c r="J19" s="199"/>
      <c r="K19" s="797"/>
      <c r="L19" s="797"/>
      <c r="M19" s="797"/>
      <c r="N19" s="797"/>
      <c r="O19" s="886"/>
      <c r="R19" s="192"/>
    </row>
    <row r="20" spans="2:20" s="197" customFormat="1" ht="18.75" customHeight="1">
      <c r="B20" s="329"/>
      <c r="C20" s="299"/>
      <c r="D20" s="296"/>
      <c r="E20" s="298"/>
      <c r="F20" s="323"/>
      <c r="G20" s="323"/>
      <c r="H20" s="320"/>
      <c r="I20" s="718"/>
      <c r="J20" s="199"/>
      <c r="K20" s="797"/>
      <c r="L20" s="797"/>
      <c r="M20" s="797"/>
      <c r="N20" s="797"/>
      <c r="O20" s="886"/>
      <c r="R20" s="192"/>
    </row>
    <row r="21" spans="2:20" s="269" customFormat="1" ht="18.75" customHeight="1">
      <c r="B21" s="330"/>
      <c r="C21" s="331"/>
      <c r="D21" s="332"/>
      <c r="E21" s="333"/>
      <c r="F21" s="334"/>
      <c r="G21" s="334"/>
      <c r="H21" s="321"/>
      <c r="I21" s="267"/>
      <c r="J21" s="268"/>
      <c r="K21" s="906"/>
      <c r="L21" s="799"/>
      <c r="M21" s="799"/>
      <c r="N21" s="799"/>
      <c r="O21" s="921"/>
      <c r="R21" s="192"/>
    </row>
    <row r="22" spans="2:20" s="197" customFormat="1" ht="18.75" customHeight="1">
      <c r="B22" s="335"/>
      <c r="C22" s="336"/>
      <c r="D22" s="337"/>
      <c r="E22" s="338"/>
      <c r="F22" s="339"/>
      <c r="G22" s="339"/>
      <c r="H22" s="322"/>
      <c r="I22" s="718"/>
      <c r="J22" s="199"/>
      <c r="K22" s="891"/>
      <c r="L22" s="797"/>
      <c r="M22" s="797"/>
      <c r="N22" s="797"/>
      <c r="O22" s="886"/>
      <c r="R22" s="192"/>
    </row>
    <row r="23" spans="2:20" ht="18.75" customHeight="1">
      <c r="B23" s="167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13150</v>
      </c>
      <c r="L23" s="884"/>
      <c r="M23" s="884"/>
      <c r="N23" s="884"/>
      <c r="O23" s="885"/>
      <c r="P23" s="121">
        <f>SUM(K15:O22)</f>
        <v>13150</v>
      </c>
      <c r="R23" s="309" t="s">
        <v>97</v>
      </c>
    </row>
    <row r="24" spans="2:20" ht="18.75" customHeight="1">
      <c r="B24" s="310" t="s">
        <v>33</v>
      </c>
      <c r="C24" s="378" t="s">
        <v>211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171"/>
      <c r="P24" s="121"/>
      <c r="R24" s="308"/>
      <c r="T24" s="74" t="s">
        <v>35</v>
      </c>
    </row>
    <row r="25" spans="2:20" ht="18.75" hidden="1" customHeight="1">
      <c r="B25" s="167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178"/>
      <c r="P25" s="121"/>
      <c r="R25" s="192"/>
    </row>
    <row r="26" spans="2:20" ht="18.75" hidden="1" customHeight="1">
      <c r="B26" s="179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57"/>
      <c r="R26" s="308"/>
    </row>
    <row r="27" spans="2:20" ht="25.5" customHeight="1">
      <c r="B27" s="183" t="s">
        <v>36</v>
      </c>
      <c r="C27" s="230" t="s">
        <v>99</v>
      </c>
      <c r="D27" s="307"/>
      <c r="E27" s="307"/>
      <c r="F27" s="185"/>
      <c r="G27" s="185"/>
      <c r="H27" s="186"/>
      <c r="I27" s="808" t="s">
        <v>41</v>
      </c>
      <c r="J27" s="808"/>
      <c r="K27" s="809">
        <f>P2+K23+K26</f>
        <v>13150</v>
      </c>
      <c r="L27" s="809"/>
      <c r="M27" s="809"/>
      <c r="N27" s="809"/>
      <c r="O27" s="858"/>
      <c r="R27" s="308"/>
    </row>
    <row r="28" spans="2:20" ht="18.75" customHeight="1">
      <c r="B28" s="722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59"/>
      <c r="R28" s="308"/>
    </row>
    <row r="29" spans="2:20" s="73" customFormat="1" ht="18.75" customHeight="1">
      <c r="B29" s="46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845"/>
      <c r="R29" s="308"/>
    </row>
    <row r="30" spans="2:20" ht="18.75" customHeight="1">
      <c r="B30" s="844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920"/>
      <c r="R30" s="308"/>
    </row>
    <row r="31" spans="2:20" ht="18.75" customHeight="1">
      <c r="B31" s="840" t="s">
        <v>47</v>
      </c>
      <c r="C31" s="842"/>
      <c r="D31" s="841" t="s">
        <v>48</v>
      </c>
      <c r="E31" s="842"/>
      <c r="F31" s="841" t="s">
        <v>49</v>
      </c>
      <c r="G31" s="842"/>
      <c r="H31" s="840" t="s">
        <v>50</v>
      </c>
      <c r="I31" s="841"/>
      <c r="J31" s="842"/>
      <c r="K31" s="922" t="s">
        <v>51</v>
      </c>
      <c r="L31" s="923"/>
      <c r="M31" s="923"/>
      <c r="N31" s="923"/>
      <c r="O31" s="924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2">
    <mergeCell ref="I8:J8"/>
    <mergeCell ref="D2:J5"/>
    <mergeCell ref="K2:O2"/>
    <mergeCell ref="L3:O3"/>
    <mergeCell ref="L4:O4"/>
    <mergeCell ref="L5:O5"/>
    <mergeCell ref="F17:G17"/>
    <mergeCell ref="K17:O17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8:O18"/>
    <mergeCell ref="B19:C19"/>
    <mergeCell ref="K19:O19"/>
    <mergeCell ref="K20:O20"/>
    <mergeCell ref="K21:O21"/>
    <mergeCell ref="K23:O23"/>
    <mergeCell ref="I23:J23"/>
    <mergeCell ref="K22:O22"/>
    <mergeCell ref="I26:J26"/>
    <mergeCell ref="K26:O26"/>
    <mergeCell ref="I27:J27"/>
    <mergeCell ref="K27:O27"/>
    <mergeCell ref="B30:C30"/>
    <mergeCell ref="D30:E30"/>
    <mergeCell ref="F30:G30"/>
    <mergeCell ref="H30:J30"/>
    <mergeCell ref="E36:J39"/>
    <mergeCell ref="K36:O36"/>
    <mergeCell ref="H28:O28"/>
    <mergeCell ref="H29:J29"/>
    <mergeCell ref="K29:O30"/>
    <mergeCell ref="B31:C31"/>
    <mergeCell ref="D31:E31"/>
    <mergeCell ref="F31:G31"/>
    <mergeCell ref="H31:J31"/>
    <mergeCell ref="K31:O31"/>
    <mergeCell ref="K56:O56"/>
    <mergeCell ref="C42:G42"/>
    <mergeCell ref="H42:J42"/>
    <mergeCell ref="K42:O42"/>
    <mergeCell ref="H43:J43"/>
    <mergeCell ref="K43:O43"/>
    <mergeCell ref="C44:O44"/>
    <mergeCell ref="B47:G47"/>
    <mergeCell ref="K53:O53"/>
    <mergeCell ref="B54:G54"/>
    <mergeCell ref="K54:O54"/>
    <mergeCell ref="K55:O55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37B2-A58E-4623-81F1-4993714E73A3}">
  <sheetPr>
    <pageSetUpPr fitToPage="1"/>
  </sheetPr>
  <dimension ref="A1:T62"/>
  <sheetViews>
    <sheetView showGridLines="0" view="pageBreakPreview" topLeftCell="S1" zoomScale="70" zoomScaleNormal="100" zoomScaleSheetLayoutView="70" workbookViewId="0">
      <selection activeCell="F16" sqref="F16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94" t="s">
        <v>9</v>
      </c>
      <c r="C8" s="303" t="s">
        <v>170</v>
      </c>
      <c r="D8" s="195"/>
      <c r="E8" s="244"/>
      <c r="F8" s="15"/>
      <c r="G8" s="15"/>
      <c r="H8" s="16"/>
      <c r="I8" s="752" t="s">
        <v>11</v>
      </c>
      <c r="J8" s="752"/>
      <c r="K8" s="152" t="s">
        <v>212</v>
      </c>
      <c r="L8" s="127"/>
      <c r="M8" s="127"/>
      <c r="N8" s="127"/>
      <c r="O8" s="434"/>
      <c r="R8" s="74"/>
    </row>
    <row r="9" spans="1:19" ht="18.75" customHeight="1">
      <c r="B9" s="894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213</v>
      </c>
      <c r="L10" s="137"/>
      <c r="M10" s="138"/>
      <c r="N10" s="138"/>
      <c r="O10" s="437"/>
      <c r="Q10" s="74" t="s">
        <v>62</v>
      </c>
      <c r="R10" s="56" t="s">
        <v>208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11" t="s">
        <v>91</v>
      </c>
      <c r="C13" s="912"/>
      <c r="D13" s="912"/>
      <c r="E13" s="912"/>
      <c r="F13" s="912"/>
      <c r="G13" s="913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495"/>
      <c r="C14" s="323"/>
      <c r="D14" s="323"/>
      <c r="E14" s="306"/>
      <c r="F14" s="323"/>
      <c r="G14" s="380"/>
      <c r="H14" s="319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496" t="s">
        <v>214</v>
      </c>
      <c r="C15" s="270"/>
      <c r="D15" s="324"/>
      <c r="E15" s="298"/>
      <c r="F15" s="323"/>
      <c r="G15" s="323"/>
      <c r="H15" s="320"/>
      <c r="I15" s="718"/>
      <c r="J15" s="199"/>
      <c r="K15" s="904"/>
      <c r="L15" s="904"/>
      <c r="M15" s="904"/>
      <c r="N15" s="904"/>
      <c r="O15" s="905"/>
      <c r="R15" s="192"/>
      <c r="S15" s="311"/>
    </row>
    <row r="16" spans="1:19" s="197" customFormat="1" ht="18.75" customHeight="1">
      <c r="B16" s="648" t="s">
        <v>215</v>
      </c>
      <c r="C16" s="342"/>
      <c r="D16" s="342"/>
      <c r="E16" s="342"/>
      <c r="F16" s="342"/>
      <c r="G16" s="343"/>
      <c r="H16" s="320" t="s">
        <v>25</v>
      </c>
      <c r="I16" s="718" t="s">
        <v>26</v>
      </c>
      <c r="J16" s="199" t="s">
        <v>27</v>
      </c>
      <c r="K16" s="897">
        <v>6288.54</v>
      </c>
      <c r="L16" s="898"/>
      <c r="M16" s="898"/>
      <c r="N16" s="898"/>
      <c r="O16" s="899"/>
      <c r="R16" s="192"/>
    </row>
    <row r="17" spans="2:20" s="197" customFormat="1" ht="20.25" customHeight="1">
      <c r="B17" s="648" t="s">
        <v>216</v>
      </c>
      <c r="C17" s="304"/>
      <c r="D17" s="415"/>
      <c r="E17" s="415"/>
      <c r="F17" s="1070"/>
      <c r="G17" s="1071"/>
      <c r="H17" s="320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648" t="s">
        <v>217</v>
      </c>
      <c r="C18" s="305"/>
      <c r="D18" s="296"/>
      <c r="E18" s="297"/>
      <c r="F18" s="323"/>
      <c r="G18" s="323"/>
      <c r="H18" s="320"/>
      <c r="I18" s="718"/>
      <c r="J18" s="199"/>
      <c r="K18" s="785"/>
      <c r="L18" s="785"/>
      <c r="M18" s="785"/>
      <c r="N18" s="785"/>
      <c r="O18" s="786"/>
      <c r="R18" s="192"/>
      <c r="S18" s="311"/>
    </row>
    <row r="19" spans="2:20" s="197" customFormat="1" ht="18.75" customHeight="1">
      <c r="B19" s="907" t="s">
        <v>111</v>
      </c>
      <c r="C19" s="908"/>
      <c r="D19" s="296"/>
      <c r="E19" s="298"/>
      <c r="F19" s="323"/>
      <c r="G19" s="323"/>
      <c r="H19" s="320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500"/>
      <c r="C20" s="299"/>
      <c r="D20" s="296"/>
      <c r="E20" s="298"/>
      <c r="F20" s="323"/>
      <c r="G20" s="323"/>
      <c r="H20" s="320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77"/>
      <c r="C21" s="331"/>
      <c r="D21" s="332"/>
      <c r="E21" s="333"/>
      <c r="F21" s="334"/>
      <c r="G21" s="334"/>
      <c r="H21" s="321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501"/>
      <c r="C22" s="336"/>
      <c r="D22" s="337"/>
      <c r="E22" s="338"/>
      <c r="F22" s="339"/>
      <c r="G22" s="339"/>
      <c r="H22" s="322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46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6288.54</v>
      </c>
      <c r="L23" s="884"/>
      <c r="M23" s="884"/>
      <c r="N23" s="884"/>
      <c r="O23" s="892"/>
      <c r="P23" s="121">
        <f>SUM(K15:O22)</f>
        <v>6288.54</v>
      </c>
      <c r="R23" s="309" t="s">
        <v>97</v>
      </c>
    </row>
    <row r="24" spans="2:20" ht="18.75" customHeight="1">
      <c r="B24" s="447" t="s">
        <v>33</v>
      </c>
      <c r="C24" s="378" t="s">
        <v>218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  <c r="R26" s="308"/>
    </row>
    <row r="27" spans="2:20" ht="25.5" customHeight="1">
      <c r="B27" s="453" t="s">
        <v>36</v>
      </c>
      <c r="C27" s="230" t="s">
        <v>99</v>
      </c>
      <c r="D27" s="230"/>
      <c r="E27" s="230"/>
      <c r="F27" s="185"/>
      <c r="G27" s="185"/>
      <c r="H27" s="186"/>
      <c r="I27" s="808" t="s">
        <v>41</v>
      </c>
      <c r="J27" s="808"/>
      <c r="K27" s="809">
        <f>P2+K23+K26</f>
        <v>6288.54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308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7" t="s">
        <v>51</v>
      </c>
      <c r="L31" s="828"/>
      <c r="M31" s="828"/>
      <c r="N31" s="828"/>
      <c r="O31" s="829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2">
    <mergeCell ref="I8:J8"/>
    <mergeCell ref="D2:J5"/>
    <mergeCell ref="K2:O2"/>
    <mergeCell ref="L3:O3"/>
    <mergeCell ref="L4:O4"/>
    <mergeCell ref="L5:O5"/>
    <mergeCell ref="F17:G17"/>
    <mergeCell ref="K17:O17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8:O18"/>
    <mergeCell ref="B19:C19"/>
    <mergeCell ref="K19:O19"/>
    <mergeCell ref="K20:O20"/>
    <mergeCell ref="K21:O21"/>
    <mergeCell ref="K23:O23"/>
    <mergeCell ref="I23:J23"/>
    <mergeCell ref="K22:O22"/>
    <mergeCell ref="I26:J26"/>
    <mergeCell ref="K26:O26"/>
    <mergeCell ref="I27:J27"/>
    <mergeCell ref="K27:O27"/>
    <mergeCell ref="B30:C30"/>
    <mergeCell ref="D30:E30"/>
    <mergeCell ref="F30:G30"/>
    <mergeCell ref="H30:J30"/>
    <mergeCell ref="E36:J39"/>
    <mergeCell ref="K36:O36"/>
    <mergeCell ref="H28:O28"/>
    <mergeCell ref="H29:J29"/>
    <mergeCell ref="K29:O30"/>
    <mergeCell ref="B31:C31"/>
    <mergeCell ref="D31:E31"/>
    <mergeCell ref="F31:G31"/>
    <mergeCell ref="H31:J31"/>
    <mergeCell ref="K31:O31"/>
    <mergeCell ref="K56:O56"/>
    <mergeCell ref="C42:G42"/>
    <mergeCell ref="H42:J42"/>
    <mergeCell ref="K42:O42"/>
    <mergeCell ref="H43:J43"/>
    <mergeCell ref="K43:O43"/>
    <mergeCell ref="C44:O44"/>
    <mergeCell ref="B47:G47"/>
    <mergeCell ref="K53:O53"/>
    <mergeCell ref="B54:G54"/>
    <mergeCell ref="K54:O54"/>
    <mergeCell ref="K55:O55"/>
    <mergeCell ref="K57:O57"/>
    <mergeCell ref="B62:C62"/>
    <mergeCell ref="D62:E62"/>
    <mergeCell ref="F62:G62"/>
    <mergeCell ref="H62:J62"/>
    <mergeCell ref="K62:O62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A1F2-E44E-4B3C-8B4C-80698E24CFEC}">
  <sheetPr>
    <pageSetUpPr fitToPage="1"/>
  </sheetPr>
  <dimension ref="A1:T62"/>
  <sheetViews>
    <sheetView showGridLines="0" view="pageBreakPreview" zoomScale="70" zoomScaleNormal="100" zoomScaleSheetLayoutView="70" workbookViewId="0">
      <selection activeCell="D22" sqref="D22"/>
    </sheetView>
  </sheetViews>
  <sheetFormatPr defaultColWidth="9.25" defaultRowHeight="12.75"/>
  <cols>
    <col min="1" max="1" width="2.375" style="74" customWidth="1"/>
    <col min="2" max="2" width="21.25" style="74" customWidth="1"/>
    <col min="3" max="3" width="15.875" style="74" customWidth="1"/>
    <col min="4" max="4" width="15.625" style="74" customWidth="1"/>
    <col min="5" max="5" width="13.75" style="121" customWidth="1"/>
    <col min="6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0.625" style="74" customWidth="1"/>
    <col min="16" max="16" width="11.25" style="74" customWidth="1"/>
    <col min="17" max="17" width="15.5" style="74" bestFit="1" customWidth="1"/>
    <col min="18" max="18" width="14.25" style="75" customWidth="1"/>
    <col min="19" max="16384" width="9.25" style="74"/>
  </cols>
  <sheetData>
    <row r="1" spans="1:19">
      <c r="A1" s="74" t="s">
        <v>59</v>
      </c>
      <c r="B1" s="118"/>
      <c r="C1" s="118"/>
      <c r="D1" s="118"/>
      <c r="E1" s="241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9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1:19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1:19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1:19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1:19" ht="18.75" customHeight="1">
      <c r="B6" s="456"/>
      <c r="C6" s="145"/>
      <c r="D6" s="145"/>
      <c r="E6" s="242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1:19" ht="18.75" customHeight="1">
      <c r="B7" s="431" t="s">
        <v>8</v>
      </c>
      <c r="C7" s="148"/>
      <c r="D7" s="148"/>
      <c r="E7" s="243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1:19" ht="18.75" customHeight="1">
      <c r="B8" s="494" t="s">
        <v>9</v>
      </c>
      <c r="C8" s="653" t="s">
        <v>219</v>
      </c>
      <c r="D8" s="195"/>
      <c r="E8" s="244"/>
      <c r="F8" s="15"/>
      <c r="G8" s="15"/>
      <c r="H8" s="16"/>
      <c r="I8" s="752" t="s">
        <v>11</v>
      </c>
      <c r="J8" s="752"/>
      <c r="K8" s="152" t="s">
        <v>212</v>
      </c>
      <c r="L8" s="127"/>
      <c r="M8" s="127"/>
      <c r="N8" s="127"/>
      <c r="O8" s="434"/>
      <c r="R8" s="74"/>
    </row>
    <row r="9" spans="1:19" ht="18.75" customHeight="1">
      <c r="B9" s="894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435"/>
      <c r="R9" s="74"/>
    </row>
    <row r="10" spans="1:19" ht="18.75" customHeight="1">
      <c r="B10" s="738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220</v>
      </c>
      <c r="L10" s="137"/>
      <c r="M10" s="138"/>
      <c r="N10" s="138"/>
      <c r="O10" s="437"/>
      <c r="Q10" s="74" t="s">
        <v>62</v>
      </c>
      <c r="R10" s="56" t="s">
        <v>208</v>
      </c>
    </row>
    <row r="11" spans="1:19" ht="18.75" customHeight="1">
      <c r="B11" s="471"/>
      <c r="C11" s="725"/>
      <c r="D11" s="725"/>
      <c r="E11" s="281"/>
      <c r="F11" s="725"/>
      <c r="G11" s="129"/>
      <c r="H11" s="141"/>
      <c r="I11" s="141"/>
      <c r="J11" s="725"/>
      <c r="K11" s="725"/>
      <c r="L11" s="725"/>
      <c r="M11" s="725"/>
      <c r="N11" s="725"/>
      <c r="O11" s="472"/>
      <c r="Q11" s="74" t="s">
        <v>64</v>
      </c>
      <c r="R11" s="192"/>
    </row>
    <row r="12" spans="1:19" ht="18.75" customHeight="1">
      <c r="B12" s="473" t="s">
        <v>18</v>
      </c>
      <c r="C12" s="313"/>
      <c r="D12" s="313"/>
      <c r="E12" s="314"/>
      <c r="F12" s="313"/>
      <c r="G12" s="315"/>
      <c r="H12" s="12"/>
      <c r="I12" s="151"/>
      <c r="J12" s="283"/>
      <c r="K12" s="283"/>
      <c r="L12" s="283"/>
      <c r="M12" s="283"/>
      <c r="N12" s="283"/>
      <c r="O12" s="474"/>
      <c r="R12" s="192"/>
    </row>
    <row r="13" spans="1:19" ht="30.6" customHeight="1">
      <c r="B13" s="911" t="s">
        <v>91</v>
      </c>
      <c r="C13" s="912"/>
      <c r="D13" s="912"/>
      <c r="E13" s="912"/>
      <c r="F13" s="912"/>
      <c r="G13" s="913"/>
      <c r="H13" s="318" t="s">
        <v>20</v>
      </c>
      <c r="I13" s="155" t="s">
        <v>21</v>
      </c>
      <c r="J13" s="58" t="s">
        <v>22</v>
      </c>
      <c r="K13" s="779" t="s">
        <v>23</v>
      </c>
      <c r="L13" s="779"/>
      <c r="M13" s="779"/>
      <c r="N13" s="779"/>
      <c r="O13" s="780"/>
      <c r="R13" s="192"/>
    </row>
    <row r="14" spans="1:19" ht="18.75" customHeight="1">
      <c r="B14" s="495"/>
      <c r="C14" s="323"/>
      <c r="D14" s="323"/>
      <c r="E14" s="306"/>
      <c r="F14" s="323"/>
      <c r="G14" s="380"/>
      <c r="H14" s="319"/>
      <c r="I14" s="157"/>
      <c r="J14" s="285"/>
      <c r="K14" s="914"/>
      <c r="L14" s="781"/>
      <c r="M14" s="781"/>
      <c r="N14" s="781"/>
      <c r="O14" s="782"/>
      <c r="R14" s="192"/>
    </row>
    <row r="15" spans="1:19" s="197" customFormat="1" ht="18.75" customHeight="1">
      <c r="B15" s="496"/>
      <c r="C15" s="270"/>
      <c r="D15" s="324"/>
      <c r="E15" s="298"/>
      <c r="F15" s="323"/>
      <c r="G15" s="323"/>
      <c r="H15" s="320"/>
      <c r="I15" s="718"/>
      <c r="J15" s="199"/>
      <c r="K15" s="904"/>
      <c r="L15" s="904"/>
      <c r="M15" s="904"/>
      <c r="N15" s="904"/>
      <c r="O15" s="905"/>
      <c r="R15" s="192"/>
      <c r="S15" s="311"/>
    </row>
    <row r="16" spans="1:19" s="197" customFormat="1" ht="18.75" customHeight="1">
      <c r="B16" s="652" t="s">
        <v>221</v>
      </c>
      <c r="C16" s="342"/>
      <c r="D16" s="342"/>
      <c r="E16" s="342"/>
      <c r="F16" s="342"/>
      <c r="G16" s="343"/>
      <c r="H16" s="320" t="s">
        <v>25</v>
      </c>
      <c r="I16" s="718" t="s">
        <v>26</v>
      </c>
      <c r="J16" s="199" t="s">
        <v>27</v>
      </c>
      <c r="K16" s="897">
        <v>13340</v>
      </c>
      <c r="L16" s="898"/>
      <c r="M16" s="898"/>
      <c r="N16" s="898"/>
      <c r="O16" s="899"/>
      <c r="R16" s="192"/>
    </row>
    <row r="17" spans="2:20" s="197" customFormat="1" ht="20.25" customHeight="1">
      <c r="B17" s="498" t="s">
        <v>222</v>
      </c>
      <c r="C17" s="304"/>
      <c r="D17" s="415"/>
      <c r="E17" s="415"/>
      <c r="F17" s="1070"/>
      <c r="G17" s="1071"/>
      <c r="H17" s="320"/>
      <c r="I17" s="718"/>
      <c r="J17" s="199"/>
      <c r="K17" s="897"/>
      <c r="L17" s="898"/>
      <c r="M17" s="898"/>
      <c r="N17" s="898"/>
      <c r="O17" s="899"/>
      <c r="R17" s="192"/>
    </row>
    <row r="18" spans="2:20" s="197" customFormat="1" ht="22.5" customHeight="1">
      <c r="B18" s="499" t="s">
        <v>223</v>
      </c>
      <c r="C18" s="305"/>
      <c r="D18" s="296"/>
      <c r="E18" s="297"/>
      <c r="F18" s="323"/>
      <c r="G18" s="323"/>
      <c r="H18" s="320"/>
      <c r="I18" s="718"/>
      <c r="J18" s="199"/>
      <c r="K18" s="785"/>
      <c r="L18" s="785"/>
      <c r="M18" s="785"/>
      <c r="N18" s="785"/>
      <c r="O18" s="786"/>
      <c r="R18" s="192"/>
      <c r="S18" s="311"/>
    </row>
    <row r="19" spans="2:20" s="197" customFormat="1" ht="18.75" customHeight="1">
      <c r="B19" s="907" t="s">
        <v>111</v>
      </c>
      <c r="C19" s="908"/>
      <c r="D19" s="296"/>
      <c r="E19" s="298"/>
      <c r="F19" s="323"/>
      <c r="G19" s="323"/>
      <c r="H19" s="320"/>
      <c r="I19" s="718"/>
      <c r="J19" s="199"/>
      <c r="K19" s="797"/>
      <c r="L19" s="797"/>
      <c r="M19" s="797"/>
      <c r="N19" s="797"/>
      <c r="O19" s="798"/>
      <c r="R19" s="192"/>
    </row>
    <row r="20" spans="2:20" s="197" customFormat="1" ht="18.75" customHeight="1">
      <c r="B20" s="500"/>
      <c r="C20" s="299"/>
      <c r="D20" s="296"/>
      <c r="E20" s="298"/>
      <c r="F20" s="323"/>
      <c r="G20" s="323"/>
      <c r="H20" s="320"/>
      <c r="I20" s="718"/>
      <c r="J20" s="199"/>
      <c r="K20" s="797"/>
      <c r="L20" s="797"/>
      <c r="M20" s="797"/>
      <c r="N20" s="797"/>
      <c r="O20" s="798"/>
      <c r="R20" s="192"/>
    </row>
    <row r="21" spans="2:20" s="269" customFormat="1" ht="18.75" customHeight="1">
      <c r="B21" s="477"/>
      <c r="C21" s="331"/>
      <c r="D21" s="332"/>
      <c r="E21" s="333"/>
      <c r="F21" s="334"/>
      <c r="G21" s="334"/>
      <c r="H21" s="321"/>
      <c r="I21" s="267"/>
      <c r="J21" s="268"/>
      <c r="K21" s="906"/>
      <c r="L21" s="799"/>
      <c r="M21" s="799"/>
      <c r="N21" s="799"/>
      <c r="O21" s="800"/>
      <c r="R21" s="192"/>
    </row>
    <row r="22" spans="2:20" s="197" customFormat="1" ht="18.75" customHeight="1">
      <c r="B22" s="501"/>
      <c r="C22" s="336"/>
      <c r="D22" s="337"/>
      <c r="E22" s="338"/>
      <c r="F22" s="339"/>
      <c r="G22" s="339"/>
      <c r="H22" s="322"/>
      <c r="I22" s="718"/>
      <c r="J22" s="199"/>
      <c r="K22" s="891"/>
      <c r="L22" s="797"/>
      <c r="M22" s="797"/>
      <c r="N22" s="797"/>
      <c r="O22" s="798"/>
      <c r="R22" s="192"/>
    </row>
    <row r="23" spans="2:20" ht="18.75" customHeight="1">
      <c r="B23" s="446" t="s">
        <v>31</v>
      </c>
      <c r="C23" s="211"/>
      <c r="D23" s="211"/>
      <c r="E23" s="286"/>
      <c r="F23" s="211"/>
      <c r="G23" s="317"/>
      <c r="H23" s="130"/>
      <c r="I23" s="882" t="s">
        <v>32</v>
      </c>
      <c r="J23" s="883"/>
      <c r="K23" s="884">
        <f>SUM(K16:O22)</f>
        <v>13340</v>
      </c>
      <c r="L23" s="884"/>
      <c r="M23" s="884"/>
      <c r="N23" s="884"/>
      <c r="O23" s="892"/>
      <c r="P23" s="121">
        <f>SUM(K15:O22)</f>
        <v>13340</v>
      </c>
      <c r="R23" s="309" t="s">
        <v>97</v>
      </c>
    </row>
    <row r="24" spans="2:20" ht="18.75" customHeight="1">
      <c r="B24" s="447" t="s">
        <v>33</v>
      </c>
      <c r="C24" s="378" t="s">
        <v>224</v>
      </c>
      <c r="D24" s="14"/>
      <c r="E24" s="230"/>
      <c r="F24" s="287"/>
      <c r="G24" s="288"/>
      <c r="H24" s="36"/>
      <c r="I24" s="734"/>
      <c r="J24" s="169"/>
      <c r="K24" s="170"/>
      <c r="L24" s="170"/>
      <c r="M24" s="170"/>
      <c r="N24" s="170"/>
      <c r="O24" s="458"/>
      <c r="P24" s="121"/>
      <c r="R24" s="308"/>
      <c r="T24" s="74" t="s">
        <v>35</v>
      </c>
    </row>
    <row r="25" spans="2:20" ht="18.75" hidden="1" customHeight="1">
      <c r="B25" s="446" t="s">
        <v>36</v>
      </c>
      <c r="C25" s="211" t="s">
        <v>37</v>
      </c>
      <c r="D25" s="289"/>
      <c r="E25" s="290"/>
      <c r="F25" s="289"/>
      <c r="G25" s="291">
        <v>20000</v>
      </c>
      <c r="H25" s="174"/>
      <c r="I25" s="175"/>
      <c r="J25" s="176"/>
      <c r="K25" s="177"/>
      <c r="L25" s="177"/>
      <c r="M25" s="177"/>
      <c r="N25" s="177"/>
      <c r="O25" s="459"/>
      <c r="P25" s="121"/>
      <c r="R25" s="192"/>
    </row>
    <row r="26" spans="2:20" ht="18.75" hidden="1" customHeight="1">
      <c r="B26" s="451" t="s">
        <v>33</v>
      </c>
      <c r="C26" s="184" t="s">
        <v>38</v>
      </c>
      <c r="D26" s="181"/>
      <c r="E26" s="251"/>
      <c r="F26" s="101"/>
      <c r="G26" s="181"/>
      <c r="H26" s="182"/>
      <c r="I26" s="855" t="s">
        <v>39</v>
      </c>
      <c r="J26" s="855"/>
      <c r="K26" s="856">
        <v>0</v>
      </c>
      <c r="L26" s="856"/>
      <c r="M26" s="856"/>
      <c r="N26" s="856"/>
      <c r="O26" s="893"/>
      <c r="R26" s="308"/>
    </row>
    <row r="27" spans="2:20" ht="25.5" customHeight="1">
      <c r="B27" s="453" t="s">
        <v>36</v>
      </c>
      <c r="C27" s="230" t="s">
        <v>99</v>
      </c>
      <c r="D27" s="230"/>
      <c r="E27" s="230"/>
      <c r="F27" s="185"/>
      <c r="G27" s="185"/>
      <c r="H27" s="186"/>
      <c r="I27" s="808" t="s">
        <v>41</v>
      </c>
      <c r="J27" s="808"/>
      <c r="K27" s="809">
        <f>P2+K23+K26</f>
        <v>13340</v>
      </c>
      <c r="L27" s="809"/>
      <c r="M27" s="809"/>
      <c r="N27" s="809"/>
      <c r="O27" s="810"/>
      <c r="R27" s="308"/>
    </row>
    <row r="28" spans="2:20" ht="18.75" customHeight="1">
      <c r="B28" s="454" t="s">
        <v>42</v>
      </c>
      <c r="C28" s="187"/>
      <c r="D28" s="723" t="s">
        <v>43</v>
      </c>
      <c r="E28" s="253"/>
      <c r="F28" s="44"/>
      <c r="G28" s="45"/>
      <c r="H28" s="811" t="s">
        <v>44</v>
      </c>
      <c r="I28" s="812"/>
      <c r="J28" s="812"/>
      <c r="K28" s="812"/>
      <c r="L28" s="812"/>
      <c r="M28" s="812"/>
      <c r="N28" s="812"/>
      <c r="O28" s="813"/>
      <c r="R28" s="308"/>
    </row>
    <row r="29" spans="2:20" s="73" customFormat="1" ht="18.75" customHeight="1">
      <c r="B29" s="455"/>
      <c r="C29" s="47"/>
      <c r="D29" s="141"/>
      <c r="E29" s="254"/>
      <c r="F29" s="141"/>
      <c r="G29" s="47"/>
      <c r="H29" s="790"/>
      <c r="I29" s="791"/>
      <c r="J29" s="792"/>
      <c r="K29" s="793"/>
      <c r="L29" s="793"/>
      <c r="M29" s="793"/>
      <c r="N29" s="793"/>
      <c r="O29" s="794"/>
      <c r="R29" s="308"/>
    </row>
    <row r="30" spans="2:20" ht="18.75" customHeight="1">
      <c r="B30" s="890" t="s">
        <v>45</v>
      </c>
      <c r="C30" s="817"/>
      <c r="D30" s="816" t="s">
        <v>46</v>
      </c>
      <c r="E30" s="817"/>
      <c r="F30" s="816"/>
      <c r="G30" s="817"/>
      <c r="H30" s="818"/>
      <c r="I30" s="819"/>
      <c r="J30" s="820"/>
      <c r="K30" s="795"/>
      <c r="L30" s="795"/>
      <c r="M30" s="795"/>
      <c r="N30" s="795"/>
      <c r="O30" s="796"/>
      <c r="R30" s="308"/>
    </row>
    <row r="31" spans="2:20" ht="18.75" customHeight="1">
      <c r="B31" s="821" t="s">
        <v>47</v>
      </c>
      <c r="C31" s="822"/>
      <c r="D31" s="823" t="s">
        <v>48</v>
      </c>
      <c r="E31" s="822"/>
      <c r="F31" s="823" t="s">
        <v>49</v>
      </c>
      <c r="G31" s="822"/>
      <c r="H31" s="824" t="s">
        <v>50</v>
      </c>
      <c r="I31" s="823"/>
      <c r="J31" s="822"/>
      <c r="K31" s="827" t="s">
        <v>51</v>
      </c>
      <c r="L31" s="828"/>
      <c r="M31" s="828"/>
      <c r="N31" s="828"/>
      <c r="O31" s="829"/>
      <c r="R31" s="308"/>
    </row>
    <row r="32" spans="2:20" ht="15">
      <c r="B32" s="89"/>
      <c r="C32" s="89"/>
      <c r="D32" s="89"/>
      <c r="E32" s="255"/>
      <c r="F32" s="89"/>
      <c r="G32" s="89"/>
      <c r="H32" s="89"/>
      <c r="I32" s="89"/>
      <c r="J32" s="19"/>
      <c r="K32" s="19"/>
      <c r="L32" s="19"/>
      <c r="M32" s="19"/>
      <c r="N32" s="19"/>
      <c r="O32" s="19"/>
      <c r="R32" s="308"/>
    </row>
    <row r="33" spans="2:19" ht="15">
      <c r="B33" s="90"/>
      <c r="C33" s="90"/>
      <c r="D33" s="90"/>
      <c r="E33" s="256"/>
      <c r="F33" s="90"/>
      <c r="G33" s="90"/>
      <c r="H33" s="90"/>
      <c r="I33" s="90"/>
      <c r="J33" s="90"/>
      <c r="K33" s="90"/>
      <c r="L33" s="90"/>
      <c r="M33" s="90"/>
      <c r="N33" s="90"/>
      <c r="O33" s="90"/>
      <c r="R33" s="308"/>
    </row>
    <row r="34" spans="2:19" ht="15">
      <c r="C34" s="118"/>
      <c r="R34" s="308"/>
    </row>
    <row r="35" spans="2:19" ht="15.75">
      <c r="J35" s="122"/>
      <c r="R35" s="308"/>
    </row>
    <row r="36" spans="2:19" ht="18.75" customHeight="1">
      <c r="B36" s="91"/>
      <c r="C36" s="91"/>
      <c r="D36" s="91"/>
      <c r="E36" s="830"/>
      <c r="F36" s="830"/>
      <c r="G36" s="830"/>
      <c r="H36" s="830"/>
      <c r="I36" s="830"/>
      <c r="J36" s="830"/>
      <c r="K36" s="831"/>
      <c r="L36" s="831"/>
      <c r="M36" s="831"/>
      <c r="N36" s="831"/>
      <c r="O36" s="831"/>
      <c r="R36" s="308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110"/>
      <c r="L37" s="110"/>
      <c r="M37" s="110"/>
      <c r="N37" s="110"/>
      <c r="O37" s="111"/>
      <c r="R37" s="308"/>
    </row>
    <row r="38" spans="2:19" ht="18.75" customHeight="1">
      <c r="B38" s="91"/>
      <c r="C38" s="91"/>
      <c r="D38" s="128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119"/>
      <c r="D39" s="91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2"/>
      <c r="R39" s="74"/>
    </row>
    <row r="40" spans="2:19" ht="18.75" customHeight="1">
      <c r="B40" s="92"/>
      <c r="C40" s="92"/>
      <c r="D40" s="92"/>
      <c r="E40" s="257"/>
      <c r="F40" s="92"/>
      <c r="G40" s="93"/>
      <c r="H40" s="131"/>
      <c r="I40" s="93"/>
      <c r="J40" s="93"/>
      <c r="K40" s="93"/>
      <c r="L40" s="93"/>
      <c r="M40" s="93"/>
      <c r="N40" s="93"/>
      <c r="O40" s="51"/>
      <c r="R40" s="74"/>
    </row>
    <row r="41" spans="2:19" ht="18.75" customHeight="1">
      <c r="B41" s="94"/>
      <c r="C41" s="94"/>
      <c r="D41" s="94"/>
      <c r="E41" s="258"/>
      <c r="F41" s="94"/>
      <c r="G41" s="95"/>
      <c r="H41" s="130"/>
      <c r="I41" s="96"/>
      <c r="J41" s="190"/>
      <c r="K41" s="190"/>
      <c r="L41" s="190"/>
      <c r="M41" s="190"/>
      <c r="N41" s="190"/>
      <c r="O41" s="113"/>
      <c r="R41" s="74"/>
    </row>
    <row r="42" spans="2:19" ht="18.75" customHeight="1">
      <c r="B42" s="94"/>
      <c r="C42" s="832"/>
      <c r="D42" s="832"/>
      <c r="E42" s="832"/>
      <c r="F42" s="832"/>
      <c r="G42" s="832"/>
      <c r="H42" s="843"/>
      <c r="I42" s="843"/>
      <c r="J42" s="843"/>
      <c r="K42" s="834"/>
      <c r="L42" s="834"/>
      <c r="M42" s="834"/>
      <c r="N42" s="834"/>
      <c r="O42" s="834"/>
      <c r="R42" s="74"/>
    </row>
    <row r="43" spans="2:19" ht="18.75" customHeight="1">
      <c r="B43" s="717"/>
      <c r="C43" s="717"/>
      <c r="D43" s="717"/>
      <c r="E43" s="259"/>
      <c r="F43" s="717"/>
      <c r="H43" s="833"/>
      <c r="I43" s="833"/>
      <c r="J43" s="833"/>
      <c r="K43" s="834"/>
      <c r="L43" s="834"/>
      <c r="M43" s="834"/>
      <c r="N43" s="834"/>
      <c r="O43" s="834"/>
      <c r="R43" s="74"/>
      <c r="S43" s="143"/>
    </row>
    <row r="44" spans="2:19" ht="18.75" customHeight="1">
      <c r="B44" s="190"/>
      <c r="C44" s="835"/>
      <c r="D44" s="835"/>
      <c r="E44" s="835"/>
      <c r="F44" s="835"/>
      <c r="G44" s="835"/>
      <c r="H44" s="835"/>
      <c r="I44" s="835"/>
      <c r="J44" s="835"/>
      <c r="K44" s="835"/>
      <c r="L44" s="835"/>
      <c r="M44" s="835"/>
      <c r="N44" s="835"/>
      <c r="O44" s="835"/>
      <c r="R44" s="74"/>
    </row>
    <row r="45" spans="2:19" ht="18.75" customHeight="1">
      <c r="B45" s="190"/>
      <c r="C45" s="190"/>
      <c r="D45" s="190"/>
      <c r="E45" s="260"/>
      <c r="F45" s="190"/>
      <c r="G45" s="120"/>
      <c r="H45" s="96"/>
      <c r="I45" s="96"/>
      <c r="J45" s="190"/>
      <c r="K45" s="190"/>
      <c r="L45" s="190"/>
      <c r="M45" s="190"/>
      <c r="N45" s="190"/>
      <c r="O45" s="113"/>
      <c r="R45" s="74"/>
    </row>
    <row r="46" spans="2:19" ht="18.75" customHeight="1">
      <c r="B46" s="94"/>
      <c r="C46" s="94"/>
      <c r="D46" s="94"/>
      <c r="E46" s="258"/>
      <c r="F46" s="94"/>
      <c r="G46" s="95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825"/>
      <c r="C47" s="825"/>
      <c r="D47" s="825"/>
      <c r="E47" s="825"/>
      <c r="F47" s="825"/>
      <c r="G47" s="825"/>
      <c r="H47" s="98"/>
      <c r="I47" s="98"/>
      <c r="J47" s="114"/>
      <c r="K47" s="114"/>
      <c r="L47" s="114"/>
      <c r="M47" s="114"/>
      <c r="N47" s="114"/>
      <c r="O47" s="114"/>
    </row>
    <row r="48" spans="2:19" ht="18.75" customHeight="1">
      <c r="B48" s="190"/>
      <c r="C48" s="190"/>
      <c r="D48" s="190"/>
      <c r="E48" s="260"/>
      <c r="F48" s="190"/>
      <c r="G48" s="96"/>
      <c r="H48" s="96"/>
      <c r="I48" s="96"/>
      <c r="J48" s="190"/>
      <c r="K48" s="190"/>
      <c r="L48" s="190"/>
      <c r="M48" s="190"/>
      <c r="N48" s="190"/>
      <c r="O48" s="737"/>
    </row>
    <row r="49" spans="2:18" ht="18.75" customHeight="1">
      <c r="B49" s="190"/>
      <c r="C49" s="190"/>
      <c r="D49" s="190"/>
      <c r="E49" s="26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260"/>
      <c r="F50" s="190"/>
      <c r="G50" s="96"/>
      <c r="H50" s="96"/>
      <c r="I50" s="96"/>
      <c r="J50" s="115"/>
      <c r="K50" s="115"/>
      <c r="L50" s="115"/>
      <c r="M50" s="115"/>
      <c r="N50" s="115"/>
      <c r="O50" s="116"/>
    </row>
    <row r="51" spans="2:18" ht="18.75" customHeight="1">
      <c r="B51" s="190"/>
      <c r="C51" s="190"/>
      <c r="D51" s="190"/>
      <c r="E51" s="260"/>
      <c r="F51" s="190"/>
      <c r="G51" s="96"/>
      <c r="H51" s="96"/>
      <c r="I51" s="96"/>
      <c r="J51" s="115"/>
      <c r="K51" s="115"/>
      <c r="L51" s="115"/>
      <c r="M51" s="115"/>
      <c r="N51" s="115"/>
      <c r="O51" s="737"/>
    </row>
    <row r="52" spans="2:18" ht="18.75" customHeight="1">
      <c r="B52" s="96"/>
      <c r="C52" s="96"/>
      <c r="D52" s="96"/>
      <c r="E52" s="261"/>
      <c r="F52" s="96"/>
      <c r="G52" s="96"/>
      <c r="H52" s="96"/>
      <c r="I52" s="96"/>
      <c r="J52" s="115"/>
      <c r="K52" s="115"/>
      <c r="L52" s="115"/>
      <c r="M52" s="115"/>
      <c r="N52" s="115"/>
      <c r="O52" s="115"/>
    </row>
    <row r="53" spans="2:18" ht="18.75" customHeight="1">
      <c r="B53" s="94"/>
      <c r="C53" s="94"/>
      <c r="D53" s="94"/>
      <c r="E53" s="258"/>
      <c r="F53" s="94"/>
      <c r="G53" s="95"/>
      <c r="H53" s="96"/>
      <c r="I53" s="96"/>
      <c r="J53" s="736"/>
      <c r="K53" s="839"/>
      <c r="L53" s="839"/>
      <c r="M53" s="839"/>
      <c r="N53" s="839"/>
      <c r="O53" s="839"/>
    </row>
    <row r="54" spans="2:18" ht="18.75" customHeight="1">
      <c r="B54" s="825"/>
      <c r="C54" s="825"/>
      <c r="D54" s="825"/>
      <c r="E54" s="825"/>
      <c r="F54" s="825"/>
      <c r="G54" s="825"/>
      <c r="H54" s="98"/>
      <c r="I54" s="98"/>
      <c r="J54" s="737"/>
      <c r="K54" s="838"/>
      <c r="L54" s="838"/>
      <c r="M54" s="838"/>
      <c r="N54" s="838"/>
      <c r="O54" s="838"/>
    </row>
    <row r="55" spans="2:18" ht="18.75" customHeight="1">
      <c r="B55" s="190"/>
      <c r="C55" s="190"/>
      <c r="D55" s="190"/>
      <c r="E55" s="260"/>
      <c r="F55" s="190"/>
      <c r="G55" s="96"/>
      <c r="H55" s="96"/>
      <c r="I55" s="96"/>
      <c r="J55" s="736"/>
      <c r="K55" s="839"/>
      <c r="L55" s="839"/>
      <c r="M55" s="839"/>
      <c r="N55" s="839"/>
      <c r="O55" s="839"/>
    </row>
    <row r="56" spans="2:18" ht="18.75" customHeight="1">
      <c r="B56" s="190"/>
      <c r="C56" s="190"/>
      <c r="D56" s="190"/>
      <c r="E56" s="260"/>
      <c r="F56" s="190"/>
      <c r="G56" s="96"/>
      <c r="H56" s="96"/>
      <c r="I56" s="96"/>
      <c r="J56" s="737"/>
      <c r="K56" s="838"/>
      <c r="L56" s="838"/>
      <c r="M56" s="838"/>
      <c r="N56" s="838"/>
      <c r="O56" s="838"/>
    </row>
    <row r="57" spans="2:18" ht="18.75" customHeight="1">
      <c r="B57" s="190"/>
      <c r="C57" s="190"/>
      <c r="D57" s="190"/>
      <c r="E57" s="260"/>
      <c r="F57" s="190"/>
      <c r="G57" s="96"/>
      <c r="H57" s="96"/>
      <c r="I57" s="96"/>
      <c r="J57" s="736"/>
      <c r="K57" s="839"/>
      <c r="L57" s="839"/>
      <c r="M57" s="839"/>
      <c r="N57" s="839"/>
      <c r="O57" s="839"/>
    </row>
    <row r="58" spans="2:18" ht="18.75" customHeight="1">
      <c r="B58" s="99"/>
      <c r="C58" s="99"/>
      <c r="D58" s="99"/>
      <c r="E58" s="262"/>
      <c r="F58" s="99"/>
      <c r="G58" s="97"/>
      <c r="H58" s="100"/>
      <c r="I58" s="100"/>
      <c r="J58" s="117"/>
      <c r="K58" s="117"/>
      <c r="L58" s="117"/>
      <c r="M58" s="117"/>
      <c r="N58" s="117"/>
      <c r="O58" s="117"/>
    </row>
    <row r="59" spans="2:18" ht="18.75" customHeight="1">
      <c r="B59" s="734"/>
      <c r="C59" s="734"/>
      <c r="D59" s="734"/>
      <c r="E59" s="263"/>
      <c r="F59" s="734"/>
      <c r="G59" s="734"/>
      <c r="H59" s="101"/>
      <c r="I59" s="101"/>
      <c r="J59" s="734"/>
      <c r="K59" s="734"/>
      <c r="L59" s="734"/>
      <c r="M59" s="734"/>
      <c r="N59" s="734"/>
      <c r="O59" s="113"/>
    </row>
    <row r="60" spans="2:18" s="73" customFormat="1" ht="18.75" customHeight="1">
      <c r="B60" s="96"/>
      <c r="C60" s="96"/>
      <c r="D60" s="96"/>
      <c r="E60" s="261"/>
      <c r="F60" s="96"/>
      <c r="G60" s="96"/>
      <c r="H60" s="96"/>
      <c r="I60" s="96"/>
      <c r="J60" s="96"/>
      <c r="K60" s="96"/>
      <c r="L60" s="96"/>
      <c r="M60" s="96"/>
      <c r="N60" s="96"/>
      <c r="O60" s="96"/>
      <c r="R60" s="110"/>
    </row>
    <row r="61" spans="2:18" ht="18.75" customHeight="1">
      <c r="B61" s="96"/>
      <c r="C61" s="96"/>
      <c r="D61" s="96"/>
      <c r="E61" s="261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2:18" ht="18.75" customHeight="1">
      <c r="B62" s="837"/>
      <c r="C62" s="837"/>
      <c r="D62" s="837"/>
      <c r="E62" s="837"/>
      <c r="F62" s="837"/>
      <c r="G62" s="837"/>
      <c r="H62" s="837"/>
      <c r="I62" s="837"/>
      <c r="J62" s="837"/>
      <c r="K62" s="837"/>
      <c r="L62" s="837"/>
      <c r="M62" s="837"/>
      <c r="N62" s="837"/>
      <c r="O62" s="837"/>
    </row>
  </sheetData>
  <mergeCells count="62">
    <mergeCell ref="F17:G17"/>
    <mergeCell ref="K55:O55"/>
    <mergeCell ref="K56:O56"/>
    <mergeCell ref="K57:O57"/>
    <mergeCell ref="B62:C62"/>
    <mergeCell ref="D62:E62"/>
    <mergeCell ref="F62:G62"/>
    <mergeCell ref="H62:J62"/>
    <mergeCell ref="K62:O62"/>
    <mergeCell ref="B54:G54"/>
    <mergeCell ref="K54:O54"/>
    <mergeCell ref="K31:O31"/>
    <mergeCell ref="E36:J39"/>
    <mergeCell ref="K36:O36"/>
    <mergeCell ref="C42:G42"/>
    <mergeCell ref="H42:J42"/>
    <mergeCell ref="K53:O53"/>
    <mergeCell ref="B30:C30"/>
    <mergeCell ref="D30:E30"/>
    <mergeCell ref="F30:G30"/>
    <mergeCell ref="H30:J30"/>
    <mergeCell ref="B31:C31"/>
    <mergeCell ref="D31:E31"/>
    <mergeCell ref="F31:G31"/>
    <mergeCell ref="H31:J31"/>
    <mergeCell ref="K42:O42"/>
    <mergeCell ref="H43:J43"/>
    <mergeCell ref="K43:O43"/>
    <mergeCell ref="C44:O44"/>
    <mergeCell ref="B47:G47"/>
    <mergeCell ref="K15:O15"/>
    <mergeCell ref="K16:O16"/>
    <mergeCell ref="K17:O17"/>
    <mergeCell ref="H29:J29"/>
    <mergeCell ref="K29:O30"/>
    <mergeCell ref="K19:O19"/>
    <mergeCell ref="K20:O20"/>
    <mergeCell ref="K21:O21"/>
    <mergeCell ref="K22:O22"/>
    <mergeCell ref="I23:J23"/>
    <mergeCell ref="K23:O23"/>
    <mergeCell ref="I26:J26"/>
    <mergeCell ref="K26:O26"/>
    <mergeCell ref="I27:J27"/>
    <mergeCell ref="K27:O27"/>
    <mergeCell ref="H28:O28"/>
    <mergeCell ref="B19:C19"/>
    <mergeCell ref="I8:J8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</mergeCells>
  <printOptions horizontalCentered="1"/>
  <pageMargins left="0.25" right="0.25" top="0.25" bottom="0.75" header="0.3" footer="0.3"/>
  <pageSetup paperSize="14" scale="67" fitToHeight="2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D8D3-F77E-4C20-A54E-2D2BB52ABE07}">
  <sheetPr>
    <pageSetUpPr fitToPage="1"/>
  </sheetPr>
  <dimension ref="B1:T63"/>
  <sheetViews>
    <sheetView showGridLines="0" view="pageBreakPreview" zoomScale="70" zoomScaleNormal="100" zoomScaleSheetLayoutView="70" workbookViewId="0">
      <selection activeCell="C8" sqref="C8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" style="74"/>
    <col min="18" max="18" width="14.25" style="75" customWidth="1"/>
    <col min="19" max="16384" width="9.25" style="74"/>
  </cols>
  <sheetData>
    <row r="1" spans="2:18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2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2:18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2:18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2:18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2:18" ht="18.75" customHeight="1">
      <c r="B6" s="144"/>
      <c r="C6" s="145"/>
      <c r="D6" s="145"/>
      <c r="E6" s="145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2:18" ht="18.75" customHeight="1">
      <c r="B7" s="147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2:18" ht="18.75" customHeight="1">
      <c r="B8" s="13" t="s">
        <v>9</v>
      </c>
      <c r="C8" s="14" t="s">
        <v>46</v>
      </c>
      <c r="D8" s="14"/>
      <c r="E8" s="15"/>
      <c r="F8" s="15"/>
      <c r="G8" s="15"/>
      <c r="H8" s="16"/>
      <c r="I8" s="752" t="s">
        <v>11</v>
      </c>
      <c r="J8" s="752"/>
      <c r="K8" s="152" t="s">
        <v>225</v>
      </c>
      <c r="L8" s="127"/>
      <c r="M8" s="127"/>
      <c r="N8" s="127"/>
      <c r="O8" s="132"/>
      <c r="R8" s="74"/>
    </row>
    <row r="9" spans="2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2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226</v>
      </c>
      <c r="L10" s="138"/>
      <c r="M10" s="138"/>
      <c r="N10" s="138"/>
      <c r="O10" s="139"/>
      <c r="R10" s="125" t="str">
        <f>K10</f>
        <v>A1355</v>
      </c>
    </row>
    <row r="11" spans="2:18" ht="18.75" customHeight="1">
      <c r="B11" s="140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142"/>
      <c r="R11" s="74"/>
    </row>
    <row r="12" spans="2:18" ht="18.75" customHeight="1">
      <c r="B12" s="153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2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66"/>
      <c r="R13" s="74"/>
    </row>
    <row r="14" spans="2:18" ht="18.75" customHeight="1">
      <c r="B14" s="156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2:18" ht="18.75" customHeight="1">
      <c r="B15" s="300" t="s">
        <v>227</v>
      </c>
      <c r="C15" s="80"/>
      <c r="D15" s="80"/>
      <c r="E15" s="80"/>
      <c r="F15" s="80"/>
      <c r="G15" s="80"/>
      <c r="H15" s="26" t="s">
        <v>25</v>
      </c>
      <c r="I15" s="720" t="s">
        <v>26</v>
      </c>
      <c r="J15" s="61" t="s">
        <v>27</v>
      </c>
      <c r="K15" s="868">
        <v>57658.75</v>
      </c>
      <c r="L15" s="868"/>
      <c r="M15" s="868"/>
      <c r="N15" s="868"/>
      <c r="O15" s="869"/>
      <c r="R15" s="74"/>
    </row>
    <row r="16" spans="2:18" ht="18.75" customHeight="1">
      <c r="B16" s="221"/>
      <c r="C16" s="80"/>
      <c r="D16" s="80"/>
      <c r="E16" s="80"/>
      <c r="F16" s="80"/>
      <c r="G16" s="80"/>
      <c r="H16" s="26"/>
      <c r="I16" s="720"/>
      <c r="J16" s="61"/>
      <c r="K16" s="726"/>
      <c r="L16" s="726"/>
      <c r="M16" s="726"/>
      <c r="N16" s="726"/>
      <c r="O16" s="727"/>
      <c r="R16" s="74"/>
    </row>
    <row r="17" spans="2:20" ht="18.75" customHeight="1">
      <c r="B17" s="234"/>
      <c r="C17" s="233"/>
      <c r="D17" s="233"/>
      <c r="E17" s="233"/>
      <c r="F17" s="233"/>
      <c r="G17" s="24"/>
      <c r="H17" s="26"/>
      <c r="I17" s="720"/>
      <c r="J17" s="61"/>
      <c r="K17" s="846"/>
      <c r="L17" s="846"/>
      <c r="M17" s="846"/>
      <c r="N17" s="846"/>
      <c r="O17" s="847"/>
      <c r="R17" s="74"/>
    </row>
    <row r="18" spans="2:20" ht="18.75" customHeight="1">
      <c r="B18" s="158"/>
      <c r="D18" s="24"/>
      <c r="E18" s="24"/>
      <c r="F18" s="24"/>
      <c r="G18" s="24"/>
      <c r="H18" s="26"/>
      <c r="I18" s="720"/>
      <c r="J18" s="61"/>
      <c r="K18" s="846"/>
      <c r="L18" s="846"/>
      <c r="M18" s="846"/>
      <c r="N18" s="846"/>
      <c r="O18" s="847"/>
      <c r="R18" s="74"/>
    </row>
    <row r="19" spans="2:20" ht="18.75" customHeight="1">
      <c r="B19" s="158"/>
      <c r="C19" s="24"/>
      <c r="D19" s="80"/>
      <c r="E19" s="80"/>
      <c r="F19" s="80"/>
      <c r="G19" s="80"/>
      <c r="H19" s="26"/>
      <c r="I19" s="720"/>
      <c r="J19" s="61"/>
      <c r="K19" s="846"/>
      <c r="L19" s="846"/>
      <c r="M19" s="846"/>
      <c r="N19" s="846"/>
      <c r="O19" s="847"/>
      <c r="R19" s="74"/>
    </row>
    <row r="20" spans="2:20" ht="18.75" customHeight="1">
      <c r="B20" s="158"/>
      <c r="C20" s="24"/>
      <c r="D20" s="80"/>
      <c r="E20" s="80"/>
      <c r="F20" s="80"/>
      <c r="G20" s="80"/>
      <c r="H20" s="26"/>
      <c r="I20" s="720"/>
      <c r="J20" s="61"/>
      <c r="K20" s="848"/>
      <c r="L20" s="846"/>
      <c r="M20" s="846"/>
      <c r="N20" s="846"/>
      <c r="O20" s="847"/>
      <c r="R20" s="74"/>
    </row>
    <row r="21" spans="2:20" ht="18.75" hidden="1" customHeight="1">
      <c r="B21" s="158"/>
      <c r="C21" s="24"/>
      <c r="D21" s="80"/>
      <c r="E21" s="80"/>
      <c r="F21" s="80"/>
      <c r="G21" s="80"/>
      <c r="H21" s="26"/>
      <c r="I21" s="720"/>
      <c r="J21" s="61"/>
      <c r="K21" s="846"/>
      <c r="L21" s="846"/>
      <c r="M21" s="846"/>
      <c r="N21" s="846"/>
      <c r="O21" s="847"/>
      <c r="R21" s="74"/>
    </row>
    <row r="22" spans="2:20" ht="22.5" hidden="1" customHeight="1">
      <c r="B22" s="158"/>
      <c r="C22" s="160"/>
      <c r="D22" s="80"/>
      <c r="E22" s="161"/>
      <c r="F22" s="80"/>
      <c r="G22" s="80"/>
      <c r="H22" s="26"/>
      <c r="I22" s="720"/>
      <c r="J22" s="61"/>
      <c r="K22" s="846"/>
      <c r="L22" s="846"/>
      <c r="M22" s="846"/>
      <c r="N22" s="846"/>
      <c r="O22" s="847"/>
      <c r="R22" s="74"/>
    </row>
    <row r="23" spans="2:20" ht="28.5" customHeight="1">
      <c r="B23" s="162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850"/>
    </row>
    <row r="24" spans="2:20" ht="18.75" customHeight="1">
      <c r="B24" s="167" t="s">
        <v>31</v>
      </c>
      <c r="C24" s="94"/>
      <c r="D24" s="94"/>
      <c r="E24" s="94"/>
      <c r="F24" s="94"/>
      <c r="G24" s="168"/>
      <c r="H24" s="130"/>
      <c r="I24" s="851" t="s">
        <v>32</v>
      </c>
      <c r="J24" s="852"/>
      <c r="K24" s="853">
        <f>SUM(K15:O23)</f>
        <v>57658.75</v>
      </c>
      <c r="L24" s="853"/>
      <c r="M24" s="853"/>
      <c r="N24" s="853"/>
      <c r="O24" s="854"/>
      <c r="P24" s="121">
        <f>SUM(K15:O22)</f>
        <v>57658.75</v>
      </c>
      <c r="R24" s="123">
        <v>17892</v>
      </c>
    </row>
    <row r="25" spans="2:20" ht="18.75" customHeight="1">
      <c r="B25" s="37" t="s">
        <v>33</v>
      </c>
      <c r="C25" s="15" t="s">
        <v>228</v>
      </c>
      <c r="D25" s="34"/>
      <c r="E25" s="34"/>
      <c r="F25" s="34"/>
      <c r="G25" s="35"/>
      <c r="H25" s="36"/>
      <c r="I25" s="734"/>
      <c r="J25" s="169"/>
      <c r="K25" s="170"/>
      <c r="L25" s="170"/>
      <c r="M25" s="170"/>
      <c r="N25" s="170"/>
      <c r="O25" s="171"/>
      <c r="P25" s="121"/>
      <c r="R25" s="123"/>
      <c r="T25" s="74" t="s">
        <v>35</v>
      </c>
    </row>
    <row r="26" spans="2:20" ht="18.75" hidden="1" customHeight="1">
      <c r="B26" s="167" t="s">
        <v>36</v>
      </c>
      <c r="C26" s="94" t="s">
        <v>37</v>
      </c>
      <c r="D26" s="172"/>
      <c r="E26" s="172"/>
      <c r="F26" s="172"/>
      <c r="G26" s="173"/>
      <c r="H26" s="174"/>
      <c r="I26" s="175"/>
      <c r="J26" s="176"/>
      <c r="K26" s="177"/>
      <c r="L26" s="177"/>
      <c r="M26" s="177"/>
      <c r="N26" s="177"/>
      <c r="O26" s="178"/>
      <c r="P26" s="121"/>
      <c r="R26" s="123"/>
    </row>
    <row r="27" spans="2:20" ht="18.75" hidden="1" customHeight="1">
      <c r="B27" s="179" t="s">
        <v>33</v>
      </c>
      <c r="C27" s="180" t="s">
        <v>38</v>
      </c>
      <c r="D27" s="181"/>
      <c r="E27" s="18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57"/>
    </row>
    <row r="28" spans="2:20" ht="18.75" customHeight="1">
      <c r="B28" s="18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57658.75</v>
      </c>
      <c r="L28" s="809"/>
      <c r="M28" s="809"/>
      <c r="N28" s="809"/>
      <c r="O28" s="858"/>
    </row>
    <row r="29" spans="2:20" ht="18.75" customHeight="1">
      <c r="B29" s="722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59"/>
    </row>
    <row r="30" spans="2:20" s="73" customFormat="1" ht="18.75" customHeight="1">
      <c r="B30" s="46"/>
      <c r="C30" s="47"/>
      <c r="D30" s="141"/>
      <c r="E30" s="47"/>
      <c r="F30" s="141"/>
      <c r="G30" s="47"/>
      <c r="H30" s="790"/>
      <c r="I30" s="791"/>
      <c r="J30" s="792"/>
      <c r="K30" s="793"/>
      <c r="L30" s="793"/>
      <c r="M30" s="793"/>
      <c r="N30" s="793"/>
      <c r="O30" s="845"/>
      <c r="R30" s="110"/>
    </row>
    <row r="31" spans="2:20" ht="18.75" customHeight="1">
      <c r="B31" s="844" t="s">
        <v>45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3"/>
      <c r="L31" s="793"/>
      <c r="M31" s="793"/>
      <c r="N31" s="793"/>
      <c r="O31" s="845"/>
    </row>
    <row r="32" spans="2:20" ht="18.75" customHeight="1">
      <c r="B32" s="840" t="s">
        <v>47</v>
      </c>
      <c r="C32" s="842"/>
      <c r="D32" s="841" t="s">
        <v>48</v>
      </c>
      <c r="E32" s="842"/>
      <c r="F32" s="841" t="s">
        <v>49</v>
      </c>
      <c r="G32" s="842"/>
      <c r="H32" s="840" t="s">
        <v>50</v>
      </c>
      <c r="I32" s="841"/>
      <c r="J32" s="842"/>
      <c r="K32" s="840" t="s">
        <v>51</v>
      </c>
      <c r="L32" s="841"/>
      <c r="M32" s="841"/>
      <c r="N32" s="841"/>
      <c r="O32" s="842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5" spans="2:19">
      <c r="C35" s="118"/>
    </row>
    <row r="36" spans="2:19" ht="15.75">
      <c r="J36" s="12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91"/>
      <c r="D39" s="128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1"/>
      <c r="R39" s="74"/>
    </row>
    <row r="40" spans="2:19" ht="18.75" customHeight="1">
      <c r="B40" s="91"/>
      <c r="C40" s="119"/>
      <c r="D40" s="91"/>
      <c r="E40" s="830"/>
      <c r="F40" s="830"/>
      <c r="G40" s="830"/>
      <c r="H40" s="830"/>
      <c r="I40" s="830"/>
      <c r="J40" s="830"/>
      <c r="K40" s="110"/>
      <c r="L40" s="110"/>
      <c r="M40" s="110"/>
      <c r="N40" s="110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131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130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43"/>
      <c r="I43" s="843"/>
      <c r="J43" s="84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37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116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37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36"/>
      <c r="K54" s="839"/>
      <c r="L54" s="839"/>
      <c r="M54" s="839"/>
      <c r="N54" s="839"/>
      <c r="O54" s="839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37"/>
      <c r="K55" s="838"/>
      <c r="L55" s="838"/>
      <c r="M55" s="838"/>
      <c r="N55" s="838"/>
      <c r="O55" s="838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36"/>
      <c r="K56" s="839"/>
      <c r="L56" s="839"/>
      <c r="M56" s="839"/>
      <c r="N56" s="839"/>
      <c r="O56" s="839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37"/>
      <c r="K57" s="838"/>
      <c r="L57" s="838"/>
      <c r="M57" s="838"/>
      <c r="N57" s="838"/>
      <c r="O57" s="838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36"/>
      <c r="K58" s="839"/>
      <c r="L58" s="839"/>
      <c r="M58" s="839"/>
      <c r="N58" s="839"/>
      <c r="O58" s="839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34"/>
      <c r="C60" s="734"/>
      <c r="D60" s="734"/>
      <c r="E60" s="734"/>
      <c r="F60" s="734"/>
      <c r="G60" s="734"/>
      <c r="H60" s="101"/>
      <c r="I60" s="101"/>
      <c r="J60" s="734"/>
      <c r="K60" s="734"/>
      <c r="L60" s="734"/>
      <c r="M60" s="734"/>
      <c r="N60" s="734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1">
    <mergeCell ref="B55:G55"/>
    <mergeCell ref="K55:O55"/>
    <mergeCell ref="K56:O56"/>
    <mergeCell ref="K57:O57"/>
    <mergeCell ref="K58:O58"/>
    <mergeCell ref="B63:C63"/>
    <mergeCell ref="D63:E63"/>
    <mergeCell ref="F63:G63"/>
    <mergeCell ref="H63:J63"/>
    <mergeCell ref="K63:O63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31:C31"/>
    <mergeCell ref="D31:E31"/>
    <mergeCell ref="F31:G31"/>
    <mergeCell ref="H31:J31"/>
    <mergeCell ref="B32:C32"/>
    <mergeCell ref="D32:E32"/>
    <mergeCell ref="F32:G32"/>
    <mergeCell ref="H32:J32"/>
    <mergeCell ref="H30:J30"/>
    <mergeCell ref="K30:O31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K19:O19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7:O17"/>
    <mergeCell ref="K18:O18"/>
    <mergeCell ref="I8:J8"/>
    <mergeCell ref="D2:J5"/>
    <mergeCell ref="K2:O2"/>
    <mergeCell ref="L3:O3"/>
    <mergeCell ref="L4:O4"/>
    <mergeCell ref="L5:O5"/>
  </mergeCells>
  <printOptions horizontalCentered="1"/>
  <pageMargins left="0" right="0" top="0.23622047244094499" bottom="0.23622047244094499" header="0" footer="0"/>
  <pageSetup paperSize="9" scale="67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924F-5960-4124-AAE3-B5E4EC4D9F46}">
  <sheetPr>
    <pageSetUpPr fitToPage="1"/>
  </sheetPr>
  <dimension ref="B2:T63"/>
  <sheetViews>
    <sheetView showGridLines="0" view="pageBreakPreview" zoomScale="70" zoomScaleNormal="100" zoomScaleSheetLayoutView="70" workbookViewId="0">
      <selection activeCell="D24" sqref="D24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" style="74" bestFit="1" customWidth="1"/>
    <col min="18" max="18" width="14.25" style="384" customWidth="1"/>
    <col min="19" max="16384" width="9.25" style="74"/>
  </cols>
  <sheetData>
    <row r="2" spans="2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2:18" ht="18.75" customHeight="1">
      <c r="B3" s="3"/>
      <c r="C3" s="4"/>
      <c r="D3" s="872"/>
      <c r="E3" s="1080"/>
      <c r="F3" s="1080"/>
      <c r="G3" s="1080"/>
      <c r="H3" s="1080"/>
      <c r="I3" s="1080"/>
      <c r="J3" s="1080"/>
      <c r="K3" s="49" t="s">
        <v>2</v>
      </c>
      <c r="L3" s="1048" t="s">
        <v>3</v>
      </c>
      <c r="M3" s="1048"/>
      <c r="N3" s="1048"/>
      <c r="O3" s="1081"/>
      <c r="R3" s="74"/>
    </row>
    <row r="4" spans="2:18" ht="18.75" customHeight="1">
      <c r="B4" s="3"/>
      <c r="C4" s="4"/>
      <c r="D4" s="872"/>
      <c r="E4" s="1080"/>
      <c r="F4" s="1080"/>
      <c r="G4" s="1080"/>
      <c r="H4" s="1080"/>
      <c r="I4" s="1080"/>
      <c r="J4" s="1080"/>
      <c r="K4" s="49" t="s">
        <v>4</v>
      </c>
      <c r="L4" s="1048" t="s">
        <v>5</v>
      </c>
      <c r="M4" s="1048"/>
      <c r="N4" s="1048"/>
      <c r="O4" s="1081"/>
      <c r="R4" s="74"/>
    </row>
    <row r="5" spans="2:18" ht="18.75" customHeight="1">
      <c r="B5" s="3"/>
      <c r="C5" s="4"/>
      <c r="D5" s="872"/>
      <c r="E5" s="1080"/>
      <c r="F5" s="1080"/>
      <c r="G5" s="1080"/>
      <c r="H5" s="1080"/>
      <c r="I5" s="1080"/>
      <c r="J5" s="1080"/>
      <c r="K5" s="50" t="s">
        <v>6</v>
      </c>
      <c r="L5" s="762" t="s">
        <v>7</v>
      </c>
      <c r="M5" s="763"/>
      <c r="N5" s="763"/>
      <c r="O5" s="1082"/>
      <c r="R5" s="74"/>
    </row>
    <row r="6" spans="2:18" ht="18.75" customHeight="1">
      <c r="B6" s="385"/>
      <c r="C6" s="386"/>
      <c r="D6" s="386"/>
      <c r="E6" s="386"/>
      <c r="F6" s="386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2:18" ht="18.75" customHeight="1">
      <c r="B7" s="147" t="s">
        <v>8</v>
      </c>
      <c r="C7" s="148"/>
      <c r="D7" s="148"/>
      <c r="E7" s="148"/>
      <c r="F7" s="148"/>
      <c r="G7" s="387"/>
      <c r="H7" s="388"/>
      <c r="I7" s="151"/>
      <c r="J7" s="134"/>
      <c r="K7" s="134"/>
      <c r="L7" s="134"/>
      <c r="M7" s="134"/>
      <c r="N7" s="134"/>
      <c r="O7" s="135"/>
      <c r="R7" s="74"/>
    </row>
    <row r="8" spans="2:18" ht="18.75" customHeight="1">
      <c r="B8" s="13" t="s">
        <v>9</v>
      </c>
      <c r="C8" s="14" t="s">
        <v>229</v>
      </c>
      <c r="D8" s="14"/>
      <c r="E8" s="15"/>
      <c r="F8" s="15"/>
      <c r="G8" s="15"/>
      <c r="H8" s="16"/>
      <c r="I8" s="1046" t="s">
        <v>11</v>
      </c>
      <c r="J8" s="1046"/>
      <c r="K8" s="405" t="s">
        <v>230</v>
      </c>
      <c r="L8" s="389"/>
      <c r="M8" s="389"/>
      <c r="N8" s="389"/>
      <c r="O8" s="132"/>
      <c r="R8" s="74"/>
    </row>
    <row r="9" spans="2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2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231</v>
      </c>
      <c r="L10" s="138"/>
      <c r="M10" s="138"/>
      <c r="N10" s="138"/>
      <c r="O10" s="139"/>
      <c r="R10" s="125" t="str">
        <f>K10</f>
        <v>A1641</v>
      </c>
    </row>
    <row r="11" spans="2:18" ht="18.75" customHeight="1">
      <c r="B11" s="140"/>
      <c r="C11" s="17"/>
      <c r="D11" s="17"/>
      <c r="E11" s="17"/>
      <c r="F11" s="17"/>
      <c r="G11" s="18"/>
      <c r="H11" s="19"/>
      <c r="I11" s="19"/>
      <c r="J11" s="17"/>
      <c r="K11" s="17"/>
      <c r="L11" s="17"/>
      <c r="M11" s="17"/>
      <c r="N11" s="17"/>
      <c r="O11" s="142"/>
      <c r="R11" s="74"/>
    </row>
    <row r="12" spans="2:18" ht="18.75" customHeight="1">
      <c r="B12" s="153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2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390" t="s">
        <v>21</v>
      </c>
      <c r="J13" s="59" t="s">
        <v>22</v>
      </c>
      <c r="K13" s="1078" t="s">
        <v>23</v>
      </c>
      <c r="L13" s="1078"/>
      <c r="M13" s="1078"/>
      <c r="N13" s="1078"/>
      <c r="O13" s="866"/>
      <c r="R13" s="74"/>
    </row>
    <row r="14" spans="2:18" ht="18.75" customHeight="1">
      <c r="B14" s="407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2:18" ht="18.75" customHeight="1">
      <c r="B15" s="301" t="s">
        <v>232</v>
      </c>
      <c r="C15" s="27"/>
      <c r="D15" s="27"/>
      <c r="E15" s="27"/>
      <c r="F15" s="27"/>
      <c r="G15" s="27"/>
      <c r="H15" s="26" t="s">
        <v>25</v>
      </c>
      <c r="I15" s="746" t="s">
        <v>26</v>
      </c>
      <c r="J15" s="61" t="s">
        <v>27</v>
      </c>
      <c r="K15" s="1079"/>
      <c r="L15" s="1079"/>
      <c r="M15" s="1079"/>
      <c r="N15" s="1079"/>
      <c r="O15" s="869"/>
      <c r="R15" s="74"/>
    </row>
    <row r="16" spans="2:18" ht="18.75" customHeight="1">
      <c r="B16" s="383"/>
      <c r="C16" s="27"/>
      <c r="D16" s="27"/>
      <c r="E16" s="27"/>
      <c r="F16" s="27"/>
      <c r="G16" s="27"/>
      <c r="H16" s="26"/>
      <c r="I16" s="746"/>
      <c r="J16" s="61"/>
      <c r="K16" s="749"/>
      <c r="L16" s="749"/>
      <c r="M16" s="749"/>
      <c r="N16" s="749"/>
      <c r="O16" s="727"/>
      <c r="R16" s="74"/>
    </row>
    <row r="17" spans="2:20" ht="18.75" customHeight="1">
      <c r="B17" s="234" t="s">
        <v>233</v>
      </c>
      <c r="C17" s="391"/>
      <c r="D17" s="391"/>
      <c r="E17" s="391"/>
      <c r="F17" s="391"/>
      <c r="G17" s="25"/>
      <c r="H17" s="26"/>
      <c r="I17" s="746"/>
      <c r="J17" s="61"/>
      <c r="K17" s="1072"/>
      <c r="L17" s="1072"/>
      <c r="M17" s="1072"/>
      <c r="N17" s="1072"/>
      <c r="O17" s="847"/>
      <c r="R17" s="74"/>
    </row>
    <row r="18" spans="2:20" ht="18.75" customHeight="1">
      <c r="B18" s="158" t="s">
        <v>234</v>
      </c>
      <c r="C18" s="25">
        <v>-500</v>
      </c>
      <c r="D18" s="25"/>
      <c r="E18" s="25"/>
      <c r="F18" s="25"/>
      <c r="G18" s="25"/>
      <c r="H18" s="26"/>
      <c r="I18" s="746"/>
      <c r="J18" s="61"/>
      <c r="K18" s="1072">
        <v>500</v>
      </c>
      <c r="L18" s="1072"/>
      <c r="M18" s="1072"/>
      <c r="N18" s="1072"/>
      <c r="O18" s="847"/>
      <c r="R18" s="74"/>
    </row>
    <row r="19" spans="2:20" ht="18.75" customHeight="1">
      <c r="B19" s="158" t="s">
        <v>235</v>
      </c>
      <c r="C19" s="25">
        <v>-500</v>
      </c>
      <c r="D19" s="27"/>
      <c r="E19" s="27"/>
      <c r="F19" s="27"/>
      <c r="G19" s="27"/>
      <c r="H19" s="26"/>
      <c r="I19" s="746"/>
      <c r="J19" s="61"/>
      <c r="K19" s="1072">
        <v>500</v>
      </c>
      <c r="L19" s="1072"/>
      <c r="M19" s="1072"/>
      <c r="N19" s="1072"/>
      <c r="O19" s="847"/>
      <c r="R19" s="74"/>
    </row>
    <row r="20" spans="2:20" ht="18.75" customHeight="1">
      <c r="B20" s="158" t="s">
        <v>236</v>
      </c>
      <c r="C20" s="25">
        <v>-500</v>
      </c>
      <c r="D20" s="27"/>
      <c r="E20" s="27"/>
      <c r="F20" s="27"/>
      <c r="G20" s="27"/>
      <c r="H20" s="26"/>
      <c r="I20" s="746"/>
      <c r="J20" s="61"/>
      <c r="K20" s="848">
        <v>500</v>
      </c>
      <c r="L20" s="1072"/>
      <c r="M20" s="1072"/>
      <c r="N20" s="1072"/>
      <c r="O20" s="847"/>
      <c r="R20" s="74"/>
    </row>
    <row r="21" spans="2:20" ht="18.75" hidden="1" customHeight="1">
      <c r="B21" s="158"/>
      <c r="C21" s="25"/>
      <c r="D21" s="27"/>
      <c r="E21" s="27"/>
      <c r="F21" s="27"/>
      <c r="G21" s="27"/>
      <c r="H21" s="26"/>
      <c r="I21" s="746"/>
      <c r="J21" s="61"/>
      <c r="K21" s="1072"/>
      <c r="L21" s="1072"/>
      <c r="M21" s="1072"/>
      <c r="N21" s="1072"/>
      <c r="O21" s="847"/>
      <c r="R21" s="74"/>
    </row>
    <row r="22" spans="2:20" ht="22.5" hidden="1" customHeight="1">
      <c r="B22" s="158"/>
      <c r="C22" s="28"/>
      <c r="D22" s="27"/>
      <c r="E22" s="29"/>
      <c r="F22" s="27"/>
      <c r="G22" s="27"/>
      <c r="H22" s="26"/>
      <c r="I22" s="746"/>
      <c r="J22" s="61"/>
      <c r="K22" s="1072"/>
      <c r="L22" s="1072"/>
      <c r="M22" s="1072"/>
      <c r="N22" s="1072"/>
      <c r="O22" s="847"/>
      <c r="R22" s="74"/>
    </row>
    <row r="23" spans="2:20" ht="28.5" customHeight="1">
      <c r="B23" s="162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850"/>
    </row>
    <row r="24" spans="2:20" ht="18.75" customHeight="1">
      <c r="B24" s="167" t="s">
        <v>31</v>
      </c>
      <c r="C24" s="94"/>
      <c r="D24" s="94"/>
      <c r="E24" s="94"/>
      <c r="F24" s="94"/>
      <c r="G24" s="95"/>
      <c r="H24" s="96"/>
      <c r="I24" s="1073" t="s">
        <v>32</v>
      </c>
      <c r="J24" s="1074"/>
      <c r="K24" s="1075">
        <f>SUM(K15:O23)</f>
        <v>1500</v>
      </c>
      <c r="L24" s="1075"/>
      <c r="M24" s="1075"/>
      <c r="N24" s="1075"/>
      <c r="O24" s="1076"/>
      <c r="P24" s="121">
        <f>SUM(K15:O22)</f>
        <v>1500</v>
      </c>
      <c r="R24" s="392">
        <v>17892</v>
      </c>
    </row>
    <row r="25" spans="2:20" ht="18.75" customHeight="1">
      <c r="B25" s="37" t="s">
        <v>33</v>
      </c>
      <c r="C25" s="15" t="s">
        <v>228</v>
      </c>
      <c r="D25" s="34"/>
      <c r="E25" s="34"/>
      <c r="F25" s="34"/>
      <c r="G25" s="35"/>
      <c r="H25" s="36"/>
      <c r="I25" s="747"/>
      <c r="J25" s="393"/>
      <c r="K25" s="394"/>
      <c r="L25" s="394"/>
      <c r="M25" s="394"/>
      <c r="N25" s="394"/>
      <c r="O25" s="395"/>
      <c r="P25" s="121"/>
      <c r="R25" s="392"/>
      <c r="T25" s="74" t="s">
        <v>35</v>
      </c>
    </row>
    <row r="26" spans="2:20" ht="18.75" hidden="1" customHeight="1">
      <c r="B26" s="167" t="s">
        <v>36</v>
      </c>
      <c r="C26" s="94" t="s">
        <v>37</v>
      </c>
      <c r="D26" s="172"/>
      <c r="E26" s="172"/>
      <c r="F26" s="172"/>
      <c r="G26" s="173"/>
      <c r="H26" s="174"/>
      <c r="I26" s="396"/>
      <c r="J26" s="397"/>
      <c r="K26" s="398"/>
      <c r="L26" s="398"/>
      <c r="M26" s="398"/>
      <c r="N26" s="398"/>
      <c r="O26" s="399"/>
      <c r="P26" s="121"/>
      <c r="R26" s="392"/>
    </row>
    <row r="27" spans="2:20" ht="18.75" hidden="1" customHeight="1">
      <c r="B27" s="179" t="s">
        <v>33</v>
      </c>
      <c r="C27" s="180" t="s">
        <v>38</v>
      </c>
      <c r="D27" s="181"/>
      <c r="E27" s="181"/>
      <c r="F27" s="400"/>
      <c r="G27" s="181"/>
      <c r="H27" s="182"/>
      <c r="I27" s="1057" t="s">
        <v>39</v>
      </c>
      <c r="J27" s="1057"/>
      <c r="K27" s="1058">
        <v>0</v>
      </c>
      <c r="L27" s="1058"/>
      <c r="M27" s="1058"/>
      <c r="N27" s="1058"/>
      <c r="O27" s="1077"/>
    </row>
    <row r="28" spans="2:20" ht="18.75" customHeight="1">
      <c r="B28" s="18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1500</v>
      </c>
      <c r="L28" s="809"/>
      <c r="M28" s="809"/>
      <c r="N28" s="809"/>
      <c r="O28" s="858"/>
    </row>
    <row r="29" spans="2:20" ht="18.75" customHeight="1">
      <c r="B29" s="722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59"/>
    </row>
    <row r="30" spans="2:20" s="73" customFormat="1" ht="18.75" customHeight="1">
      <c r="B30" s="46"/>
      <c r="C30" s="47"/>
      <c r="D30" s="19"/>
      <c r="E30" s="47"/>
      <c r="F30" s="19"/>
      <c r="G30" s="47"/>
      <c r="H30" s="790"/>
      <c r="I30" s="791"/>
      <c r="J30" s="792"/>
      <c r="K30" s="1054"/>
      <c r="L30" s="1054"/>
      <c r="M30" s="1054"/>
      <c r="N30" s="1054"/>
      <c r="O30" s="845"/>
      <c r="R30" s="401"/>
    </row>
    <row r="31" spans="2:20" ht="18.75" customHeight="1">
      <c r="B31" s="844" t="s">
        <v>45</v>
      </c>
      <c r="C31" s="817"/>
      <c r="D31" s="1059" t="s">
        <v>46</v>
      </c>
      <c r="E31" s="817"/>
      <c r="F31" s="1059"/>
      <c r="G31" s="817"/>
      <c r="H31" s="818"/>
      <c r="I31" s="1060"/>
      <c r="J31" s="820"/>
      <c r="K31" s="1054"/>
      <c r="L31" s="1054"/>
      <c r="M31" s="1054"/>
      <c r="N31" s="1054"/>
      <c r="O31" s="845"/>
    </row>
    <row r="32" spans="2:20" ht="18.75" customHeight="1">
      <c r="B32" s="840" t="s">
        <v>47</v>
      </c>
      <c r="C32" s="842"/>
      <c r="D32" s="841" t="s">
        <v>48</v>
      </c>
      <c r="E32" s="842"/>
      <c r="F32" s="841" t="s">
        <v>49</v>
      </c>
      <c r="G32" s="842"/>
      <c r="H32" s="840" t="s">
        <v>50</v>
      </c>
      <c r="I32" s="841"/>
      <c r="J32" s="842"/>
      <c r="K32" s="840" t="s">
        <v>51</v>
      </c>
      <c r="L32" s="841"/>
      <c r="M32" s="841"/>
      <c r="N32" s="841"/>
      <c r="O32" s="842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6" spans="2:19" ht="14.25">
      <c r="J36" s="40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401"/>
      <c r="L38" s="401"/>
      <c r="M38" s="401"/>
      <c r="N38" s="401"/>
      <c r="O38" s="111"/>
      <c r="R38" s="74"/>
    </row>
    <row r="39" spans="2:19" ht="18.75" customHeight="1">
      <c r="B39" s="91"/>
      <c r="C39" s="91"/>
      <c r="D39" s="91"/>
      <c r="E39" s="830"/>
      <c r="F39" s="830"/>
      <c r="G39" s="830"/>
      <c r="H39" s="830"/>
      <c r="I39" s="830"/>
      <c r="J39" s="830"/>
      <c r="K39" s="401"/>
      <c r="L39" s="401"/>
      <c r="M39" s="401"/>
      <c r="N39" s="401"/>
      <c r="O39" s="111"/>
      <c r="R39" s="74"/>
    </row>
    <row r="40" spans="2:19" ht="18.75" customHeight="1">
      <c r="B40" s="91"/>
      <c r="C40" s="403"/>
      <c r="D40" s="91"/>
      <c r="E40" s="830"/>
      <c r="F40" s="830"/>
      <c r="G40" s="830"/>
      <c r="H40" s="830"/>
      <c r="I40" s="830"/>
      <c r="J40" s="830"/>
      <c r="K40" s="401"/>
      <c r="L40" s="401"/>
      <c r="M40" s="401"/>
      <c r="N40" s="401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93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96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33"/>
      <c r="I43" s="833"/>
      <c r="J43" s="83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16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16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404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16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15"/>
      <c r="K54" s="836"/>
      <c r="L54" s="836"/>
      <c r="M54" s="836"/>
      <c r="N54" s="836"/>
      <c r="O54" s="836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16"/>
      <c r="K55" s="826"/>
      <c r="L55" s="826"/>
      <c r="M55" s="826"/>
      <c r="N55" s="826"/>
      <c r="O55" s="826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15"/>
      <c r="K56" s="836"/>
      <c r="L56" s="836"/>
      <c r="M56" s="836"/>
      <c r="N56" s="836"/>
      <c r="O56" s="836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16"/>
      <c r="K57" s="826"/>
      <c r="L57" s="826"/>
      <c r="M57" s="826"/>
      <c r="N57" s="826"/>
      <c r="O57" s="826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15"/>
      <c r="K58" s="836"/>
      <c r="L58" s="836"/>
      <c r="M58" s="836"/>
      <c r="N58" s="836"/>
      <c r="O58" s="836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47"/>
      <c r="C60" s="747"/>
      <c r="D60" s="747"/>
      <c r="E60" s="747"/>
      <c r="F60" s="747"/>
      <c r="G60" s="747"/>
      <c r="H60" s="400"/>
      <c r="I60" s="400"/>
      <c r="J60" s="747"/>
      <c r="K60" s="747"/>
      <c r="L60" s="747"/>
      <c r="M60" s="747"/>
      <c r="N60" s="747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401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1">
    <mergeCell ref="I8:J8"/>
    <mergeCell ref="D2:J5"/>
    <mergeCell ref="K2:O2"/>
    <mergeCell ref="L3:O3"/>
    <mergeCell ref="L4:O4"/>
    <mergeCell ref="L5:O5"/>
    <mergeCell ref="K19:O19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7:O17"/>
    <mergeCell ref="K18:O18"/>
    <mergeCell ref="H30:J30"/>
    <mergeCell ref="K30:O31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B31:C31"/>
    <mergeCell ref="D31:E31"/>
    <mergeCell ref="F31:G31"/>
    <mergeCell ref="H31:J31"/>
    <mergeCell ref="B32:C32"/>
    <mergeCell ref="D32:E32"/>
    <mergeCell ref="F32:G32"/>
    <mergeCell ref="H32:J32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63:C63"/>
    <mergeCell ref="D63:E63"/>
    <mergeCell ref="F63:G63"/>
    <mergeCell ref="H63:J63"/>
    <mergeCell ref="K63:O63"/>
    <mergeCell ref="B55:G55"/>
    <mergeCell ref="K55:O55"/>
    <mergeCell ref="K56:O56"/>
    <mergeCell ref="K57:O57"/>
    <mergeCell ref="K58:O58"/>
  </mergeCells>
  <printOptions horizontalCentered="1"/>
  <pageMargins left="0" right="0" top="0.23622047244094499" bottom="0.23622047244094499" header="0" footer="0"/>
  <pageSetup scale="67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994E-CDE8-4E87-8F99-1622F966FA2C}">
  <sheetPr>
    <pageSetUpPr fitToPage="1"/>
  </sheetPr>
  <dimension ref="B2:T63"/>
  <sheetViews>
    <sheetView showGridLines="0" view="pageBreakPreview" zoomScale="70" zoomScaleNormal="100" zoomScaleSheetLayoutView="70" workbookViewId="0">
      <selection activeCell="E17" sqref="E17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" style="74" bestFit="1" customWidth="1"/>
    <col min="18" max="18" width="14.25" style="384" customWidth="1"/>
    <col min="19" max="16384" width="9.25" style="74"/>
  </cols>
  <sheetData>
    <row r="2" spans="2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2:18" ht="18.75" customHeight="1">
      <c r="B3" s="3"/>
      <c r="C3" s="4"/>
      <c r="D3" s="872"/>
      <c r="E3" s="1080"/>
      <c r="F3" s="1080"/>
      <c r="G3" s="1080"/>
      <c r="H3" s="1080"/>
      <c r="I3" s="1080"/>
      <c r="J3" s="1080"/>
      <c r="K3" s="49" t="s">
        <v>2</v>
      </c>
      <c r="L3" s="1048" t="s">
        <v>3</v>
      </c>
      <c r="M3" s="1048"/>
      <c r="N3" s="1048"/>
      <c r="O3" s="1081"/>
      <c r="R3" s="74"/>
    </row>
    <row r="4" spans="2:18" ht="18.75" customHeight="1">
      <c r="B4" s="3"/>
      <c r="C4" s="4"/>
      <c r="D4" s="872"/>
      <c r="E4" s="1080"/>
      <c r="F4" s="1080"/>
      <c r="G4" s="1080"/>
      <c r="H4" s="1080"/>
      <c r="I4" s="1080"/>
      <c r="J4" s="1080"/>
      <c r="K4" s="49" t="s">
        <v>4</v>
      </c>
      <c r="L4" s="1048" t="s">
        <v>5</v>
      </c>
      <c r="M4" s="1048"/>
      <c r="N4" s="1048"/>
      <c r="O4" s="1081"/>
      <c r="R4" s="74"/>
    </row>
    <row r="5" spans="2:18" ht="18.75" customHeight="1">
      <c r="B5" s="3"/>
      <c r="C5" s="4"/>
      <c r="D5" s="872"/>
      <c r="E5" s="1080"/>
      <c r="F5" s="1080"/>
      <c r="G5" s="1080"/>
      <c r="H5" s="1080"/>
      <c r="I5" s="1080"/>
      <c r="J5" s="1080"/>
      <c r="K5" s="50" t="s">
        <v>6</v>
      </c>
      <c r="L5" s="762" t="s">
        <v>7</v>
      </c>
      <c r="M5" s="763"/>
      <c r="N5" s="763"/>
      <c r="O5" s="1082"/>
      <c r="R5" s="74"/>
    </row>
    <row r="6" spans="2:18" ht="18.75" customHeight="1">
      <c r="B6" s="385"/>
      <c r="C6" s="386"/>
      <c r="D6" s="386"/>
      <c r="E6" s="386"/>
      <c r="F6" s="386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2:18" ht="18.75" customHeight="1">
      <c r="B7" s="147" t="s">
        <v>8</v>
      </c>
      <c r="C7" s="148"/>
      <c r="D7" s="148"/>
      <c r="E7" s="148"/>
      <c r="F7" s="148"/>
      <c r="G7" s="387"/>
      <c r="H7" s="388"/>
      <c r="I7" s="151"/>
      <c r="J7" s="134"/>
      <c r="K7" s="134"/>
      <c r="L7" s="134"/>
      <c r="M7" s="134"/>
      <c r="N7" s="134"/>
      <c r="O7" s="135"/>
      <c r="R7" s="74"/>
    </row>
    <row r="8" spans="2:18" ht="18.75" customHeight="1">
      <c r="B8" s="13" t="s">
        <v>9</v>
      </c>
      <c r="C8" s="14" t="s">
        <v>229</v>
      </c>
      <c r="D8" s="14"/>
      <c r="E8" s="15"/>
      <c r="F8" s="15"/>
      <c r="G8" s="15"/>
      <c r="H8" s="16"/>
      <c r="I8" s="1046" t="s">
        <v>11</v>
      </c>
      <c r="J8" s="1046"/>
      <c r="K8" s="405" t="s">
        <v>230</v>
      </c>
      <c r="L8" s="389"/>
      <c r="M8" s="389"/>
      <c r="N8" s="389"/>
      <c r="O8" s="132"/>
      <c r="R8" s="74"/>
    </row>
    <row r="9" spans="2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2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231</v>
      </c>
      <c r="L10" s="138"/>
      <c r="M10" s="138"/>
      <c r="N10" s="138"/>
      <c r="O10" s="139"/>
      <c r="R10" s="125" t="str">
        <f>K10</f>
        <v>A1641</v>
      </c>
    </row>
    <row r="11" spans="2:18" ht="18.75" customHeight="1">
      <c r="B11" s="140"/>
      <c r="C11" s="17"/>
      <c r="D11" s="17"/>
      <c r="E11" s="17"/>
      <c r="F11" s="17"/>
      <c r="G11" s="18"/>
      <c r="H11" s="19"/>
      <c r="I11" s="19"/>
      <c r="J11" s="17"/>
      <c r="K11" s="17"/>
      <c r="L11" s="17"/>
      <c r="M11" s="17"/>
      <c r="N11" s="17"/>
      <c r="O11" s="142"/>
      <c r="R11" s="74"/>
    </row>
    <row r="12" spans="2:18" ht="18.75" customHeight="1">
      <c r="B12" s="153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2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390" t="s">
        <v>21</v>
      </c>
      <c r="J13" s="59" t="s">
        <v>22</v>
      </c>
      <c r="K13" s="1078" t="s">
        <v>23</v>
      </c>
      <c r="L13" s="1078"/>
      <c r="M13" s="1078"/>
      <c r="N13" s="1078"/>
      <c r="O13" s="866"/>
      <c r="R13" s="74"/>
    </row>
    <row r="14" spans="2:18" ht="18.75" customHeight="1">
      <c r="B14" s="407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2:18" ht="18.75" customHeight="1">
      <c r="B15" s="301" t="s">
        <v>237</v>
      </c>
      <c r="C15" s="27"/>
      <c r="D15" s="27"/>
      <c r="E15" s="27"/>
      <c r="F15" s="27"/>
      <c r="G15" s="27"/>
      <c r="H15" s="26" t="s">
        <v>25</v>
      </c>
      <c r="I15" s="746" t="s">
        <v>26</v>
      </c>
      <c r="J15" s="61" t="s">
        <v>27</v>
      </c>
      <c r="K15" s="1079">
        <v>8000</v>
      </c>
      <c r="L15" s="1079"/>
      <c r="M15" s="1079"/>
      <c r="N15" s="1079"/>
      <c r="O15" s="869"/>
      <c r="R15" s="74"/>
    </row>
    <row r="16" spans="2:18" ht="18.75" customHeight="1">
      <c r="B16" s="383"/>
      <c r="C16" s="27"/>
      <c r="D16" s="27"/>
      <c r="E16" s="27"/>
      <c r="F16" s="27"/>
      <c r="G16" s="27"/>
      <c r="H16" s="26"/>
      <c r="I16" s="746"/>
      <c r="J16" s="61"/>
      <c r="K16" s="749"/>
      <c r="L16" s="749"/>
      <c r="M16" s="749"/>
      <c r="N16" s="749"/>
      <c r="O16" s="727"/>
      <c r="R16" s="74"/>
    </row>
    <row r="17" spans="2:20" ht="18.75" customHeight="1">
      <c r="B17" s="234" t="s">
        <v>238</v>
      </c>
      <c r="C17" s="391"/>
      <c r="D17" s="391"/>
      <c r="E17" s="391"/>
      <c r="F17" s="391"/>
      <c r="G17" s="25"/>
      <c r="H17" s="26"/>
      <c r="I17" s="746"/>
      <c r="J17" s="61"/>
      <c r="K17" s="1072"/>
      <c r="L17" s="1072"/>
      <c r="M17" s="1072"/>
      <c r="N17" s="1072"/>
      <c r="O17" s="847"/>
      <c r="R17" s="74"/>
    </row>
    <row r="18" spans="2:20" ht="18.75" customHeight="1">
      <c r="B18" s="158"/>
      <c r="C18" s="25"/>
      <c r="D18" s="25"/>
      <c r="E18" s="25"/>
      <c r="F18" s="25"/>
      <c r="G18" s="25"/>
      <c r="H18" s="26"/>
      <c r="I18" s="746"/>
      <c r="J18" s="61"/>
      <c r="K18" s="1072"/>
      <c r="L18" s="1072"/>
      <c r="M18" s="1072"/>
      <c r="N18" s="1072"/>
      <c r="O18" s="847"/>
      <c r="R18" s="74"/>
    </row>
    <row r="19" spans="2:20" ht="18.75" customHeight="1">
      <c r="B19" s="158"/>
      <c r="C19" s="25"/>
      <c r="D19" s="27"/>
      <c r="E19" s="27"/>
      <c r="F19" s="27"/>
      <c r="G19" s="27"/>
      <c r="H19" s="26"/>
      <c r="I19" s="746"/>
      <c r="J19" s="61"/>
      <c r="K19" s="1072"/>
      <c r="L19" s="1072"/>
      <c r="M19" s="1072"/>
      <c r="N19" s="1072"/>
      <c r="O19" s="847"/>
      <c r="R19" s="74"/>
    </row>
    <row r="20" spans="2:20" ht="18.75" customHeight="1">
      <c r="B20" s="158"/>
      <c r="C20" s="25"/>
      <c r="D20" s="27"/>
      <c r="E20" s="27"/>
      <c r="F20" s="27"/>
      <c r="G20" s="27"/>
      <c r="H20" s="26"/>
      <c r="I20" s="746"/>
      <c r="J20" s="61"/>
      <c r="K20" s="848"/>
      <c r="L20" s="1072"/>
      <c r="M20" s="1072"/>
      <c r="N20" s="1072"/>
      <c r="O20" s="847"/>
      <c r="R20" s="74"/>
    </row>
    <row r="21" spans="2:20" ht="18.75" hidden="1" customHeight="1">
      <c r="B21" s="158"/>
      <c r="C21" s="25"/>
      <c r="D21" s="27"/>
      <c r="E21" s="27"/>
      <c r="F21" s="27"/>
      <c r="G21" s="27"/>
      <c r="H21" s="26"/>
      <c r="I21" s="746"/>
      <c r="J21" s="61"/>
      <c r="K21" s="1072"/>
      <c r="L21" s="1072"/>
      <c r="M21" s="1072"/>
      <c r="N21" s="1072"/>
      <c r="O21" s="847"/>
      <c r="R21" s="74"/>
    </row>
    <row r="22" spans="2:20" ht="22.5" hidden="1" customHeight="1">
      <c r="B22" s="158"/>
      <c r="C22" s="28"/>
      <c r="D22" s="27"/>
      <c r="E22" s="29"/>
      <c r="F22" s="27"/>
      <c r="G22" s="27"/>
      <c r="H22" s="26"/>
      <c r="I22" s="746"/>
      <c r="J22" s="61"/>
      <c r="K22" s="1072"/>
      <c r="L22" s="1072"/>
      <c r="M22" s="1072"/>
      <c r="N22" s="1072"/>
      <c r="O22" s="847"/>
      <c r="R22" s="74"/>
    </row>
    <row r="23" spans="2:20" ht="28.5" customHeight="1">
      <c r="B23" s="162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850"/>
    </row>
    <row r="24" spans="2:20" ht="18.75" customHeight="1">
      <c r="B24" s="167" t="s">
        <v>31</v>
      </c>
      <c r="C24" s="94"/>
      <c r="D24" s="94"/>
      <c r="E24" s="94"/>
      <c r="F24" s="94"/>
      <c r="G24" s="95"/>
      <c r="H24" s="96"/>
      <c r="I24" s="1073" t="s">
        <v>32</v>
      </c>
      <c r="J24" s="1074"/>
      <c r="K24" s="1075">
        <f>SUM(K15:O23)</f>
        <v>8000</v>
      </c>
      <c r="L24" s="1075"/>
      <c r="M24" s="1075"/>
      <c r="N24" s="1075"/>
      <c r="O24" s="1076"/>
      <c r="P24" s="121">
        <f>SUM(K15:O22)</f>
        <v>8000</v>
      </c>
      <c r="R24" s="392">
        <v>17892</v>
      </c>
    </row>
    <row r="25" spans="2:20" ht="18.75" customHeight="1">
      <c r="B25" s="37" t="s">
        <v>33</v>
      </c>
      <c r="C25" s="15" t="s">
        <v>211</v>
      </c>
      <c r="D25" s="34"/>
      <c r="E25" s="34"/>
      <c r="F25" s="34"/>
      <c r="G25" s="35"/>
      <c r="H25" s="36"/>
      <c r="I25" s="747"/>
      <c r="J25" s="393"/>
      <c r="K25" s="394"/>
      <c r="L25" s="394"/>
      <c r="M25" s="394"/>
      <c r="N25" s="394"/>
      <c r="O25" s="395"/>
      <c r="P25" s="121"/>
      <c r="R25" s="392"/>
      <c r="T25" s="74" t="s">
        <v>35</v>
      </c>
    </row>
    <row r="26" spans="2:20" ht="18.75" hidden="1" customHeight="1">
      <c r="B26" s="167" t="s">
        <v>36</v>
      </c>
      <c r="C26" s="94" t="s">
        <v>37</v>
      </c>
      <c r="D26" s="172"/>
      <c r="E26" s="172"/>
      <c r="F26" s="172"/>
      <c r="G26" s="173"/>
      <c r="H26" s="174"/>
      <c r="I26" s="396"/>
      <c r="J26" s="397"/>
      <c r="K26" s="398"/>
      <c r="L26" s="398"/>
      <c r="M26" s="398"/>
      <c r="N26" s="398"/>
      <c r="O26" s="399"/>
      <c r="P26" s="121"/>
      <c r="R26" s="392"/>
    </row>
    <row r="27" spans="2:20" ht="18.75" hidden="1" customHeight="1">
      <c r="B27" s="179" t="s">
        <v>33</v>
      </c>
      <c r="C27" s="180" t="s">
        <v>38</v>
      </c>
      <c r="D27" s="181"/>
      <c r="E27" s="181"/>
      <c r="F27" s="400"/>
      <c r="G27" s="181"/>
      <c r="H27" s="182"/>
      <c r="I27" s="1057" t="s">
        <v>39</v>
      </c>
      <c r="J27" s="1057"/>
      <c r="K27" s="1058">
        <v>0</v>
      </c>
      <c r="L27" s="1058"/>
      <c r="M27" s="1058"/>
      <c r="N27" s="1058"/>
      <c r="O27" s="1077"/>
    </row>
    <row r="28" spans="2:20" ht="18.75" customHeight="1">
      <c r="B28" s="18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8000</v>
      </c>
      <c r="L28" s="809"/>
      <c r="M28" s="809"/>
      <c r="N28" s="809"/>
      <c r="O28" s="858"/>
    </row>
    <row r="29" spans="2:20" ht="18.75" customHeight="1">
      <c r="B29" s="722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59"/>
    </row>
    <row r="30" spans="2:20" s="73" customFormat="1" ht="18.75" customHeight="1">
      <c r="B30" s="46"/>
      <c r="C30" s="47"/>
      <c r="D30" s="19"/>
      <c r="E30" s="47"/>
      <c r="F30" s="19"/>
      <c r="G30" s="47"/>
      <c r="H30" s="790"/>
      <c r="I30" s="791"/>
      <c r="J30" s="792"/>
      <c r="K30" s="1054"/>
      <c r="L30" s="1054"/>
      <c r="M30" s="1054"/>
      <c r="N30" s="1054"/>
      <c r="O30" s="845"/>
      <c r="R30" s="401"/>
    </row>
    <row r="31" spans="2:20" ht="18.75" customHeight="1">
      <c r="B31" s="844" t="s">
        <v>45</v>
      </c>
      <c r="C31" s="817"/>
      <c r="D31" s="1059" t="s">
        <v>46</v>
      </c>
      <c r="E31" s="817"/>
      <c r="F31" s="1059"/>
      <c r="G31" s="817"/>
      <c r="H31" s="818"/>
      <c r="I31" s="1060"/>
      <c r="J31" s="820"/>
      <c r="K31" s="1054"/>
      <c r="L31" s="1054"/>
      <c r="M31" s="1054"/>
      <c r="N31" s="1054"/>
      <c r="O31" s="845"/>
    </row>
    <row r="32" spans="2:20" ht="18.75" customHeight="1">
      <c r="B32" s="840" t="s">
        <v>47</v>
      </c>
      <c r="C32" s="842"/>
      <c r="D32" s="841" t="s">
        <v>48</v>
      </c>
      <c r="E32" s="842"/>
      <c r="F32" s="841" t="s">
        <v>49</v>
      </c>
      <c r="G32" s="842"/>
      <c r="H32" s="840" t="s">
        <v>50</v>
      </c>
      <c r="I32" s="841"/>
      <c r="J32" s="842"/>
      <c r="K32" s="840" t="s">
        <v>51</v>
      </c>
      <c r="L32" s="841"/>
      <c r="M32" s="841"/>
      <c r="N32" s="841"/>
      <c r="O32" s="842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6" spans="2:19" ht="14.25">
      <c r="J36" s="40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401"/>
      <c r="L38" s="401"/>
      <c r="M38" s="401"/>
      <c r="N38" s="401"/>
      <c r="O38" s="111"/>
      <c r="R38" s="74"/>
    </row>
    <row r="39" spans="2:19" ht="18.75" customHeight="1">
      <c r="B39" s="91"/>
      <c r="C39" s="91"/>
      <c r="D39" s="91"/>
      <c r="E39" s="830"/>
      <c r="F39" s="830"/>
      <c r="G39" s="830"/>
      <c r="H39" s="830"/>
      <c r="I39" s="830"/>
      <c r="J39" s="830"/>
      <c r="K39" s="401"/>
      <c r="L39" s="401"/>
      <c r="M39" s="401"/>
      <c r="N39" s="401"/>
      <c r="O39" s="111"/>
      <c r="R39" s="74"/>
    </row>
    <row r="40" spans="2:19" ht="18.75" customHeight="1">
      <c r="B40" s="91"/>
      <c r="C40" s="403"/>
      <c r="D40" s="91"/>
      <c r="E40" s="830"/>
      <c r="F40" s="830"/>
      <c r="G40" s="830"/>
      <c r="H40" s="830"/>
      <c r="I40" s="830"/>
      <c r="J40" s="830"/>
      <c r="K40" s="401"/>
      <c r="L40" s="401"/>
      <c r="M40" s="401"/>
      <c r="N40" s="401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93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96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33"/>
      <c r="I43" s="833"/>
      <c r="J43" s="83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16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16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404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16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15"/>
      <c r="K54" s="836"/>
      <c r="L54" s="836"/>
      <c r="M54" s="836"/>
      <c r="N54" s="836"/>
      <c r="O54" s="836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16"/>
      <c r="K55" s="826"/>
      <c r="L55" s="826"/>
      <c r="M55" s="826"/>
      <c r="N55" s="826"/>
      <c r="O55" s="826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15"/>
      <c r="K56" s="836"/>
      <c r="L56" s="836"/>
      <c r="M56" s="836"/>
      <c r="N56" s="836"/>
      <c r="O56" s="836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16"/>
      <c r="K57" s="826"/>
      <c r="L57" s="826"/>
      <c r="M57" s="826"/>
      <c r="N57" s="826"/>
      <c r="O57" s="826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15"/>
      <c r="K58" s="836"/>
      <c r="L58" s="836"/>
      <c r="M58" s="836"/>
      <c r="N58" s="836"/>
      <c r="O58" s="836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47"/>
      <c r="C60" s="747"/>
      <c r="D60" s="747"/>
      <c r="E60" s="747"/>
      <c r="F60" s="747"/>
      <c r="G60" s="747"/>
      <c r="H60" s="400"/>
      <c r="I60" s="400"/>
      <c r="J60" s="747"/>
      <c r="K60" s="747"/>
      <c r="L60" s="747"/>
      <c r="M60" s="747"/>
      <c r="N60" s="747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401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1">
    <mergeCell ref="I8:J8"/>
    <mergeCell ref="D2:J5"/>
    <mergeCell ref="K2:O2"/>
    <mergeCell ref="L3:O3"/>
    <mergeCell ref="L4:O4"/>
    <mergeCell ref="L5:O5"/>
    <mergeCell ref="K19:O19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7:O17"/>
    <mergeCell ref="K18:O18"/>
    <mergeCell ref="H30:J30"/>
    <mergeCell ref="K30:O31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B31:C31"/>
    <mergeCell ref="D31:E31"/>
    <mergeCell ref="F31:G31"/>
    <mergeCell ref="H31:J31"/>
    <mergeCell ref="B32:C32"/>
    <mergeCell ref="D32:E32"/>
    <mergeCell ref="F32:G32"/>
    <mergeCell ref="H32:J32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63:C63"/>
    <mergeCell ref="D63:E63"/>
    <mergeCell ref="F63:G63"/>
    <mergeCell ref="H63:J63"/>
    <mergeCell ref="K63:O63"/>
    <mergeCell ref="B55:G55"/>
    <mergeCell ref="K55:O55"/>
    <mergeCell ref="K56:O56"/>
    <mergeCell ref="K57:O57"/>
    <mergeCell ref="K58:O58"/>
  </mergeCells>
  <printOptions horizontalCentered="1"/>
  <pageMargins left="0" right="0" top="0.23622047244094499" bottom="0.23622047244094499" header="0" footer="0"/>
  <pageSetup scale="67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E8A-E24C-46EC-991C-36BADF8F823D}">
  <sheetPr>
    <pageSetUpPr fitToPage="1"/>
  </sheetPr>
  <dimension ref="B2:T63"/>
  <sheetViews>
    <sheetView showGridLines="0" view="pageBreakPreview" zoomScale="70" zoomScaleNormal="100" zoomScaleSheetLayoutView="70" workbookViewId="0">
      <selection activeCell="C8" sqref="C8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" style="74" bestFit="1" customWidth="1"/>
    <col min="18" max="18" width="14.25" style="384" customWidth="1"/>
    <col min="19" max="16384" width="9.25" style="74"/>
  </cols>
  <sheetData>
    <row r="2" spans="2:18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2:18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760" t="s">
        <v>3</v>
      </c>
      <c r="M3" s="760"/>
      <c r="N3" s="760"/>
      <c r="O3" s="761"/>
      <c r="R3" s="74"/>
    </row>
    <row r="4" spans="2:18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760" t="s">
        <v>5</v>
      </c>
      <c r="M4" s="760"/>
      <c r="N4" s="760"/>
      <c r="O4" s="761"/>
      <c r="R4" s="74"/>
    </row>
    <row r="5" spans="2:18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762" t="s">
        <v>7</v>
      </c>
      <c r="M5" s="763"/>
      <c r="N5" s="763"/>
      <c r="O5" s="764"/>
      <c r="R5" s="74"/>
    </row>
    <row r="6" spans="2:18" ht="18.75" customHeight="1">
      <c r="B6" s="429"/>
      <c r="C6" s="386"/>
      <c r="D6" s="386"/>
      <c r="E6" s="386"/>
      <c r="F6" s="386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2:18" ht="18.75" customHeight="1">
      <c r="B7" s="431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2:18" ht="18.75" customHeight="1">
      <c r="B8" s="433" t="s">
        <v>9</v>
      </c>
      <c r="C8" s="14" t="s">
        <v>229</v>
      </c>
      <c r="D8" s="14"/>
      <c r="E8" s="15"/>
      <c r="F8" s="15"/>
      <c r="G8" s="15"/>
      <c r="H8" s="16"/>
      <c r="I8" s="752" t="s">
        <v>11</v>
      </c>
      <c r="J8" s="752"/>
      <c r="K8" s="152" t="s">
        <v>239</v>
      </c>
      <c r="L8" s="127"/>
      <c r="M8" s="127"/>
      <c r="N8" s="127"/>
      <c r="O8" s="434"/>
      <c r="R8" s="74"/>
    </row>
    <row r="9" spans="2:18" ht="18.75" customHeight="1">
      <c r="B9" s="894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435"/>
      <c r="R9" s="74"/>
    </row>
    <row r="10" spans="2:18" ht="18.75" customHeight="1">
      <c r="B10" s="436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240</v>
      </c>
      <c r="L10" s="138"/>
      <c r="M10" s="138"/>
      <c r="N10" s="138"/>
      <c r="O10" s="437"/>
      <c r="R10" s="125" t="str">
        <f>K10</f>
        <v>A1729</v>
      </c>
    </row>
    <row r="11" spans="2:18" ht="18.75" customHeight="1">
      <c r="B11" s="438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439"/>
      <c r="R11" s="74"/>
    </row>
    <row r="12" spans="2:18" ht="18.75" customHeight="1">
      <c r="B12" s="440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432"/>
      <c r="R12" s="74"/>
    </row>
    <row r="13" spans="2:18" ht="30.6" customHeight="1">
      <c r="B13" s="895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96"/>
      <c r="R13" s="74"/>
    </row>
    <row r="14" spans="2:18" ht="18.75" customHeight="1">
      <c r="B14" s="441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782"/>
      <c r="R14" s="74"/>
    </row>
    <row r="15" spans="2:18" ht="18.75" customHeight="1">
      <c r="B15" s="654" t="s">
        <v>241</v>
      </c>
      <c r="C15" s="80"/>
      <c r="D15" s="80"/>
      <c r="E15" s="80"/>
      <c r="F15" s="442"/>
      <c r="G15" s="80"/>
      <c r="H15" s="26" t="s">
        <v>25</v>
      </c>
      <c r="I15" s="720" t="s">
        <v>26</v>
      </c>
      <c r="J15" s="61" t="s">
        <v>27</v>
      </c>
      <c r="K15" s="868">
        <v>2059</v>
      </c>
      <c r="L15" s="868"/>
      <c r="M15" s="868"/>
      <c r="N15" s="868"/>
      <c r="O15" s="1084"/>
      <c r="R15" s="74"/>
    </row>
    <row r="16" spans="2:18" ht="18.75" customHeight="1">
      <c r="B16" s="443"/>
      <c r="C16" s="80"/>
      <c r="D16" s="80"/>
      <c r="E16" s="80"/>
      <c r="F16" s="80"/>
      <c r="G16" s="80"/>
      <c r="H16" s="26"/>
      <c r="I16" s="720"/>
      <c r="J16" s="61"/>
      <c r="K16" s="726"/>
      <c r="L16" s="726"/>
      <c r="M16" s="726"/>
      <c r="N16" s="726"/>
      <c r="O16" s="750"/>
      <c r="R16" s="74"/>
    </row>
    <row r="17" spans="2:20" ht="18.75" customHeight="1">
      <c r="B17" s="1085" t="s">
        <v>242</v>
      </c>
      <c r="C17" s="1086"/>
      <c r="D17" s="1086"/>
      <c r="E17" s="233"/>
      <c r="F17" s="233"/>
      <c r="G17" s="24"/>
      <c r="H17" s="26"/>
      <c r="I17" s="720"/>
      <c r="J17" s="61"/>
      <c r="K17" s="846"/>
      <c r="L17" s="846"/>
      <c r="M17" s="846"/>
      <c r="N17" s="846"/>
      <c r="O17" s="1083"/>
      <c r="R17" s="74"/>
    </row>
    <row r="18" spans="2:20" ht="18.75" customHeight="1">
      <c r="B18" s="444"/>
      <c r="C18" s="24"/>
      <c r="D18" s="24"/>
      <c r="E18" s="24"/>
      <c r="F18" s="24"/>
      <c r="G18" s="24"/>
      <c r="H18" s="26"/>
      <c r="I18" s="720"/>
      <c r="J18" s="61"/>
      <c r="K18" s="846"/>
      <c r="L18" s="846"/>
      <c r="M18" s="846"/>
      <c r="N18" s="846"/>
      <c r="O18" s="1083"/>
      <c r="R18" s="74"/>
    </row>
    <row r="19" spans="2:20" ht="18.75" customHeight="1">
      <c r="B19" s="444"/>
      <c r="C19" s="24"/>
      <c r="D19" s="80"/>
      <c r="E19" s="80"/>
      <c r="F19" s="80"/>
      <c r="G19" s="80"/>
      <c r="H19" s="26"/>
      <c r="I19" s="720"/>
      <c r="J19" s="61"/>
      <c r="K19" s="846"/>
      <c r="L19" s="846"/>
      <c r="M19" s="846"/>
      <c r="N19" s="846"/>
      <c r="O19" s="1083"/>
      <c r="R19" s="74"/>
    </row>
    <row r="20" spans="2:20" ht="18.75" customHeight="1">
      <c r="B20" s="444"/>
      <c r="C20" s="24"/>
      <c r="D20" s="80"/>
      <c r="E20" s="80"/>
      <c r="F20" s="80"/>
      <c r="G20" s="80"/>
      <c r="H20" s="26"/>
      <c r="I20" s="720"/>
      <c r="J20" s="61"/>
      <c r="K20" s="848"/>
      <c r="L20" s="846"/>
      <c r="M20" s="846"/>
      <c r="N20" s="846"/>
      <c r="O20" s="1083"/>
      <c r="R20" s="74"/>
    </row>
    <row r="21" spans="2:20" ht="18.75" hidden="1" customHeight="1">
      <c r="B21" s="444"/>
      <c r="C21" s="24"/>
      <c r="D21" s="80"/>
      <c r="E21" s="80"/>
      <c r="F21" s="80"/>
      <c r="G21" s="80"/>
      <c r="H21" s="26"/>
      <c r="I21" s="720"/>
      <c r="J21" s="61"/>
      <c r="K21" s="846"/>
      <c r="L21" s="846"/>
      <c r="M21" s="846"/>
      <c r="N21" s="846"/>
      <c r="O21" s="1083"/>
      <c r="R21" s="74"/>
    </row>
    <row r="22" spans="2:20" ht="22.5" hidden="1" customHeight="1">
      <c r="B22" s="444"/>
      <c r="C22" s="160"/>
      <c r="D22" s="80"/>
      <c r="E22" s="161"/>
      <c r="F22" s="80"/>
      <c r="G22" s="80"/>
      <c r="H22" s="26"/>
      <c r="I22" s="720"/>
      <c r="J22" s="61"/>
      <c r="K22" s="846"/>
      <c r="L22" s="846"/>
      <c r="M22" s="846"/>
      <c r="N22" s="846"/>
      <c r="O22" s="1083"/>
      <c r="R22" s="74"/>
    </row>
    <row r="23" spans="2:20" ht="28.5" customHeight="1">
      <c r="B23" s="445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1087"/>
    </row>
    <row r="24" spans="2:20" ht="18.75" customHeight="1">
      <c r="B24" s="446" t="s">
        <v>31</v>
      </c>
      <c r="C24" s="94"/>
      <c r="D24" s="94"/>
      <c r="E24" s="94"/>
      <c r="F24" s="94"/>
      <c r="G24" s="168"/>
      <c r="H24" s="130"/>
      <c r="I24" s="1073" t="s">
        <v>32</v>
      </c>
      <c r="J24" s="1074"/>
      <c r="K24" s="1075">
        <f>SUM(K15:O23)</f>
        <v>2059</v>
      </c>
      <c r="L24" s="1075"/>
      <c r="M24" s="1075"/>
      <c r="N24" s="1075"/>
      <c r="O24" s="1088"/>
      <c r="P24" s="121">
        <f>SUM(K15:O22)</f>
        <v>2059</v>
      </c>
      <c r="R24" s="392">
        <v>17892</v>
      </c>
    </row>
    <row r="25" spans="2:20" ht="18.75" customHeight="1">
      <c r="B25" s="447" t="s">
        <v>33</v>
      </c>
      <c r="C25" s="15" t="s">
        <v>228</v>
      </c>
      <c r="D25" s="34"/>
      <c r="E25" s="34"/>
      <c r="F25" s="34"/>
      <c r="G25" s="35"/>
      <c r="H25" s="36"/>
      <c r="I25" s="721"/>
      <c r="J25" s="393"/>
      <c r="K25" s="448"/>
      <c r="L25" s="448"/>
      <c r="M25" s="448"/>
      <c r="N25" s="448"/>
      <c r="O25" s="449"/>
      <c r="P25" s="121"/>
      <c r="R25" s="392"/>
      <c r="T25" s="74" t="s">
        <v>35</v>
      </c>
    </row>
    <row r="26" spans="2:20" ht="18.75" hidden="1" customHeight="1">
      <c r="B26" s="446" t="s">
        <v>36</v>
      </c>
      <c r="C26" s="94" t="s">
        <v>37</v>
      </c>
      <c r="D26" s="172"/>
      <c r="E26" s="172"/>
      <c r="F26" s="172"/>
      <c r="G26" s="173"/>
      <c r="H26" s="174"/>
      <c r="I26" s="396"/>
      <c r="J26" s="397"/>
      <c r="K26" s="398"/>
      <c r="L26" s="398"/>
      <c r="M26" s="398"/>
      <c r="N26" s="398"/>
      <c r="O26" s="450"/>
      <c r="P26" s="121"/>
      <c r="R26" s="392"/>
    </row>
    <row r="27" spans="2:20" ht="18.75" hidden="1" customHeight="1">
      <c r="B27" s="451" t="s">
        <v>33</v>
      </c>
      <c r="C27" s="180" t="s">
        <v>38</v>
      </c>
      <c r="D27" s="181"/>
      <c r="E27" s="181"/>
      <c r="F27" s="452"/>
      <c r="G27" s="181"/>
      <c r="H27" s="182"/>
      <c r="I27" s="805" t="s">
        <v>39</v>
      </c>
      <c r="J27" s="805"/>
      <c r="K27" s="806">
        <v>0</v>
      </c>
      <c r="L27" s="806"/>
      <c r="M27" s="806"/>
      <c r="N27" s="806"/>
      <c r="O27" s="807"/>
    </row>
    <row r="28" spans="2:20" ht="18.75" customHeight="1">
      <c r="B28" s="45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2059</v>
      </c>
      <c r="L28" s="809"/>
      <c r="M28" s="809"/>
      <c r="N28" s="809"/>
      <c r="O28" s="810"/>
    </row>
    <row r="29" spans="2:20" ht="18.75" customHeight="1">
      <c r="B29" s="454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13"/>
    </row>
    <row r="30" spans="2:20" s="73" customFormat="1" ht="18.75" customHeight="1">
      <c r="B30" s="455"/>
      <c r="C30" s="47"/>
      <c r="D30" s="141"/>
      <c r="E30" s="47"/>
      <c r="F30" s="141"/>
      <c r="G30" s="47"/>
      <c r="H30" s="790"/>
      <c r="I30" s="791"/>
      <c r="J30" s="792"/>
      <c r="K30" s="793"/>
      <c r="L30" s="793"/>
      <c r="M30" s="793"/>
      <c r="N30" s="793"/>
      <c r="O30" s="794"/>
      <c r="R30" s="401"/>
    </row>
    <row r="31" spans="2:20" ht="18.75" customHeight="1">
      <c r="B31" s="890" t="s">
        <v>45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3"/>
      <c r="L31" s="793"/>
      <c r="M31" s="793"/>
      <c r="N31" s="793"/>
      <c r="O31" s="794"/>
    </row>
    <row r="32" spans="2:20" ht="18.75" customHeight="1">
      <c r="B32" s="821" t="s">
        <v>47</v>
      </c>
      <c r="C32" s="822"/>
      <c r="D32" s="823" t="s">
        <v>48</v>
      </c>
      <c r="E32" s="822"/>
      <c r="F32" s="823" t="s">
        <v>49</v>
      </c>
      <c r="G32" s="822"/>
      <c r="H32" s="824" t="s">
        <v>50</v>
      </c>
      <c r="I32" s="823"/>
      <c r="J32" s="822"/>
      <c r="K32" s="824" t="s">
        <v>51</v>
      </c>
      <c r="L32" s="823"/>
      <c r="M32" s="823"/>
      <c r="N32" s="823"/>
      <c r="O32" s="889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6" spans="2:19" ht="14.25">
      <c r="J36" s="40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401"/>
      <c r="L38" s="401"/>
      <c r="M38" s="401"/>
      <c r="N38" s="401"/>
      <c r="O38" s="111"/>
      <c r="R38" s="74"/>
    </row>
    <row r="39" spans="2:19" ht="18.75" customHeight="1">
      <c r="B39" s="91"/>
      <c r="C39" s="91"/>
      <c r="D39" s="91"/>
      <c r="E39" s="830"/>
      <c r="F39" s="830"/>
      <c r="G39" s="830"/>
      <c r="H39" s="830"/>
      <c r="I39" s="830"/>
      <c r="J39" s="830"/>
      <c r="K39" s="401"/>
      <c r="L39" s="401"/>
      <c r="M39" s="401"/>
      <c r="N39" s="401"/>
      <c r="O39" s="111"/>
      <c r="R39" s="74"/>
    </row>
    <row r="40" spans="2:19" ht="18.75" customHeight="1">
      <c r="B40" s="91"/>
      <c r="C40" s="403"/>
      <c r="D40" s="91"/>
      <c r="E40" s="830"/>
      <c r="F40" s="830"/>
      <c r="G40" s="830"/>
      <c r="H40" s="830"/>
      <c r="I40" s="830"/>
      <c r="J40" s="830"/>
      <c r="K40" s="401"/>
      <c r="L40" s="401"/>
      <c r="M40" s="401"/>
      <c r="N40" s="401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93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96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33"/>
      <c r="I43" s="833"/>
      <c r="J43" s="83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16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16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404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16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15"/>
      <c r="K54" s="836"/>
      <c r="L54" s="836"/>
      <c r="M54" s="836"/>
      <c r="N54" s="836"/>
      <c r="O54" s="836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16"/>
      <c r="K55" s="826"/>
      <c r="L55" s="826"/>
      <c r="M55" s="826"/>
      <c r="N55" s="826"/>
      <c r="O55" s="826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15"/>
      <c r="K56" s="836"/>
      <c r="L56" s="836"/>
      <c r="M56" s="836"/>
      <c r="N56" s="836"/>
      <c r="O56" s="836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16"/>
      <c r="K57" s="826"/>
      <c r="L57" s="826"/>
      <c r="M57" s="826"/>
      <c r="N57" s="826"/>
      <c r="O57" s="826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15"/>
      <c r="K58" s="836"/>
      <c r="L58" s="836"/>
      <c r="M58" s="836"/>
      <c r="N58" s="836"/>
      <c r="O58" s="836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47"/>
      <c r="C60" s="747"/>
      <c r="D60" s="747"/>
      <c r="E60" s="747"/>
      <c r="F60" s="747"/>
      <c r="G60" s="747"/>
      <c r="H60" s="400"/>
      <c r="I60" s="400"/>
      <c r="J60" s="747"/>
      <c r="K60" s="747"/>
      <c r="L60" s="747"/>
      <c r="M60" s="747"/>
      <c r="N60" s="747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401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2">
    <mergeCell ref="B55:G55"/>
    <mergeCell ref="K55:O55"/>
    <mergeCell ref="K56:O56"/>
    <mergeCell ref="K57:O57"/>
    <mergeCell ref="K58:O58"/>
    <mergeCell ref="B63:C63"/>
    <mergeCell ref="D63:E63"/>
    <mergeCell ref="F63:G63"/>
    <mergeCell ref="H63:J63"/>
    <mergeCell ref="K63:O63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31:C31"/>
    <mergeCell ref="D31:E31"/>
    <mergeCell ref="F31:G31"/>
    <mergeCell ref="H31:J31"/>
    <mergeCell ref="B32:C32"/>
    <mergeCell ref="D32:E32"/>
    <mergeCell ref="F32:G32"/>
    <mergeCell ref="H32:J32"/>
    <mergeCell ref="H30:J30"/>
    <mergeCell ref="K30:O31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K19:O19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7:O17"/>
    <mergeCell ref="K18:O18"/>
    <mergeCell ref="B17:D17"/>
    <mergeCell ref="I8:J8"/>
    <mergeCell ref="D2:J5"/>
    <mergeCell ref="K2:O2"/>
    <mergeCell ref="L3:O3"/>
    <mergeCell ref="L4:O4"/>
    <mergeCell ref="L5:O5"/>
  </mergeCells>
  <printOptions horizontalCentered="1"/>
  <pageMargins left="0" right="0" top="0.23622047244094499" bottom="0.23622047244094499" header="0" footer="0"/>
  <pageSetup scale="67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T63"/>
  <sheetViews>
    <sheetView showGridLines="0" view="pageBreakPreview" zoomScale="70" zoomScaleNormal="100" zoomScaleSheetLayoutView="70" workbookViewId="0">
      <selection activeCell="K11" sqref="K11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.25" style="74"/>
    <col min="18" max="18" width="14.25" style="75" customWidth="1"/>
    <col min="19" max="16384" width="9.25" style="74"/>
  </cols>
  <sheetData>
    <row r="1" spans="2:18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2:18" ht="18.75" customHeight="1">
      <c r="B2" s="426"/>
      <c r="C2" s="427"/>
      <c r="D2" s="900" t="s">
        <v>0</v>
      </c>
      <c r="E2" s="901"/>
      <c r="F2" s="901"/>
      <c r="G2" s="901"/>
      <c r="H2" s="901"/>
      <c r="I2" s="901"/>
      <c r="J2" s="901"/>
      <c r="K2" s="757" t="s">
        <v>1</v>
      </c>
      <c r="L2" s="758"/>
      <c r="M2" s="758"/>
      <c r="N2" s="758"/>
      <c r="O2" s="759"/>
      <c r="R2" s="74"/>
    </row>
    <row r="3" spans="2:18" ht="18.75" customHeight="1">
      <c r="B3" s="428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902"/>
      <c r="R3" s="74"/>
    </row>
    <row r="4" spans="2:18" ht="18.75" customHeight="1">
      <c r="B4" s="428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902"/>
      <c r="R4" s="74"/>
    </row>
    <row r="5" spans="2:18" ht="18.75" customHeight="1">
      <c r="B5" s="428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903"/>
      <c r="R5" s="74"/>
    </row>
    <row r="6" spans="2:18" ht="18.75" customHeight="1">
      <c r="B6" s="456"/>
      <c r="C6" s="145"/>
      <c r="D6" s="145"/>
      <c r="E6" s="145"/>
      <c r="F6" s="145"/>
      <c r="G6" s="133"/>
      <c r="H6" s="133"/>
      <c r="I6" s="133"/>
      <c r="J6" s="133"/>
      <c r="K6" s="133"/>
      <c r="L6" s="133"/>
      <c r="M6" s="133"/>
      <c r="N6" s="133"/>
      <c r="O6" s="430"/>
      <c r="R6" s="74"/>
    </row>
    <row r="7" spans="2:18" ht="18.75" customHeight="1">
      <c r="B7" s="431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432"/>
      <c r="R7" s="74"/>
    </row>
    <row r="8" spans="2:18" ht="18.75" customHeight="1">
      <c r="B8" s="433" t="s">
        <v>9</v>
      </c>
      <c r="C8" s="14" t="s">
        <v>229</v>
      </c>
      <c r="D8" s="14"/>
      <c r="E8" s="15"/>
      <c r="F8" s="15"/>
      <c r="G8" s="15"/>
      <c r="H8" s="16"/>
      <c r="I8" s="752" t="s">
        <v>11</v>
      </c>
      <c r="J8" s="752"/>
      <c r="K8" s="152" t="s">
        <v>239</v>
      </c>
      <c r="L8" s="127"/>
      <c r="M8" s="127"/>
      <c r="N8" s="127"/>
      <c r="O8" s="434"/>
      <c r="R8" s="74"/>
    </row>
    <row r="9" spans="2:18" ht="18.75" customHeight="1">
      <c r="B9" s="894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435"/>
      <c r="R9" s="74"/>
    </row>
    <row r="10" spans="2:18" ht="18.75" customHeight="1">
      <c r="B10" s="436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243</v>
      </c>
      <c r="L10" s="138"/>
      <c r="M10" s="138"/>
      <c r="N10" s="138"/>
      <c r="O10" s="437"/>
      <c r="R10" s="125" t="str">
        <f>K10</f>
        <v>A1728</v>
      </c>
    </row>
    <row r="11" spans="2:18" ht="18.75" customHeight="1">
      <c r="B11" s="438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439"/>
      <c r="R11" s="74"/>
    </row>
    <row r="12" spans="2:18" ht="18.75" customHeight="1">
      <c r="B12" s="440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432"/>
      <c r="R12" s="74"/>
    </row>
    <row r="13" spans="2:18" ht="30.6" customHeight="1">
      <c r="B13" s="895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96"/>
      <c r="R13" s="74"/>
    </row>
    <row r="14" spans="2:18" ht="18.75" customHeight="1">
      <c r="B14" s="441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782"/>
      <c r="R14" s="74"/>
    </row>
    <row r="15" spans="2:18" ht="18.75" customHeight="1">
      <c r="B15" s="460" t="s">
        <v>244</v>
      </c>
      <c r="C15" s="80"/>
      <c r="D15" s="80"/>
      <c r="E15" s="80"/>
      <c r="F15" s="80"/>
      <c r="G15" s="80"/>
      <c r="H15" s="26" t="s">
        <v>25</v>
      </c>
      <c r="I15" s="720" t="s">
        <v>26</v>
      </c>
      <c r="J15" s="61" t="s">
        <v>27</v>
      </c>
      <c r="K15" s="1090">
        <v>6816</v>
      </c>
      <c r="L15" s="1091"/>
      <c r="M15" s="1091"/>
      <c r="N15" s="1091"/>
      <c r="O15" s="1092"/>
      <c r="R15" s="74"/>
    </row>
    <row r="16" spans="2:18" ht="18.75" customHeight="1">
      <c r="B16" s="443" t="s">
        <v>245</v>
      </c>
      <c r="C16" s="80"/>
      <c r="D16" s="80"/>
      <c r="E16" s="80"/>
      <c r="F16" s="80"/>
      <c r="G16" s="80"/>
      <c r="H16" s="26"/>
      <c r="I16" s="720"/>
      <c r="J16" s="61"/>
      <c r="K16" s="726"/>
      <c r="L16" s="726"/>
      <c r="M16" s="726"/>
      <c r="N16" s="726"/>
      <c r="O16" s="750"/>
      <c r="R16" s="74"/>
    </row>
    <row r="17" spans="2:20" ht="18.75" customHeight="1">
      <c r="B17" s="457" t="s">
        <v>246</v>
      </c>
      <c r="C17" s="233"/>
      <c r="D17" s="233"/>
      <c r="E17" s="233"/>
      <c r="F17" s="233"/>
      <c r="G17" s="24"/>
      <c r="H17" s="26"/>
      <c r="I17" s="720"/>
      <c r="J17" s="61"/>
      <c r="K17" s="846"/>
      <c r="L17" s="846"/>
      <c r="M17" s="846"/>
      <c r="N17" s="846"/>
      <c r="O17" s="1083"/>
      <c r="R17" s="74"/>
    </row>
    <row r="18" spans="2:20" ht="18.75" customHeight="1">
      <c r="B18" s="444"/>
      <c r="C18" s="24"/>
      <c r="D18" s="24"/>
      <c r="E18" s="24"/>
      <c r="F18" s="24"/>
      <c r="G18" s="24"/>
      <c r="H18" s="26"/>
      <c r="I18" s="720"/>
      <c r="J18" s="61"/>
      <c r="K18" s="846"/>
      <c r="L18" s="846"/>
      <c r="M18" s="846"/>
      <c r="N18" s="846"/>
      <c r="O18" s="1083"/>
      <c r="R18" s="74"/>
    </row>
    <row r="19" spans="2:20" ht="18.75" customHeight="1">
      <c r="B19" s="444"/>
      <c r="C19" s="24"/>
      <c r="D19" s="80"/>
      <c r="E19" s="80"/>
      <c r="F19" s="80"/>
      <c r="G19" s="80"/>
      <c r="H19" s="26"/>
      <c r="I19" s="720"/>
      <c r="J19" s="61"/>
      <c r="K19" s="846"/>
      <c r="L19" s="846"/>
      <c r="M19" s="846"/>
      <c r="N19" s="846"/>
      <c r="O19" s="1083"/>
      <c r="R19" s="74"/>
    </row>
    <row r="20" spans="2:20" ht="18.75" customHeight="1">
      <c r="B20" s="444"/>
      <c r="C20" s="24"/>
      <c r="D20" s="80"/>
      <c r="E20" s="80"/>
      <c r="F20" s="80"/>
      <c r="G20" s="80"/>
      <c r="H20" s="26"/>
      <c r="I20" s="720"/>
      <c r="J20" s="61"/>
      <c r="K20" s="848"/>
      <c r="L20" s="846"/>
      <c r="M20" s="846"/>
      <c r="N20" s="846"/>
      <c r="O20" s="1083"/>
      <c r="R20" s="74"/>
    </row>
    <row r="21" spans="2:20" ht="18.75" hidden="1" customHeight="1">
      <c r="B21" s="444"/>
      <c r="C21" s="24"/>
      <c r="D21" s="80"/>
      <c r="E21" s="80"/>
      <c r="F21" s="80"/>
      <c r="G21" s="80"/>
      <c r="H21" s="26"/>
      <c r="I21" s="720"/>
      <c r="J21" s="61"/>
      <c r="K21" s="846"/>
      <c r="L21" s="846"/>
      <c r="M21" s="846"/>
      <c r="N21" s="846"/>
      <c r="O21" s="1083"/>
      <c r="R21" s="74"/>
    </row>
    <row r="22" spans="2:20" ht="22.5" hidden="1" customHeight="1">
      <c r="B22" s="444"/>
      <c r="C22" s="160"/>
      <c r="D22" s="80"/>
      <c r="E22" s="161"/>
      <c r="F22" s="80"/>
      <c r="G22" s="80"/>
      <c r="H22" s="26"/>
      <c r="I22" s="720"/>
      <c r="J22" s="61"/>
      <c r="K22" s="846"/>
      <c r="L22" s="846"/>
      <c r="M22" s="846"/>
      <c r="N22" s="846"/>
      <c r="O22" s="1083"/>
      <c r="R22" s="74"/>
    </row>
    <row r="23" spans="2:20" ht="28.5" customHeight="1">
      <c r="B23" s="445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1087"/>
    </row>
    <row r="24" spans="2:20" ht="18.75" customHeight="1">
      <c r="B24" s="446" t="s">
        <v>31</v>
      </c>
      <c r="C24" s="94"/>
      <c r="D24" s="94"/>
      <c r="E24" s="94"/>
      <c r="F24" s="94"/>
      <c r="G24" s="168"/>
      <c r="H24" s="130"/>
      <c r="I24" s="851" t="s">
        <v>32</v>
      </c>
      <c r="J24" s="852"/>
      <c r="K24" s="853">
        <f>SUM(K15:O23)</f>
        <v>6816</v>
      </c>
      <c r="L24" s="853"/>
      <c r="M24" s="853"/>
      <c r="N24" s="853"/>
      <c r="O24" s="1089"/>
      <c r="P24" s="121">
        <f>SUM(K15:O22)</f>
        <v>6816</v>
      </c>
      <c r="R24" s="123">
        <v>17892</v>
      </c>
    </row>
    <row r="25" spans="2:20" ht="18.75" customHeight="1">
      <c r="B25" s="447" t="s">
        <v>33</v>
      </c>
      <c r="C25" s="15" t="s">
        <v>228</v>
      </c>
      <c r="D25" s="34"/>
      <c r="E25" s="34"/>
      <c r="F25" s="34"/>
      <c r="G25" s="35"/>
      <c r="H25" s="36"/>
      <c r="I25" s="734"/>
      <c r="J25" s="169"/>
      <c r="K25" s="170"/>
      <c r="L25" s="170"/>
      <c r="M25" s="170"/>
      <c r="N25" s="170"/>
      <c r="O25" s="458"/>
      <c r="P25" s="121"/>
      <c r="R25" s="123"/>
      <c r="T25" s="74" t="s">
        <v>35</v>
      </c>
    </row>
    <row r="26" spans="2:20" ht="18.75" hidden="1" customHeight="1">
      <c r="B26" s="446" t="s">
        <v>36</v>
      </c>
      <c r="C26" s="94" t="s">
        <v>37</v>
      </c>
      <c r="D26" s="172"/>
      <c r="E26" s="172"/>
      <c r="F26" s="172"/>
      <c r="G26" s="173"/>
      <c r="H26" s="174"/>
      <c r="I26" s="175"/>
      <c r="J26" s="176"/>
      <c r="K26" s="177"/>
      <c r="L26" s="177"/>
      <c r="M26" s="177"/>
      <c r="N26" s="177"/>
      <c r="O26" s="459"/>
      <c r="P26" s="121"/>
      <c r="R26" s="123"/>
    </row>
    <row r="27" spans="2:20" ht="18.75" hidden="1" customHeight="1">
      <c r="B27" s="451" t="s">
        <v>33</v>
      </c>
      <c r="C27" s="180" t="s">
        <v>38</v>
      </c>
      <c r="D27" s="181"/>
      <c r="E27" s="18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93"/>
    </row>
    <row r="28" spans="2:20" ht="18.75" customHeight="1">
      <c r="B28" s="45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6816</v>
      </c>
      <c r="L28" s="809"/>
      <c r="M28" s="809"/>
      <c r="N28" s="809"/>
      <c r="O28" s="810"/>
    </row>
    <row r="29" spans="2:20" ht="18.75" customHeight="1">
      <c r="B29" s="454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13"/>
    </row>
    <row r="30" spans="2:20" s="73" customFormat="1" ht="18.75" customHeight="1">
      <c r="B30" s="455"/>
      <c r="C30" s="47"/>
      <c r="D30" s="141"/>
      <c r="E30" s="47"/>
      <c r="F30" s="141"/>
      <c r="G30" s="47"/>
      <c r="H30" s="790"/>
      <c r="I30" s="791"/>
      <c r="J30" s="792"/>
      <c r="K30" s="793"/>
      <c r="L30" s="793"/>
      <c r="M30" s="793"/>
      <c r="N30" s="793"/>
      <c r="O30" s="794"/>
      <c r="R30" s="110"/>
    </row>
    <row r="31" spans="2:20" ht="18.75" customHeight="1">
      <c r="B31" s="890" t="s">
        <v>45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3"/>
      <c r="L31" s="793"/>
      <c r="M31" s="793"/>
      <c r="N31" s="793"/>
      <c r="O31" s="794"/>
      <c r="S31" s="74" t="s">
        <v>35</v>
      </c>
    </row>
    <row r="32" spans="2:20" ht="18.75" customHeight="1">
      <c r="B32" s="821" t="s">
        <v>47</v>
      </c>
      <c r="C32" s="822"/>
      <c r="D32" s="823" t="s">
        <v>48</v>
      </c>
      <c r="E32" s="822"/>
      <c r="F32" s="823" t="s">
        <v>49</v>
      </c>
      <c r="G32" s="822"/>
      <c r="H32" s="824" t="s">
        <v>50</v>
      </c>
      <c r="I32" s="823"/>
      <c r="J32" s="822"/>
      <c r="K32" s="824" t="s">
        <v>51</v>
      </c>
      <c r="L32" s="823"/>
      <c r="M32" s="823"/>
      <c r="N32" s="823"/>
      <c r="O32" s="889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5" spans="2:19">
      <c r="C35" s="118"/>
    </row>
    <row r="36" spans="2:19" ht="15.75">
      <c r="J36" s="12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91"/>
      <c r="D39" s="128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1"/>
      <c r="R39" s="74"/>
    </row>
    <row r="40" spans="2:19" ht="18.75" customHeight="1">
      <c r="B40" s="91"/>
      <c r="C40" s="119"/>
      <c r="D40" s="91"/>
      <c r="E40" s="830"/>
      <c r="F40" s="830"/>
      <c r="G40" s="830"/>
      <c r="H40" s="830"/>
      <c r="I40" s="830"/>
      <c r="J40" s="830"/>
      <c r="K40" s="110"/>
      <c r="L40" s="110"/>
      <c r="M40" s="110"/>
      <c r="N40" s="110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131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130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43"/>
      <c r="I43" s="843"/>
      <c r="J43" s="84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369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37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116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37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36"/>
      <c r="K54" s="839"/>
      <c r="L54" s="839"/>
      <c r="M54" s="839"/>
      <c r="N54" s="839"/>
      <c r="O54" s="839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37"/>
      <c r="K55" s="838"/>
      <c r="L55" s="838"/>
      <c r="M55" s="838"/>
      <c r="N55" s="838"/>
      <c r="O55" s="838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36"/>
      <c r="K56" s="839"/>
      <c r="L56" s="839"/>
      <c r="M56" s="839"/>
      <c r="N56" s="839"/>
      <c r="O56" s="839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37"/>
      <c r="K57" s="838"/>
      <c r="L57" s="838"/>
      <c r="M57" s="838"/>
      <c r="N57" s="838"/>
      <c r="O57" s="838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36"/>
      <c r="K58" s="839"/>
      <c r="L58" s="839"/>
      <c r="M58" s="839"/>
      <c r="N58" s="839"/>
      <c r="O58" s="839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34"/>
      <c r="C60" s="734"/>
      <c r="D60" s="734"/>
      <c r="E60" s="734"/>
      <c r="F60" s="734"/>
      <c r="G60" s="734"/>
      <c r="H60" s="101"/>
      <c r="I60" s="101"/>
      <c r="J60" s="734"/>
      <c r="K60" s="734"/>
      <c r="L60" s="734"/>
      <c r="M60" s="734"/>
      <c r="N60" s="734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1">
    <mergeCell ref="I8:J8"/>
    <mergeCell ref="D2:J5"/>
    <mergeCell ref="K2:O2"/>
    <mergeCell ref="L3:O3"/>
    <mergeCell ref="L4:O4"/>
    <mergeCell ref="L5:O5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7:O17"/>
    <mergeCell ref="K18:O18"/>
    <mergeCell ref="H30:J30"/>
    <mergeCell ref="K30:O31"/>
    <mergeCell ref="K19:O19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B31:C31"/>
    <mergeCell ref="D31:E31"/>
    <mergeCell ref="F31:G31"/>
    <mergeCell ref="H31:J31"/>
    <mergeCell ref="B32:C32"/>
    <mergeCell ref="D32:E32"/>
    <mergeCell ref="F32:G32"/>
    <mergeCell ref="H32:J32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63:C63"/>
    <mergeCell ref="D63:E63"/>
    <mergeCell ref="F63:G63"/>
    <mergeCell ref="H63:J63"/>
    <mergeCell ref="K63:O63"/>
    <mergeCell ref="B55:G55"/>
    <mergeCell ref="K55:O55"/>
    <mergeCell ref="K56:O56"/>
    <mergeCell ref="K57:O57"/>
    <mergeCell ref="K58:O58"/>
  </mergeCells>
  <printOptions horizontalCentered="1"/>
  <pageMargins left="0" right="0" top="0.23622047244094499" bottom="0.23622047244094499" header="0" footer="0"/>
  <pageSetup scale="6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81BC-D08C-494C-9A32-680E2FFFD0ED}">
  <sheetPr>
    <pageSetUpPr fitToPage="1"/>
  </sheetPr>
  <dimension ref="B1:T63"/>
  <sheetViews>
    <sheetView showGridLines="0" view="pageBreakPreview" topLeftCell="A5" zoomScale="70" zoomScaleNormal="100" zoomScaleSheetLayoutView="70" workbookViewId="0">
      <selection activeCell="K16" sqref="K16:O16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" style="74"/>
    <col min="18" max="18" width="14.25" style="75" customWidth="1"/>
    <col min="19" max="16384" width="9.25" style="74"/>
  </cols>
  <sheetData>
    <row r="1" spans="2:18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2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2:18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2:18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2:18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2:18" ht="18.75" customHeight="1">
      <c r="B6" s="144"/>
      <c r="C6" s="145"/>
      <c r="D6" s="145"/>
      <c r="E6" s="145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2:18" ht="18.75" customHeight="1">
      <c r="B7" s="147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2:18" ht="18.75" customHeight="1">
      <c r="B8" s="13" t="s">
        <v>9</v>
      </c>
      <c r="C8" s="14" t="s">
        <v>52</v>
      </c>
      <c r="D8" s="14"/>
      <c r="E8" s="15"/>
      <c r="F8" s="15"/>
      <c r="G8" s="15"/>
      <c r="H8" s="16"/>
      <c r="I8" s="752" t="s">
        <v>11</v>
      </c>
      <c r="J8" s="752"/>
      <c r="K8" s="152" t="s">
        <v>247</v>
      </c>
      <c r="L8" s="127"/>
      <c r="M8" s="127"/>
      <c r="N8" s="127"/>
      <c r="O8" s="132"/>
      <c r="R8" s="74"/>
    </row>
    <row r="9" spans="2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2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248</v>
      </c>
      <c r="L10" s="138"/>
      <c r="M10" s="138"/>
      <c r="N10" s="138"/>
      <c r="O10" s="139"/>
      <c r="R10" s="125" t="str">
        <f>K10</f>
        <v>A1437</v>
      </c>
    </row>
    <row r="11" spans="2:18" ht="18.75" customHeight="1">
      <c r="B11" s="140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142"/>
      <c r="R11" s="74"/>
    </row>
    <row r="12" spans="2:18" ht="18.75" customHeight="1">
      <c r="B12" s="153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2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66"/>
      <c r="R13" s="74"/>
    </row>
    <row r="14" spans="2:18" ht="18.75" customHeight="1">
      <c r="B14" s="156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2:18" ht="18.75" customHeight="1">
      <c r="B15" s="425" t="s">
        <v>249</v>
      </c>
      <c r="C15" s="323"/>
      <c r="D15" s="323"/>
      <c r="E15" s="323"/>
      <c r="F15" s="323"/>
      <c r="G15" s="413"/>
      <c r="H15" s="26" t="s">
        <v>25</v>
      </c>
      <c r="I15" s="720" t="s">
        <v>26</v>
      </c>
      <c r="J15" s="61" t="s">
        <v>27</v>
      </c>
      <c r="K15" s="868">
        <v>16114.89</v>
      </c>
      <c r="L15" s="868"/>
      <c r="M15" s="868"/>
      <c r="N15" s="868"/>
      <c r="O15" s="869"/>
      <c r="R15" s="74"/>
    </row>
    <row r="16" spans="2:18" s="373" customFormat="1" ht="21" customHeight="1">
      <c r="B16" s="374" t="s">
        <v>250</v>
      </c>
      <c r="C16" s="159"/>
      <c r="D16" s="220"/>
      <c r="E16" s="220"/>
      <c r="F16" s="220"/>
      <c r="G16" s="220"/>
      <c r="H16" s="370"/>
      <c r="I16" s="371"/>
      <c r="J16" s="372"/>
      <c r="K16" s="1093"/>
      <c r="L16" s="1093"/>
      <c r="M16" s="1093"/>
      <c r="N16" s="1093"/>
      <c r="O16" s="1094"/>
    </row>
    <row r="17" spans="2:20" ht="18.75" customHeight="1">
      <c r="B17" s="158"/>
      <c r="C17" s="24"/>
      <c r="D17" s="24"/>
      <c r="E17" s="24"/>
      <c r="F17" s="24"/>
      <c r="G17" s="24"/>
      <c r="H17" s="26"/>
      <c r="I17" s="720"/>
      <c r="J17" s="61"/>
      <c r="K17" s="846"/>
      <c r="L17" s="846"/>
      <c r="M17" s="846"/>
      <c r="N17" s="846"/>
      <c r="O17" s="847"/>
      <c r="R17" s="74"/>
    </row>
    <row r="18" spans="2:20" ht="18.75" customHeight="1">
      <c r="B18" s="158"/>
      <c r="C18" s="159"/>
      <c r="D18" s="80"/>
      <c r="E18" s="80"/>
      <c r="F18" s="80"/>
      <c r="G18" s="80"/>
      <c r="H18" s="26"/>
      <c r="I18" s="720"/>
      <c r="J18" s="61"/>
      <c r="K18" s="846"/>
      <c r="L18" s="846"/>
      <c r="M18" s="846"/>
      <c r="N18" s="846"/>
      <c r="O18" s="847"/>
      <c r="R18" s="74"/>
    </row>
    <row r="19" spans="2:20" ht="18.75" customHeight="1">
      <c r="B19" s="158"/>
      <c r="C19" s="24"/>
      <c r="D19" s="80"/>
      <c r="E19" s="80"/>
      <c r="F19" s="80"/>
      <c r="G19" s="80"/>
      <c r="H19" s="26"/>
      <c r="I19" s="720"/>
      <c r="J19" s="61"/>
      <c r="K19" s="846"/>
      <c r="L19" s="846"/>
      <c r="M19" s="846"/>
      <c r="N19" s="846"/>
      <c r="O19" s="847"/>
      <c r="R19" s="74"/>
    </row>
    <row r="20" spans="2:20" ht="18.75" customHeight="1">
      <c r="B20" s="294"/>
      <c r="C20" s="295"/>
      <c r="D20" s="80"/>
      <c r="E20" s="80"/>
      <c r="F20" s="80"/>
      <c r="G20" s="80"/>
      <c r="H20" s="26"/>
      <c r="I20" s="720"/>
      <c r="J20" s="61"/>
      <c r="K20" s="848"/>
      <c r="L20" s="846"/>
      <c r="M20" s="846"/>
      <c r="N20" s="846"/>
      <c r="O20" s="847"/>
      <c r="R20" s="74"/>
    </row>
    <row r="21" spans="2:20" ht="18.75" hidden="1" customHeight="1">
      <c r="B21" s="158"/>
      <c r="C21" s="24"/>
      <c r="D21" s="80"/>
      <c r="E21" s="80"/>
      <c r="F21" s="80"/>
      <c r="G21" s="80"/>
      <c r="H21" s="26"/>
      <c r="I21" s="720"/>
      <c r="J21" s="61"/>
      <c r="K21" s="846"/>
      <c r="L21" s="846"/>
      <c r="M21" s="846"/>
      <c r="N21" s="846"/>
      <c r="O21" s="847"/>
      <c r="R21" s="74"/>
    </row>
    <row r="22" spans="2:20" ht="22.5" hidden="1" customHeight="1">
      <c r="B22" s="158"/>
      <c r="C22" s="160"/>
      <c r="D22" s="80"/>
      <c r="E22" s="161"/>
      <c r="F22" s="80"/>
      <c r="G22" s="80"/>
      <c r="H22" s="26"/>
      <c r="I22" s="720"/>
      <c r="J22" s="61"/>
      <c r="K22" s="846"/>
      <c r="L22" s="846"/>
      <c r="M22" s="846"/>
      <c r="N22" s="846"/>
      <c r="O22" s="847"/>
      <c r="R22" s="74"/>
    </row>
    <row r="23" spans="2:20" ht="28.5" customHeight="1">
      <c r="B23" s="162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850"/>
    </row>
    <row r="24" spans="2:20" ht="18.75" customHeight="1">
      <c r="B24" s="167" t="s">
        <v>31</v>
      </c>
      <c r="C24" s="94"/>
      <c r="D24" s="94"/>
      <c r="E24" s="94"/>
      <c r="F24" s="94"/>
      <c r="G24" s="168"/>
      <c r="H24" s="130"/>
      <c r="I24" s="851" t="s">
        <v>32</v>
      </c>
      <c r="J24" s="852"/>
      <c r="K24" s="853">
        <f>SUM(K15:O23)</f>
        <v>16114.89</v>
      </c>
      <c r="L24" s="853"/>
      <c r="M24" s="853"/>
      <c r="N24" s="853"/>
      <c r="O24" s="854"/>
      <c r="P24" s="121">
        <f>SUM(K15:O22)</f>
        <v>16114.89</v>
      </c>
      <c r="R24" s="123">
        <v>17892</v>
      </c>
    </row>
    <row r="25" spans="2:20" ht="18.75" customHeight="1">
      <c r="B25" s="37" t="s">
        <v>33</v>
      </c>
      <c r="C25" s="15" t="s">
        <v>251</v>
      </c>
      <c r="D25" s="34"/>
      <c r="E25" s="34"/>
      <c r="F25" s="34"/>
      <c r="G25" s="35"/>
      <c r="H25" s="36"/>
      <c r="I25" s="734"/>
      <c r="J25" s="169"/>
      <c r="K25" s="170"/>
      <c r="L25" s="170"/>
      <c r="M25" s="170"/>
      <c r="N25" s="170"/>
      <c r="O25" s="171"/>
      <c r="P25" s="121"/>
      <c r="R25" s="123"/>
      <c r="T25" s="74" t="s">
        <v>35</v>
      </c>
    </row>
    <row r="26" spans="2:20" ht="18.75" hidden="1" customHeight="1">
      <c r="B26" s="167" t="s">
        <v>36</v>
      </c>
      <c r="C26" s="94" t="s">
        <v>37</v>
      </c>
      <c r="D26" s="172"/>
      <c r="E26" s="172"/>
      <c r="F26" s="172"/>
      <c r="G26" s="173"/>
      <c r="H26" s="174"/>
      <c r="I26" s="175"/>
      <c r="J26" s="176"/>
      <c r="K26" s="177"/>
      <c r="L26" s="177"/>
      <c r="M26" s="177"/>
      <c r="N26" s="177"/>
      <c r="O26" s="178"/>
      <c r="P26" s="121"/>
      <c r="R26" s="123"/>
    </row>
    <row r="27" spans="2:20" ht="18.75" hidden="1" customHeight="1">
      <c r="B27" s="179" t="s">
        <v>33</v>
      </c>
      <c r="C27" s="180" t="s">
        <v>38</v>
      </c>
      <c r="D27" s="181"/>
      <c r="E27" s="18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57"/>
    </row>
    <row r="28" spans="2:20" ht="18.75" customHeight="1">
      <c r="B28" s="18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16114.89</v>
      </c>
      <c r="L28" s="809"/>
      <c r="M28" s="809"/>
      <c r="N28" s="809"/>
      <c r="O28" s="858"/>
    </row>
    <row r="29" spans="2:20" ht="18.75" customHeight="1">
      <c r="B29" s="722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59"/>
    </row>
    <row r="30" spans="2:20" s="73" customFormat="1" ht="18.75" customHeight="1">
      <c r="B30" s="46"/>
      <c r="C30" s="47"/>
      <c r="D30" s="141"/>
      <c r="E30" s="47"/>
      <c r="F30" s="141"/>
      <c r="G30" s="47"/>
      <c r="H30" s="790"/>
      <c r="I30" s="791"/>
      <c r="J30" s="792"/>
      <c r="K30" s="793"/>
      <c r="L30" s="793"/>
      <c r="M30" s="793"/>
      <c r="N30" s="793"/>
      <c r="O30" s="845"/>
      <c r="R30" s="110"/>
    </row>
    <row r="31" spans="2:20" ht="18.75" customHeight="1">
      <c r="B31" s="844" t="s">
        <v>45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3"/>
      <c r="L31" s="793"/>
      <c r="M31" s="793"/>
      <c r="N31" s="793"/>
      <c r="O31" s="845"/>
    </row>
    <row r="32" spans="2:20" ht="18.75" customHeight="1">
      <c r="B32" s="840" t="s">
        <v>47</v>
      </c>
      <c r="C32" s="842"/>
      <c r="D32" s="841" t="s">
        <v>48</v>
      </c>
      <c r="E32" s="842"/>
      <c r="F32" s="841" t="s">
        <v>49</v>
      </c>
      <c r="G32" s="842"/>
      <c r="H32" s="840" t="s">
        <v>50</v>
      </c>
      <c r="I32" s="841"/>
      <c r="J32" s="842"/>
      <c r="K32" s="840" t="s">
        <v>51</v>
      </c>
      <c r="L32" s="841"/>
      <c r="M32" s="841"/>
      <c r="N32" s="841"/>
      <c r="O32" s="842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5" spans="2:19">
      <c r="C35" s="118"/>
    </row>
    <row r="36" spans="2:19" ht="15.75">
      <c r="J36" s="12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91"/>
      <c r="D39" s="128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1"/>
      <c r="R39" s="74"/>
    </row>
    <row r="40" spans="2:19" ht="18.75" customHeight="1">
      <c r="B40" s="91"/>
      <c r="C40" s="119"/>
      <c r="D40" s="91"/>
      <c r="E40" s="830"/>
      <c r="F40" s="830"/>
      <c r="G40" s="830"/>
      <c r="H40" s="830"/>
      <c r="I40" s="830"/>
      <c r="J40" s="830"/>
      <c r="K40" s="110"/>
      <c r="L40" s="110"/>
      <c r="M40" s="110"/>
      <c r="N40" s="110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131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130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43"/>
      <c r="I43" s="843"/>
      <c r="J43" s="84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37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116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37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36"/>
      <c r="K54" s="839"/>
      <c r="L54" s="839"/>
      <c r="M54" s="839"/>
      <c r="N54" s="839"/>
      <c r="O54" s="839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37"/>
      <c r="K55" s="838"/>
      <c r="L55" s="838"/>
      <c r="M55" s="838"/>
      <c r="N55" s="838"/>
      <c r="O55" s="838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36"/>
      <c r="K56" s="839"/>
      <c r="L56" s="839"/>
      <c r="M56" s="839"/>
      <c r="N56" s="839"/>
      <c r="O56" s="839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37"/>
      <c r="K57" s="838"/>
      <c r="L57" s="838"/>
      <c r="M57" s="838"/>
      <c r="N57" s="838"/>
      <c r="O57" s="838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36"/>
      <c r="K58" s="839"/>
      <c r="L58" s="839"/>
      <c r="M58" s="839"/>
      <c r="N58" s="839"/>
      <c r="O58" s="839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34"/>
      <c r="C60" s="734"/>
      <c r="D60" s="734"/>
      <c r="E60" s="734"/>
      <c r="F60" s="734"/>
      <c r="G60" s="734"/>
      <c r="H60" s="101"/>
      <c r="I60" s="101"/>
      <c r="J60" s="734"/>
      <c r="K60" s="734"/>
      <c r="L60" s="734"/>
      <c r="M60" s="734"/>
      <c r="N60" s="734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2">
    <mergeCell ref="I8:J8"/>
    <mergeCell ref="D2:J5"/>
    <mergeCell ref="K2:O2"/>
    <mergeCell ref="L3:O3"/>
    <mergeCell ref="L4:O4"/>
    <mergeCell ref="L5:O5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H30:J30"/>
    <mergeCell ref="K30:O31"/>
    <mergeCell ref="K19:O19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B31:C31"/>
    <mergeCell ref="D31:E31"/>
    <mergeCell ref="F31:G31"/>
    <mergeCell ref="H31:J31"/>
    <mergeCell ref="B32:C32"/>
    <mergeCell ref="D32:E32"/>
    <mergeCell ref="F32:G32"/>
    <mergeCell ref="H32:J32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63:C63"/>
    <mergeCell ref="D63:E63"/>
    <mergeCell ref="F63:G63"/>
    <mergeCell ref="H63:J63"/>
    <mergeCell ref="K63:O63"/>
    <mergeCell ref="B55:G55"/>
    <mergeCell ref="K55:O55"/>
    <mergeCell ref="K56:O56"/>
    <mergeCell ref="K57:O57"/>
    <mergeCell ref="K58:O58"/>
  </mergeCells>
  <printOptions horizontalCentered="1"/>
  <pageMargins left="0" right="0" top="0.23622047244094499" bottom="0.23622047244094499" header="0" footer="0"/>
  <pageSetup scale="67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T63"/>
  <sheetViews>
    <sheetView showGridLines="0" view="pageBreakPreview" zoomScaleNormal="100" zoomScaleSheetLayoutView="100" workbookViewId="0">
      <selection activeCell="I15" sqref="I15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.25" style="74"/>
    <col min="18" max="18" width="14.25" style="75" customWidth="1"/>
    <col min="19" max="16384" width="9.25" style="74"/>
  </cols>
  <sheetData>
    <row r="1" spans="2:18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2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2:18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2:18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2:18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2:18" ht="18.75" customHeight="1">
      <c r="B6" s="144"/>
      <c r="C6" s="145"/>
      <c r="D6" s="145"/>
      <c r="E6" s="145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2:18" ht="18.75" customHeight="1">
      <c r="B7" s="147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2:18" ht="18.75" customHeight="1">
      <c r="B8" s="13" t="s">
        <v>9</v>
      </c>
      <c r="C8" s="14" t="s">
        <v>252</v>
      </c>
      <c r="D8" s="14"/>
      <c r="E8" s="15"/>
      <c r="F8" s="15"/>
      <c r="G8" s="15"/>
      <c r="H8" s="16"/>
      <c r="I8" s="752" t="s">
        <v>11</v>
      </c>
      <c r="J8" s="752"/>
      <c r="K8" s="152" t="s">
        <v>253</v>
      </c>
      <c r="L8" s="127"/>
      <c r="M8" s="127"/>
      <c r="N8" s="127"/>
      <c r="O8" s="132"/>
      <c r="R8" s="74"/>
    </row>
    <row r="9" spans="2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2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254</v>
      </c>
      <c r="L10" s="138"/>
      <c r="M10" s="138"/>
      <c r="N10" s="138"/>
      <c r="O10" s="139"/>
      <c r="R10" s="125" t="s">
        <v>255</v>
      </c>
    </row>
    <row r="11" spans="2:18" ht="18.75" customHeight="1">
      <c r="B11" s="140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142"/>
      <c r="R11" s="74"/>
    </row>
    <row r="12" spans="2:18" ht="18.75" customHeight="1">
      <c r="B12" s="153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2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66"/>
      <c r="R13" s="74"/>
    </row>
    <row r="14" spans="2:18" ht="18.75" customHeight="1">
      <c r="B14" s="156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2:18" ht="18.75" customHeight="1">
      <c r="B15" s="158" t="s">
        <v>256</v>
      </c>
      <c r="C15" s="24"/>
      <c r="D15" s="24"/>
      <c r="E15" s="24"/>
      <c r="F15" s="24"/>
      <c r="G15" s="24"/>
      <c r="H15" s="26" t="s">
        <v>25</v>
      </c>
      <c r="I15" s="720" t="s">
        <v>26</v>
      </c>
      <c r="J15" s="61" t="s">
        <v>27</v>
      </c>
      <c r="K15" s="846">
        <v>300000</v>
      </c>
      <c r="L15" s="846"/>
      <c r="M15" s="846"/>
      <c r="N15" s="846"/>
      <c r="O15" s="847"/>
      <c r="R15" s="74"/>
    </row>
    <row r="16" spans="2:18" ht="18.75" customHeight="1">
      <c r="B16" s="158"/>
      <c r="C16" s="159"/>
      <c r="D16" s="159"/>
      <c r="E16" s="24"/>
      <c r="F16" s="24"/>
      <c r="G16" s="24"/>
      <c r="H16" s="26"/>
      <c r="I16" s="720"/>
      <c r="J16" s="61"/>
      <c r="K16" s="846"/>
      <c r="L16" s="846"/>
      <c r="M16" s="846"/>
      <c r="N16" s="846"/>
      <c r="O16" s="847"/>
      <c r="R16" s="74"/>
    </row>
    <row r="17" spans="2:20" ht="18.75" customHeight="1">
      <c r="B17" s="158"/>
      <c r="C17" s="80"/>
      <c r="D17" s="196"/>
      <c r="E17" s="80"/>
      <c r="F17" s="24"/>
      <c r="G17" s="24"/>
      <c r="H17" s="26"/>
      <c r="I17" s="720"/>
      <c r="J17" s="61"/>
      <c r="K17" s="846"/>
      <c r="L17" s="846"/>
      <c r="M17" s="846"/>
      <c r="N17" s="846"/>
      <c r="O17" s="847"/>
      <c r="R17" s="74"/>
    </row>
    <row r="18" spans="2:20" ht="18.75" customHeight="1">
      <c r="B18" s="158"/>
      <c r="C18" s="80"/>
      <c r="D18" s="196"/>
      <c r="E18" s="80"/>
      <c r="F18" s="80"/>
      <c r="G18" s="80"/>
      <c r="H18" s="26"/>
      <c r="I18" s="720"/>
      <c r="J18" s="61"/>
      <c r="K18" s="846"/>
      <c r="L18" s="846"/>
      <c r="M18" s="846"/>
      <c r="N18" s="846"/>
      <c r="O18" s="847"/>
      <c r="R18" s="74"/>
    </row>
    <row r="19" spans="2:20" ht="18.75" customHeight="1">
      <c r="B19" s="158"/>
      <c r="C19" s="80"/>
      <c r="D19" s="196"/>
      <c r="E19" s="80"/>
      <c r="F19" s="80"/>
      <c r="G19" s="80"/>
      <c r="H19" s="26"/>
      <c r="I19" s="720"/>
      <c r="J19" s="61"/>
      <c r="K19" s="846"/>
      <c r="L19" s="846"/>
      <c r="M19" s="846"/>
      <c r="N19" s="846"/>
      <c r="O19" s="847"/>
      <c r="R19" s="74"/>
    </row>
    <row r="20" spans="2:20" ht="18.75" customHeight="1">
      <c r="B20" s="158"/>
      <c r="C20" s="24"/>
      <c r="D20" s="80"/>
      <c r="E20" s="80"/>
      <c r="F20" s="80"/>
      <c r="G20" s="80"/>
      <c r="H20" s="26"/>
      <c r="I20" s="720"/>
      <c r="J20" s="61"/>
      <c r="K20" s="848"/>
      <c r="L20" s="846"/>
      <c r="M20" s="846"/>
      <c r="N20" s="846"/>
      <c r="O20" s="847"/>
      <c r="R20" s="74"/>
    </row>
    <row r="21" spans="2:20" ht="18.75" hidden="1" customHeight="1">
      <c r="B21" s="158"/>
      <c r="C21" s="24"/>
      <c r="D21" s="80"/>
      <c r="E21" s="80"/>
      <c r="F21" s="80"/>
      <c r="G21" s="80"/>
      <c r="H21" s="26"/>
      <c r="I21" s="720"/>
      <c r="J21" s="61"/>
      <c r="K21" s="846"/>
      <c r="L21" s="846"/>
      <c r="M21" s="846"/>
      <c r="N21" s="846"/>
      <c r="O21" s="847"/>
      <c r="R21" s="74"/>
    </row>
    <row r="22" spans="2:20" ht="22.5" hidden="1" customHeight="1">
      <c r="B22" s="158"/>
      <c r="C22" s="160"/>
      <c r="D22" s="80"/>
      <c r="E22" s="161"/>
      <c r="F22" s="80"/>
      <c r="G22" s="80"/>
      <c r="H22" s="26"/>
      <c r="I22" s="720"/>
      <c r="J22" s="61"/>
      <c r="K22" s="846"/>
      <c r="L22" s="846"/>
      <c r="M22" s="846"/>
      <c r="N22" s="846"/>
      <c r="O22" s="847"/>
      <c r="R22" s="74"/>
    </row>
    <row r="23" spans="2:20" ht="28.5" customHeight="1">
      <c r="B23" s="162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850"/>
    </row>
    <row r="24" spans="2:20" ht="18.75" customHeight="1">
      <c r="B24" s="167" t="s">
        <v>31</v>
      </c>
      <c r="C24" s="94"/>
      <c r="D24" s="94"/>
      <c r="E24" s="94"/>
      <c r="F24" s="94"/>
      <c r="G24" s="168"/>
      <c r="H24" s="130"/>
      <c r="I24" s="851" t="s">
        <v>32</v>
      </c>
      <c r="J24" s="852"/>
      <c r="K24" s="853">
        <f>SUM(K15:O23)</f>
        <v>300000</v>
      </c>
      <c r="L24" s="853"/>
      <c r="M24" s="853"/>
      <c r="N24" s="853"/>
      <c r="O24" s="854"/>
      <c r="P24" s="121">
        <f>SUM(K15:O22)</f>
        <v>300000</v>
      </c>
      <c r="R24" s="123">
        <v>17892</v>
      </c>
    </row>
    <row r="25" spans="2:20" ht="18.75" customHeight="1">
      <c r="B25" s="37" t="s">
        <v>33</v>
      </c>
      <c r="C25" s="15" t="s">
        <v>58</v>
      </c>
      <c r="D25" s="34"/>
      <c r="E25" s="34"/>
      <c r="F25" s="34"/>
      <c r="G25" s="35"/>
      <c r="H25" s="36"/>
      <c r="I25" s="734"/>
      <c r="J25" s="169"/>
      <c r="K25" s="170"/>
      <c r="L25" s="170"/>
      <c r="M25" s="170"/>
      <c r="N25" s="170"/>
      <c r="O25" s="171"/>
      <c r="P25" s="121"/>
      <c r="R25" s="123"/>
      <c r="T25" s="74" t="s">
        <v>35</v>
      </c>
    </row>
    <row r="26" spans="2:20" ht="18.75" hidden="1" customHeight="1">
      <c r="B26" s="167" t="s">
        <v>36</v>
      </c>
      <c r="C26" s="94" t="s">
        <v>37</v>
      </c>
      <c r="D26" s="172"/>
      <c r="E26" s="172"/>
      <c r="F26" s="172"/>
      <c r="G26" s="173"/>
      <c r="H26" s="174"/>
      <c r="I26" s="175"/>
      <c r="J26" s="176"/>
      <c r="K26" s="177"/>
      <c r="L26" s="177"/>
      <c r="M26" s="177"/>
      <c r="N26" s="177"/>
      <c r="O26" s="178"/>
      <c r="P26" s="121"/>
      <c r="R26" s="123"/>
    </row>
    <row r="27" spans="2:20" ht="18.75" hidden="1" customHeight="1">
      <c r="B27" s="179" t="s">
        <v>33</v>
      </c>
      <c r="C27" s="180" t="s">
        <v>38</v>
      </c>
      <c r="D27" s="181"/>
      <c r="E27" s="18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57"/>
    </row>
    <row r="28" spans="2:20" ht="18.75" customHeight="1">
      <c r="B28" s="18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300000</v>
      </c>
      <c r="L28" s="809"/>
      <c r="M28" s="809"/>
      <c r="N28" s="809"/>
      <c r="O28" s="858"/>
    </row>
    <row r="29" spans="2:20" ht="18.75" customHeight="1">
      <c r="B29" s="722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59"/>
    </row>
    <row r="30" spans="2:20" s="73" customFormat="1" ht="18.75" customHeight="1">
      <c r="B30" s="46"/>
      <c r="C30" s="47"/>
      <c r="D30" s="141"/>
      <c r="E30" s="47"/>
      <c r="F30" s="141"/>
      <c r="G30" s="47"/>
      <c r="H30" s="790"/>
      <c r="I30" s="791"/>
      <c r="J30" s="792"/>
      <c r="K30" s="793"/>
      <c r="L30" s="793"/>
      <c r="M30" s="793"/>
      <c r="N30" s="793"/>
      <c r="O30" s="845"/>
      <c r="R30" s="110"/>
    </row>
    <row r="31" spans="2:20" ht="18.75" customHeight="1">
      <c r="B31" s="844" t="s">
        <v>257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3"/>
      <c r="L31" s="793"/>
      <c r="M31" s="793"/>
      <c r="N31" s="793"/>
      <c r="O31" s="845"/>
    </row>
    <row r="32" spans="2:20" ht="18.75" customHeight="1">
      <c r="B32" s="840" t="s">
        <v>47</v>
      </c>
      <c r="C32" s="842"/>
      <c r="D32" s="841" t="s">
        <v>48</v>
      </c>
      <c r="E32" s="842"/>
      <c r="F32" s="841" t="s">
        <v>49</v>
      </c>
      <c r="G32" s="842"/>
      <c r="H32" s="840" t="s">
        <v>50</v>
      </c>
      <c r="I32" s="841"/>
      <c r="J32" s="842"/>
      <c r="K32" s="840" t="s">
        <v>51</v>
      </c>
      <c r="L32" s="841"/>
      <c r="M32" s="841"/>
      <c r="N32" s="841"/>
      <c r="O32" s="842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5" spans="2:19">
      <c r="C35" s="118"/>
    </row>
    <row r="36" spans="2:19" ht="15.75">
      <c r="J36" s="12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91"/>
      <c r="D39" s="128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1"/>
      <c r="R39" s="74"/>
    </row>
    <row r="40" spans="2:19" ht="18.75" customHeight="1">
      <c r="B40" s="91"/>
      <c r="C40" s="119"/>
      <c r="D40" s="91"/>
      <c r="E40" s="830"/>
      <c r="F40" s="830"/>
      <c r="G40" s="830"/>
      <c r="H40" s="830"/>
      <c r="I40" s="830"/>
      <c r="J40" s="830"/>
      <c r="K40" s="110"/>
      <c r="L40" s="110"/>
      <c r="M40" s="110"/>
      <c r="N40" s="110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131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130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43"/>
      <c r="I43" s="843"/>
      <c r="J43" s="84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37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116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37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36"/>
      <c r="K54" s="839"/>
      <c r="L54" s="839"/>
      <c r="M54" s="839"/>
      <c r="N54" s="839"/>
      <c r="O54" s="839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37"/>
      <c r="K55" s="838"/>
      <c r="L55" s="838"/>
      <c r="M55" s="838"/>
      <c r="N55" s="838"/>
      <c r="O55" s="838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36"/>
      <c r="K56" s="839"/>
      <c r="L56" s="839"/>
      <c r="M56" s="839"/>
      <c r="N56" s="839"/>
      <c r="O56" s="839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37"/>
      <c r="K57" s="838"/>
      <c r="L57" s="838"/>
      <c r="M57" s="838"/>
      <c r="N57" s="838"/>
      <c r="O57" s="838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36"/>
      <c r="K58" s="839"/>
      <c r="L58" s="839"/>
      <c r="M58" s="839"/>
      <c r="N58" s="839"/>
      <c r="O58" s="839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34"/>
      <c r="C60" s="734"/>
      <c r="D60" s="734"/>
      <c r="E60" s="734"/>
      <c r="F60" s="734"/>
      <c r="G60" s="734"/>
      <c r="H60" s="101"/>
      <c r="I60" s="101"/>
      <c r="J60" s="734"/>
      <c r="K60" s="734"/>
      <c r="L60" s="734"/>
      <c r="M60" s="734"/>
      <c r="N60" s="734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2">
    <mergeCell ref="K30:O31"/>
    <mergeCell ref="D2:J5"/>
    <mergeCell ref="K56:O56"/>
    <mergeCell ref="K57:O57"/>
    <mergeCell ref="K58:O58"/>
    <mergeCell ref="C45:O45"/>
    <mergeCell ref="B48:G48"/>
    <mergeCell ref="K54:O54"/>
    <mergeCell ref="B55:G55"/>
    <mergeCell ref="K55:O55"/>
    <mergeCell ref="K37:O37"/>
    <mergeCell ref="C43:G43"/>
    <mergeCell ref="H43:J43"/>
    <mergeCell ref="K43:O43"/>
    <mergeCell ref="C44:G44"/>
    <mergeCell ref="H44:J44"/>
    <mergeCell ref="B63:C63"/>
    <mergeCell ref="D63:E63"/>
    <mergeCell ref="F63:G63"/>
    <mergeCell ref="H63:J63"/>
    <mergeCell ref="K63:O63"/>
    <mergeCell ref="K44:O44"/>
    <mergeCell ref="E37:J40"/>
    <mergeCell ref="B32:C32"/>
    <mergeCell ref="D32:E32"/>
    <mergeCell ref="F32:G32"/>
    <mergeCell ref="H32:J32"/>
    <mergeCell ref="K32:O32"/>
    <mergeCell ref="H30:J30"/>
    <mergeCell ref="B31:C31"/>
    <mergeCell ref="D31:E31"/>
    <mergeCell ref="F31:G31"/>
    <mergeCell ref="H31:J31"/>
    <mergeCell ref="I27:J27"/>
    <mergeCell ref="K27:O27"/>
    <mergeCell ref="I28:J28"/>
    <mergeCell ref="K28:O28"/>
    <mergeCell ref="H29:O29"/>
    <mergeCell ref="K21:O21"/>
    <mergeCell ref="K22:O22"/>
    <mergeCell ref="K23:O23"/>
    <mergeCell ref="I24:J24"/>
    <mergeCell ref="K24:O24"/>
    <mergeCell ref="B13:G13"/>
    <mergeCell ref="K13:O13"/>
    <mergeCell ref="K14:O14"/>
    <mergeCell ref="K15:O15"/>
    <mergeCell ref="K18:O18"/>
    <mergeCell ref="K16:O16"/>
    <mergeCell ref="K17:O17"/>
    <mergeCell ref="I8:J8"/>
    <mergeCell ref="B9:C9"/>
    <mergeCell ref="D9:H9"/>
    <mergeCell ref="I9:J9"/>
    <mergeCell ref="D10:H10"/>
    <mergeCell ref="I10:J10"/>
    <mergeCell ref="K19:O19"/>
    <mergeCell ref="K20:O20"/>
    <mergeCell ref="K2:O2"/>
    <mergeCell ref="L3:O3"/>
    <mergeCell ref="L4:O4"/>
    <mergeCell ref="L5:O5"/>
  </mergeCells>
  <printOptions horizontalCentered="1"/>
  <pageMargins left="0" right="0" top="0.23622047244094499" bottom="0.23622047244094499" header="0" footer="0"/>
  <pageSetup paperSize="9" scale="6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U56"/>
  <sheetViews>
    <sheetView showGridLines="0" view="pageBreakPreview" zoomScale="70" zoomScaleNormal="100" workbookViewId="0">
      <selection activeCell="H46" sqref="H46"/>
    </sheetView>
  </sheetViews>
  <sheetFormatPr defaultColWidth="9.25" defaultRowHeight="12.75"/>
  <cols>
    <col min="1" max="1" width="9.25" style="74"/>
    <col min="2" max="2" width="16.625" style="74" customWidth="1"/>
    <col min="3" max="3" width="10.25" style="74" customWidth="1"/>
    <col min="4" max="7" width="13.75" style="74" customWidth="1"/>
    <col min="8" max="8" width="11.75" style="74" customWidth="1"/>
    <col min="9" max="9" width="15.25" style="74" customWidth="1"/>
    <col min="10" max="10" width="14.37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5.875" style="74" customWidth="1"/>
    <col min="16" max="17" width="9.25" style="74"/>
    <col min="18" max="18" width="14.25" style="75" customWidth="1"/>
    <col min="19" max="16384" width="9.25" style="74"/>
  </cols>
  <sheetData>
    <row r="2" spans="2:21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1097"/>
      <c r="K2" s="874" t="s">
        <v>1</v>
      </c>
      <c r="L2" s="875"/>
      <c r="M2" s="875"/>
      <c r="N2" s="875"/>
      <c r="O2" s="876"/>
    </row>
    <row r="3" spans="2:21" ht="18.75" customHeight="1">
      <c r="B3" s="3"/>
      <c r="C3" s="4"/>
      <c r="D3" s="872"/>
      <c r="E3" s="1080"/>
      <c r="F3" s="1080"/>
      <c r="G3" s="1080"/>
      <c r="H3" s="1080"/>
      <c r="I3" s="1080"/>
      <c r="J3" s="1098"/>
      <c r="K3" s="48" t="s">
        <v>2</v>
      </c>
      <c r="L3" s="1095" t="s">
        <v>3</v>
      </c>
      <c r="M3" s="1095"/>
      <c r="N3" s="1095"/>
      <c r="O3" s="1096"/>
    </row>
    <row r="4" spans="2:21" ht="18.75" customHeight="1">
      <c r="B4" s="3"/>
      <c r="C4" s="4"/>
      <c r="D4" s="872"/>
      <c r="E4" s="1080"/>
      <c r="F4" s="1080"/>
      <c r="G4" s="1080"/>
      <c r="H4" s="1080"/>
      <c r="I4" s="1080"/>
      <c r="J4" s="1098"/>
      <c r="K4" s="49" t="s">
        <v>4</v>
      </c>
      <c r="L4" s="1048" t="s">
        <v>5</v>
      </c>
      <c r="M4" s="1048"/>
      <c r="N4" s="1048"/>
      <c r="O4" s="1081"/>
    </row>
    <row r="5" spans="2:21" ht="18.75" customHeight="1">
      <c r="B5" s="5"/>
      <c r="C5" s="6"/>
      <c r="D5" s="1099"/>
      <c r="E5" s="1100"/>
      <c r="F5" s="1100"/>
      <c r="G5" s="1100"/>
      <c r="H5" s="1100"/>
      <c r="I5" s="1100"/>
      <c r="J5" s="1101"/>
      <c r="K5" s="50" t="s">
        <v>6</v>
      </c>
      <c r="L5" s="762" t="s">
        <v>7</v>
      </c>
      <c r="M5" s="763"/>
      <c r="N5" s="763"/>
      <c r="O5" s="1082"/>
    </row>
    <row r="6" spans="2:21" ht="18.75" customHeight="1"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51"/>
    </row>
    <row r="7" spans="2:21" ht="18.75" customHeight="1">
      <c r="B7" s="9" t="s">
        <v>8</v>
      </c>
      <c r="C7" s="76"/>
      <c r="D7" s="10"/>
      <c r="E7" s="10"/>
      <c r="F7" s="10"/>
      <c r="G7" s="11"/>
      <c r="H7" s="12"/>
      <c r="I7" s="12"/>
      <c r="J7" s="52"/>
      <c r="K7" s="52"/>
      <c r="L7" s="52"/>
      <c r="M7" s="52"/>
      <c r="N7" s="52"/>
      <c r="O7" s="53"/>
    </row>
    <row r="8" spans="2:21" ht="18.75" customHeight="1">
      <c r="B8" s="13" t="s">
        <v>9</v>
      </c>
      <c r="C8" s="77"/>
      <c r="D8" s="14" t="s">
        <v>258</v>
      </c>
      <c r="E8" s="15"/>
      <c r="F8" s="15"/>
      <c r="G8" s="15"/>
      <c r="H8" s="16"/>
      <c r="I8" s="860" t="s">
        <v>11</v>
      </c>
      <c r="J8" s="772"/>
      <c r="K8" s="124" t="s">
        <v>259</v>
      </c>
      <c r="L8" s="54"/>
      <c r="M8" s="54"/>
      <c r="N8" s="54"/>
      <c r="O8" s="55"/>
      <c r="R8" s="75">
        <f>5850+12480</f>
        <v>18330</v>
      </c>
    </row>
    <row r="9" spans="2:21" ht="18.75" customHeight="1">
      <c r="B9" s="860" t="s">
        <v>13</v>
      </c>
      <c r="C9" s="772"/>
      <c r="D9" s="773"/>
      <c r="E9" s="773"/>
      <c r="F9" s="773"/>
      <c r="G9" s="773"/>
      <c r="H9" s="1102"/>
      <c r="I9" s="860" t="s">
        <v>14</v>
      </c>
      <c r="J9" s="772"/>
      <c r="K9" s="56"/>
      <c r="L9" s="54"/>
      <c r="M9" s="54"/>
      <c r="N9" s="54"/>
      <c r="O9" s="55"/>
      <c r="R9" s="75">
        <f>3000+3030</f>
        <v>6030</v>
      </c>
    </row>
    <row r="10" spans="2:21" ht="18.75" customHeight="1">
      <c r="B10" s="191" t="s">
        <v>15</v>
      </c>
      <c r="C10" s="15"/>
      <c r="D10" s="773"/>
      <c r="E10" s="773"/>
      <c r="F10" s="773"/>
      <c r="G10" s="773"/>
      <c r="H10" s="1102"/>
      <c r="I10" s="860" t="s">
        <v>16</v>
      </c>
      <c r="J10" s="772"/>
      <c r="K10" s="56" t="s">
        <v>260</v>
      </c>
      <c r="L10" s="54"/>
      <c r="M10" s="54"/>
      <c r="N10" s="54"/>
      <c r="O10" s="55"/>
      <c r="R10" s="75">
        <f>2800+2200</f>
        <v>5000</v>
      </c>
    </row>
    <row r="11" spans="2:21" ht="18.75" customHeight="1">
      <c r="B11" s="17"/>
      <c r="C11" s="17"/>
      <c r="D11" s="17"/>
      <c r="E11" s="17"/>
      <c r="F11" s="17"/>
      <c r="G11" s="18"/>
      <c r="H11" s="19"/>
      <c r="I11" s="19"/>
      <c r="J11" s="17"/>
      <c r="K11" s="17"/>
      <c r="L11" s="17"/>
      <c r="M11" s="17"/>
      <c r="N11" s="17"/>
      <c r="O11" s="57"/>
    </row>
    <row r="12" spans="2:21" ht="18.75" customHeight="1">
      <c r="B12" s="9" t="s">
        <v>18</v>
      </c>
      <c r="C12" s="10"/>
      <c r="D12" s="10"/>
      <c r="E12" s="10"/>
      <c r="F12" s="10"/>
      <c r="G12" s="11"/>
      <c r="H12" s="12"/>
      <c r="I12" s="12"/>
      <c r="J12" s="52"/>
      <c r="K12" s="52"/>
      <c r="L12" s="52"/>
      <c r="M12" s="52"/>
      <c r="N12" s="52"/>
      <c r="O12" s="53"/>
    </row>
    <row r="13" spans="2:21" ht="30.6" customHeight="1">
      <c r="B13" s="1103" t="s">
        <v>19</v>
      </c>
      <c r="C13" s="1104"/>
      <c r="D13" s="1104"/>
      <c r="E13" s="1104"/>
      <c r="F13" s="1104"/>
      <c r="G13" s="1105"/>
      <c r="H13" s="78" t="s">
        <v>20</v>
      </c>
      <c r="I13" s="58" t="s">
        <v>21</v>
      </c>
      <c r="J13" s="102" t="s">
        <v>22</v>
      </c>
      <c r="K13" s="1106" t="s">
        <v>23</v>
      </c>
      <c r="L13" s="1106"/>
      <c r="M13" s="1106"/>
      <c r="N13" s="1106"/>
      <c r="O13" s="1107"/>
    </row>
    <row r="14" spans="2:21" ht="18.75" customHeight="1">
      <c r="B14" s="79"/>
      <c r="C14" s="80"/>
      <c r="D14" s="80"/>
      <c r="E14" s="80"/>
      <c r="F14" s="80"/>
      <c r="G14" s="81"/>
      <c r="H14" s="82"/>
      <c r="I14" s="22"/>
      <c r="J14" s="103"/>
      <c r="K14" s="1108"/>
      <c r="L14" s="1108"/>
      <c r="M14" s="1108"/>
      <c r="N14" s="1108"/>
      <c r="O14" s="1108"/>
      <c r="T14" s="118"/>
      <c r="U14" s="118"/>
    </row>
    <row r="15" spans="2:21" ht="18.75" customHeight="1">
      <c r="B15" s="83" t="s">
        <v>261</v>
      </c>
      <c r="C15" s="80"/>
      <c r="D15" s="80"/>
      <c r="E15" s="80"/>
      <c r="F15" s="80"/>
      <c r="G15" s="81"/>
      <c r="H15" s="729" t="s">
        <v>25</v>
      </c>
      <c r="I15" s="104" t="s">
        <v>262</v>
      </c>
      <c r="J15" s="61" t="s">
        <v>27</v>
      </c>
      <c r="K15" s="846">
        <v>210000</v>
      </c>
      <c r="L15" s="846"/>
      <c r="M15" s="846"/>
      <c r="N15" s="846"/>
      <c r="O15" s="847"/>
      <c r="T15" s="118"/>
      <c r="U15" s="24"/>
    </row>
    <row r="16" spans="2:21" ht="18.75" customHeight="1">
      <c r="B16" s="84"/>
      <c r="C16" s="85"/>
      <c r="D16" s="85"/>
      <c r="E16" s="85"/>
      <c r="F16" s="85"/>
      <c r="G16" s="86"/>
      <c r="H16" s="87"/>
      <c r="I16" s="105"/>
      <c r="J16" s="105"/>
      <c r="K16" s="849"/>
      <c r="L16" s="849"/>
      <c r="M16" s="849"/>
      <c r="N16" s="849"/>
      <c r="O16" s="850"/>
    </row>
    <row r="17" spans="2:20" ht="10.15" customHeight="1">
      <c r="B17" s="32"/>
      <c r="C17" s="32"/>
      <c r="D17" s="32"/>
      <c r="E17" s="32"/>
      <c r="F17" s="32"/>
      <c r="G17" s="32"/>
      <c r="H17" s="19"/>
      <c r="I17" s="19"/>
      <c r="J17" s="62"/>
      <c r="K17" s="106"/>
      <c r="L17" s="106"/>
      <c r="M17" s="106"/>
      <c r="N17" s="106"/>
      <c r="O17" s="107"/>
    </row>
    <row r="18" spans="2:20" ht="18.75" customHeight="1">
      <c r="B18" s="33" t="s">
        <v>31</v>
      </c>
      <c r="C18" s="34"/>
      <c r="D18" s="34"/>
      <c r="E18" s="34"/>
      <c r="F18" s="34"/>
      <c r="G18" s="35"/>
      <c r="H18" s="36"/>
      <c r="I18" s="851" t="s">
        <v>32</v>
      </c>
      <c r="J18" s="852"/>
      <c r="K18" s="809">
        <f>SUM(K15:O17)</f>
        <v>210000</v>
      </c>
      <c r="L18" s="809"/>
      <c r="M18" s="809"/>
      <c r="N18" s="809"/>
      <c r="O18" s="809"/>
      <c r="P18" s="108"/>
      <c r="Q18" s="108"/>
      <c r="R18" s="108"/>
      <c r="S18" s="108"/>
      <c r="T18" s="108"/>
    </row>
    <row r="19" spans="2:20" ht="18.75" customHeight="1">
      <c r="B19" s="37" t="s">
        <v>33</v>
      </c>
      <c r="C19" s="38" t="s">
        <v>79</v>
      </c>
      <c r="D19" s="38"/>
      <c r="E19" s="38"/>
      <c r="F19" s="39"/>
      <c r="G19" s="39">
        <v>210000</v>
      </c>
      <c r="H19" s="40"/>
      <c r="I19" s="851"/>
      <c r="J19" s="852"/>
      <c r="K19" s="1109"/>
      <c r="L19" s="1109"/>
      <c r="M19" s="1109"/>
      <c r="N19" s="1109"/>
      <c r="O19" s="1109"/>
      <c r="P19" s="108"/>
      <c r="Q19" s="108"/>
      <c r="R19" s="108"/>
      <c r="S19" s="108"/>
      <c r="T19" s="108"/>
    </row>
    <row r="20" spans="2:20" ht="18.75" customHeight="1">
      <c r="B20" s="37" t="s">
        <v>36</v>
      </c>
      <c r="C20" s="38" t="s">
        <v>263</v>
      </c>
      <c r="D20" s="38"/>
      <c r="E20" s="38"/>
      <c r="F20" s="39"/>
      <c r="G20" s="39"/>
      <c r="H20" s="39">
        <v>210000</v>
      </c>
      <c r="I20" s="851" t="s">
        <v>39</v>
      </c>
      <c r="J20" s="852"/>
      <c r="K20" s="1109">
        <v>0</v>
      </c>
      <c r="L20" s="1109"/>
      <c r="M20" s="1109"/>
      <c r="N20" s="1109"/>
      <c r="O20" s="1109"/>
      <c r="P20" s="109"/>
      <c r="Q20" s="109"/>
      <c r="R20" s="109"/>
      <c r="S20" s="109"/>
      <c r="T20" s="109"/>
    </row>
    <row r="21" spans="2:20" ht="18.75" customHeight="1">
      <c r="B21" s="41"/>
      <c r="C21" s="15"/>
      <c r="D21" s="15"/>
      <c r="E21" s="15"/>
      <c r="F21" s="42"/>
      <c r="G21" s="39"/>
      <c r="H21" s="88"/>
      <c r="I21" s="945" t="s">
        <v>41</v>
      </c>
      <c r="J21" s="808"/>
      <c r="K21" s="809">
        <f>K18</f>
        <v>210000</v>
      </c>
      <c r="L21" s="809"/>
      <c r="M21" s="809"/>
      <c r="N21" s="809"/>
      <c r="O21" s="809"/>
      <c r="P21" s="108"/>
      <c r="Q21" s="108"/>
      <c r="R21" s="108"/>
      <c r="S21" s="108"/>
      <c r="T21" s="108"/>
    </row>
    <row r="22" spans="2:20" ht="18.75" customHeight="1">
      <c r="B22" s="722" t="s">
        <v>42</v>
      </c>
      <c r="C22" s="735"/>
      <c r="D22" s="722" t="s">
        <v>43</v>
      </c>
      <c r="E22" s="735"/>
      <c r="F22" s="44"/>
      <c r="G22" s="45"/>
      <c r="H22" s="811" t="s">
        <v>44</v>
      </c>
      <c r="I22" s="812"/>
      <c r="J22" s="812"/>
      <c r="K22" s="812"/>
      <c r="L22" s="812"/>
      <c r="M22" s="812"/>
      <c r="N22" s="812"/>
      <c r="O22" s="859"/>
    </row>
    <row r="23" spans="2:20" s="73" customFormat="1" ht="18.75" customHeight="1">
      <c r="B23" s="46"/>
      <c r="C23" s="47"/>
      <c r="D23" s="46"/>
      <c r="E23" s="47"/>
      <c r="F23" s="46"/>
      <c r="G23" s="47"/>
      <c r="H23" s="790"/>
      <c r="I23" s="791"/>
      <c r="J23" s="792"/>
      <c r="K23" s="791"/>
      <c r="L23" s="791"/>
      <c r="M23" s="791"/>
      <c r="N23" s="791"/>
      <c r="O23" s="792"/>
      <c r="R23" s="110"/>
    </row>
    <row r="24" spans="2:20" ht="18.75" customHeight="1">
      <c r="B24" s="946"/>
      <c r="C24" s="815"/>
      <c r="D24" s="946"/>
      <c r="E24" s="815"/>
      <c r="F24" s="946"/>
      <c r="G24" s="815"/>
      <c r="H24" s="947"/>
      <c r="I24" s="948"/>
      <c r="J24" s="949"/>
      <c r="K24" s="923"/>
      <c r="L24" s="923"/>
      <c r="M24" s="923"/>
      <c r="N24" s="923"/>
      <c r="O24" s="924"/>
    </row>
    <row r="25" spans="2:20" ht="18.75" customHeight="1">
      <c r="B25" s="840" t="s">
        <v>47</v>
      </c>
      <c r="C25" s="842"/>
      <c r="D25" s="840" t="s">
        <v>48</v>
      </c>
      <c r="E25" s="842"/>
      <c r="F25" s="840" t="s">
        <v>49</v>
      </c>
      <c r="G25" s="842"/>
      <c r="H25" s="840" t="s">
        <v>50</v>
      </c>
      <c r="I25" s="841"/>
      <c r="J25" s="842"/>
      <c r="K25" s="841" t="s">
        <v>51</v>
      </c>
      <c r="L25" s="841"/>
      <c r="M25" s="841"/>
      <c r="N25" s="841"/>
      <c r="O25" s="842"/>
    </row>
    <row r="26" spans="2:20">
      <c r="B26" s="89"/>
      <c r="C26" s="89"/>
      <c r="D26" s="89"/>
      <c r="E26" s="89"/>
      <c r="F26" s="89"/>
      <c r="G26" s="89"/>
      <c r="H26" s="89"/>
      <c r="I26" s="89"/>
      <c r="J26" s="19"/>
      <c r="K26" s="19"/>
      <c r="L26" s="19"/>
      <c r="M26" s="19"/>
      <c r="N26" s="19"/>
      <c r="O26" s="19"/>
    </row>
    <row r="27" spans="2:20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</row>
    <row r="28" spans="2:20">
      <c r="B28" s="74" t="s">
        <v>264</v>
      </c>
    </row>
    <row r="30" spans="2:20" ht="18.75" customHeight="1">
      <c r="B30" s="91"/>
      <c r="C30" s="91"/>
      <c r="D30" s="91"/>
      <c r="E30" s="830"/>
      <c r="F30" s="830"/>
      <c r="G30" s="830"/>
      <c r="H30" s="830"/>
      <c r="I30" s="830"/>
      <c r="J30" s="830"/>
      <c r="K30" s="831"/>
      <c r="L30" s="831"/>
      <c r="M30" s="831"/>
      <c r="N30" s="831"/>
      <c r="O30" s="831"/>
    </row>
    <row r="31" spans="2:20" ht="18.75" customHeight="1">
      <c r="B31" s="91"/>
      <c r="C31" s="91"/>
      <c r="D31" s="91"/>
      <c r="E31" s="830"/>
      <c r="F31" s="830"/>
      <c r="G31" s="830"/>
      <c r="H31" s="830"/>
      <c r="I31" s="830"/>
      <c r="J31" s="830"/>
      <c r="K31" s="110"/>
      <c r="L31" s="110"/>
      <c r="M31" s="110"/>
      <c r="N31" s="110"/>
      <c r="O31" s="111"/>
      <c r="R31" s="74"/>
    </row>
    <row r="32" spans="2:20" ht="18.75" customHeight="1">
      <c r="B32" s="91"/>
      <c r="C32" s="91"/>
      <c r="D32" s="91"/>
      <c r="E32" s="830"/>
      <c r="F32" s="830"/>
      <c r="G32" s="830"/>
      <c r="H32" s="830"/>
      <c r="I32" s="830"/>
      <c r="J32" s="830"/>
      <c r="K32" s="110"/>
      <c r="L32" s="110"/>
      <c r="M32" s="110"/>
      <c r="N32" s="110"/>
      <c r="O32" s="111"/>
      <c r="R32" s="74"/>
    </row>
    <row r="33" spans="2:18" ht="18.75" customHeight="1">
      <c r="B33" s="91"/>
      <c r="C33" s="91"/>
      <c r="D33" s="91"/>
      <c r="E33" s="830"/>
      <c r="F33" s="830"/>
      <c r="G33" s="830"/>
      <c r="H33" s="830"/>
      <c r="I33" s="830"/>
      <c r="J33" s="830"/>
      <c r="K33" s="110"/>
      <c r="L33" s="110"/>
      <c r="M33" s="110"/>
      <c r="N33" s="110"/>
      <c r="O33" s="112"/>
      <c r="R33" s="74"/>
    </row>
    <row r="34" spans="2:18" ht="18.75" customHeight="1">
      <c r="B34" s="92"/>
      <c r="C34" s="92"/>
      <c r="D34" s="92"/>
      <c r="E34" s="92"/>
      <c r="F34" s="92"/>
      <c r="G34" s="93"/>
      <c r="H34" s="93"/>
      <c r="I34" s="93"/>
      <c r="J34" s="93"/>
      <c r="K34" s="93"/>
      <c r="L34" s="93"/>
      <c r="M34" s="93"/>
      <c r="N34" s="93"/>
      <c r="O34" s="51"/>
      <c r="R34" s="74"/>
    </row>
    <row r="35" spans="2:18" ht="18.75" customHeight="1">
      <c r="B35" s="94"/>
      <c r="C35" s="94"/>
      <c r="D35" s="94"/>
      <c r="E35" s="94"/>
      <c r="F35" s="94"/>
      <c r="G35" s="95"/>
      <c r="H35" s="96"/>
      <c r="I35" s="96"/>
      <c r="J35" s="190"/>
      <c r="K35" s="190"/>
      <c r="L35" s="190"/>
      <c r="M35" s="190"/>
      <c r="N35" s="190"/>
      <c r="O35" s="113"/>
      <c r="R35" s="74"/>
    </row>
    <row r="36" spans="2:18" ht="18.75" customHeight="1">
      <c r="B36" s="94"/>
      <c r="C36" s="832"/>
      <c r="D36" s="832"/>
      <c r="E36" s="832"/>
      <c r="F36" s="832"/>
      <c r="G36" s="832"/>
      <c r="H36" s="833"/>
      <c r="I36" s="833"/>
      <c r="J36" s="833"/>
      <c r="K36" s="834"/>
      <c r="L36" s="834"/>
      <c r="M36" s="834"/>
      <c r="N36" s="834"/>
      <c r="O36" s="834"/>
      <c r="R36" s="74"/>
    </row>
    <row r="37" spans="2:18" ht="18.75" customHeight="1">
      <c r="B37" s="190"/>
      <c r="C37" s="835"/>
      <c r="D37" s="835"/>
      <c r="E37" s="835"/>
      <c r="F37" s="835"/>
      <c r="G37" s="835"/>
      <c r="H37" s="833"/>
      <c r="I37" s="833"/>
      <c r="J37" s="833"/>
      <c r="K37" s="834"/>
      <c r="L37" s="834"/>
      <c r="M37" s="834"/>
      <c r="N37" s="834"/>
      <c r="O37" s="834"/>
      <c r="R37" s="74"/>
    </row>
    <row r="38" spans="2:18" ht="18.75" customHeight="1">
      <c r="B38" s="190"/>
      <c r="C38" s="835"/>
      <c r="D38" s="835"/>
      <c r="E38" s="835"/>
      <c r="F38" s="835"/>
      <c r="G38" s="835"/>
      <c r="H38" s="835"/>
      <c r="I38" s="835"/>
      <c r="J38" s="835"/>
      <c r="K38" s="835"/>
      <c r="L38" s="835"/>
      <c r="M38" s="835"/>
      <c r="N38" s="835"/>
      <c r="O38" s="835"/>
      <c r="R38" s="74"/>
    </row>
    <row r="39" spans="2:18" ht="18.75" customHeight="1">
      <c r="B39" s="190"/>
      <c r="C39" s="190"/>
      <c r="D39" s="190"/>
      <c r="E39" s="190"/>
      <c r="F39" s="190"/>
      <c r="G39" s="97"/>
      <c r="H39" s="96"/>
      <c r="I39" s="96"/>
      <c r="J39" s="190"/>
      <c r="K39" s="190"/>
      <c r="L39" s="190"/>
      <c r="M39" s="190"/>
      <c r="N39" s="190"/>
      <c r="O39" s="113"/>
      <c r="R39" s="74"/>
    </row>
    <row r="40" spans="2:18" ht="18.75" customHeight="1">
      <c r="B40" s="94"/>
      <c r="C40" s="94"/>
      <c r="D40" s="94"/>
      <c r="E40" s="94"/>
      <c r="F40" s="94"/>
      <c r="G40" s="95"/>
      <c r="H40" s="96"/>
      <c r="I40" s="96"/>
      <c r="J40" s="190"/>
      <c r="K40" s="190"/>
      <c r="L40" s="190"/>
      <c r="M40" s="190"/>
      <c r="N40" s="190"/>
      <c r="O40" s="113"/>
      <c r="R40" s="74"/>
    </row>
    <row r="41" spans="2:18" ht="18.75" customHeight="1">
      <c r="B41" s="825"/>
      <c r="C41" s="825"/>
      <c r="D41" s="825"/>
      <c r="E41" s="825"/>
      <c r="F41" s="825"/>
      <c r="G41" s="825"/>
      <c r="H41" s="98"/>
      <c r="I41" s="98"/>
      <c r="J41" s="114"/>
      <c r="K41" s="114"/>
      <c r="L41" s="114"/>
      <c r="M41" s="114"/>
      <c r="N41" s="114"/>
      <c r="O41" s="114"/>
      <c r="R41" s="74"/>
    </row>
    <row r="42" spans="2:18" ht="18.75" customHeight="1">
      <c r="B42" s="190"/>
      <c r="C42" s="190"/>
      <c r="D42" s="190"/>
      <c r="E42" s="190"/>
      <c r="F42" s="190"/>
      <c r="G42" s="96"/>
      <c r="H42" s="96"/>
      <c r="I42" s="96"/>
      <c r="J42" s="190"/>
      <c r="K42" s="190"/>
      <c r="L42" s="190"/>
      <c r="M42" s="190"/>
      <c r="N42" s="190"/>
      <c r="O42" s="737"/>
      <c r="R42" s="74"/>
    </row>
    <row r="43" spans="2:18" ht="18.75" customHeight="1">
      <c r="B43" s="190"/>
      <c r="C43" s="190"/>
      <c r="D43" s="190"/>
      <c r="E43" s="190"/>
      <c r="F43" s="190"/>
      <c r="G43" s="96"/>
      <c r="H43" s="96"/>
      <c r="I43" s="96"/>
      <c r="J43" s="190"/>
      <c r="K43" s="190"/>
      <c r="L43" s="190"/>
      <c r="M43" s="190"/>
      <c r="N43" s="190"/>
      <c r="O43" s="737"/>
      <c r="R43" s="74"/>
    </row>
    <row r="44" spans="2:18" ht="18.75" customHeight="1">
      <c r="B44" s="190"/>
      <c r="C44" s="190"/>
      <c r="D44" s="190"/>
      <c r="E44" s="190"/>
      <c r="F44" s="190"/>
      <c r="G44" s="96"/>
      <c r="H44" s="96"/>
      <c r="I44" s="96"/>
      <c r="J44" s="115"/>
      <c r="K44" s="115"/>
      <c r="L44" s="115"/>
      <c r="M44" s="115"/>
      <c r="N44" s="115"/>
      <c r="O44" s="116"/>
      <c r="R44" s="74"/>
    </row>
    <row r="45" spans="2:18" ht="18.75" customHeight="1">
      <c r="B45" s="190"/>
      <c r="C45" s="190"/>
      <c r="D45" s="190"/>
      <c r="E45" s="190"/>
      <c r="F45" s="190"/>
      <c r="G45" s="96"/>
      <c r="H45" s="96"/>
      <c r="I45" s="96"/>
      <c r="J45" s="115"/>
      <c r="K45" s="115"/>
      <c r="L45" s="115"/>
      <c r="M45" s="115"/>
      <c r="N45" s="115"/>
      <c r="O45" s="737"/>
      <c r="R45" s="74"/>
    </row>
    <row r="46" spans="2:18" ht="18.75" customHeight="1">
      <c r="B46" s="96"/>
      <c r="C46" s="96"/>
      <c r="D46" s="96"/>
      <c r="E46" s="96"/>
      <c r="F46" s="96"/>
      <c r="G46" s="96"/>
      <c r="H46" s="96"/>
      <c r="I46" s="96"/>
      <c r="J46" s="115"/>
      <c r="K46" s="115"/>
      <c r="L46" s="115"/>
      <c r="M46" s="115"/>
      <c r="N46" s="115"/>
      <c r="O46" s="115"/>
      <c r="R46" s="74"/>
    </row>
    <row r="47" spans="2:18" ht="18.75" customHeight="1">
      <c r="B47" s="94"/>
      <c r="C47" s="94"/>
      <c r="D47" s="94"/>
      <c r="E47" s="94"/>
      <c r="F47" s="94"/>
      <c r="G47" s="95"/>
      <c r="H47" s="96"/>
      <c r="I47" s="96"/>
      <c r="J47" s="736"/>
      <c r="K47" s="839"/>
      <c r="L47" s="839"/>
      <c r="M47" s="839"/>
      <c r="N47" s="839"/>
      <c r="O47" s="839"/>
    </row>
    <row r="48" spans="2:18" ht="18.75" customHeight="1">
      <c r="B48" s="825"/>
      <c r="C48" s="825"/>
      <c r="D48" s="825"/>
      <c r="E48" s="825"/>
      <c r="F48" s="825"/>
      <c r="G48" s="825"/>
      <c r="H48" s="98"/>
      <c r="I48" s="98"/>
      <c r="J48" s="737"/>
      <c r="K48" s="838"/>
      <c r="L48" s="838"/>
      <c r="M48" s="838"/>
      <c r="N48" s="838"/>
      <c r="O48" s="838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736"/>
      <c r="K49" s="839"/>
      <c r="L49" s="839"/>
      <c r="M49" s="839"/>
      <c r="N49" s="839"/>
      <c r="O49" s="839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737"/>
      <c r="K50" s="838"/>
      <c r="L50" s="838"/>
      <c r="M50" s="838"/>
      <c r="N50" s="838"/>
      <c r="O50" s="838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736"/>
      <c r="K51" s="839"/>
      <c r="L51" s="839"/>
      <c r="M51" s="839"/>
      <c r="N51" s="839"/>
      <c r="O51" s="839"/>
    </row>
    <row r="52" spans="2:18" ht="18.75" customHeight="1">
      <c r="B52" s="99"/>
      <c r="C52" s="99"/>
      <c r="D52" s="99"/>
      <c r="E52" s="99"/>
      <c r="F52" s="99"/>
      <c r="G52" s="97"/>
      <c r="H52" s="100"/>
      <c r="I52" s="100"/>
      <c r="J52" s="117"/>
      <c r="K52" s="117"/>
      <c r="L52" s="117"/>
      <c r="M52" s="117"/>
      <c r="N52" s="117"/>
      <c r="O52" s="117"/>
    </row>
    <row r="53" spans="2:18" ht="18.75" customHeight="1">
      <c r="B53" s="734"/>
      <c r="C53" s="734"/>
      <c r="D53" s="734"/>
      <c r="E53" s="734"/>
      <c r="F53" s="734"/>
      <c r="G53" s="734"/>
      <c r="H53" s="101"/>
      <c r="I53" s="101"/>
      <c r="J53" s="734"/>
      <c r="K53" s="734"/>
      <c r="L53" s="734"/>
      <c r="M53" s="734"/>
      <c r="N53" s="734"/>
      <c r="O53" s="113"/>
    </row>
    <row r="54" spans="2:18" s="73" customFormat="1" ht="18.75" customHeight="1"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R54" s="110"/>
    </row>
    <row r="55" spans="2:18" ht="18.75" customHeight="1"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</row>
    <row r="56" spans="2:18" ht="18.75" customHeight="1">
      <c r="B56" s="837"/>
      <c r="C56" s="837"/>
      <c r="D56" s="837"/>
      <c r="E56" s="837"/>
      <c r="F56" s="837"/>
      <c r="G56" s="837"/>
      <c r="H56" s="837"/>
      <c r="I56" s="837"/>
      <c r="J56" s="837"/>
      <c r="K56" s="837"/>
      <c r="L56" s="837"/>
      <c r="M56" s="837"/>
      <c r="N56" s="837"/>
      <c r="O56" s="837"/>
    </row>
  </sheetData>
  <mergeCells count="57">
    <mergeCell ref="K49:O49"/>
    <mergeCell ref="K50:O50"/>
    <mergeCell ref="K51:O51"/>
    <mergeCell ref="B56:C56"/>
    <mergeCell ref="D56:E56"/>
    <mergeCell ref="F56:G56"/>
    <mergeCell ref="H56:J56"/>
    <mergeCell ref="K56:O56"/>
    <mergeCell ref="C38:O38"/>
    <mergeCell ref="B41:G41"/>
    <mergeCell ref="K47:O47"/>
    <mergeCell ref="B48:G48"/>
    <mergeCell ref="K48:O48"/>
    <mergeCell ref="K30:O30"/>
    <mergeCell ref="C36:G36"/>
    <mergeCell ref="H36:J36"/>
    <mergeCell ref="K36:O36"/>
    <mergeCell ref="C37:G37"/>
    <mergeCell ref="H37:J37"/>
    <mergeCell ref="K37:O37"/>
    <mergeCell ref="E30:J33"/>
    <mergeCell ref="B25:C25"/>
    <mergeCell ref="D25:E25"/>
    <mergeCell ref="F25:G25"/>
    <mergeCell ref="H25:J25"/>
    <mergeCell ref="K25:O25"/>
    <mergeCell ref="I21:J21"/>
    <mergeCell ref="K21:O21"/>
    <mergeCell ref="H22:O22"/>
    <mergeCell ref="H23:J23"/>
    <mergeCell ref="B24:C24"/>
    <mergeCell ref="D24:E24"/>
    <mergeCell ref="F24:G24"/>
    <mergeCell ref="H24:J24"/>
    <mergeCell ref="K23:O24"/>
    <mergeCell ref="I18:J18"/>
    <mergeCell ref="K18:O18"/>
    <mergeCell ref="I19:J19"/>
    <mergeCell ref="K19:O19"/>
    <mergeCell ref="I20:J20"/>
    <mergeCell ref="K20:O20"/>
    <mergeCell ref="B13:G13"/>
    <mergeCell ref="K13:O13"/>
    <mergeCell ref="K14:O14"/>
    <mergeCell ref="K15:O15"/>
    <mergeCell ref="K16:O16"/>
    <mergeCell ref="B9:C9"/>
    <mergeCell ref="D9:H9"/>
    <mergeCell ref="I9:J9"/>
    <mergeCell ref="D10:H10"/>
    <mergeCell ref="I10:J10"/>
    <mergeCell ref="K2:O2"/>
    <mergeCell ref="L3:O3"/>
    <mergeCell ref="L4:O4"/>
    <mergeCell ref="L5:O5"/>
    <mergeCell ref="I8:J8"/>
    <mergeCell ref="D2:J5"/>
  </mergeCells>
  <printOptions horizontalCentered="1"/>
  <pageMargins left="0" right="0" top="0.25" bottom="0.25" header="0" footer="0"/>
  <pageSetup paperSize="9" scale="68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3:C25"/>
  <sheetViews>
    <sheetView zoomScale="85" zoomScaleNormal="85" workbookViewId="0">
      <selection activeCell="A41" sqref="A41"/>
    </sheetView>
  </sheetViews>
  <sheetFormatPr defaultColWidth="9" defaultRowHeight="15"/>
  <cols>
    <col min="1" max="1" width="36.25" customWidth="1"/>
  </cols>
  <sheetData>
    <row r="3" spans="1:2" s="63" customFormat="1" ht="30.6" customHeight="1">
      <c r="A3" s="65" t="s">
        <v>265</v>
      </c>
      <c r="B3" s="66"/>
    </row>
    <row r="4" spans="1:2">
      <c r="A4" s="67"/>
    </row>
    <row r="5" spans="1:2" s="64" customFormat="1" ht="22.9" customHeight="1">
      <c r="A5" s="68" t="s">
        <v>266</v>
      </c>
      <c r="B5" s="69" t="s">
        <v>267</v>
      </c>
    </row>
    <row r="6" spans="1:2">
      <c r="A6" s="70"/>
    </row>
    <row r="7" spans="1:2" s="64" customFormat="1" ht="25.15" customHeight="1">
      <c r="A7" s="68" t="s">
        <v>268</v>
      </c>
      <c r="B7" s="64" t="s">
        <v>269</v>
      </c>
    </row>
    <row r="8" spans="1:2">
      <c r="A8" s="70"/>
    </row>
    <row r="9" spans="1:2" s="64" customFormat="1" ht="27.6" customHeight="1">
      <c r="A9" s="68" t="s">
        <v>270</v>
      </c>
      <c r="B9" s="64" t="s">
        <v>271</v>
      </c>
    </row>
    <row r="10" spans="1:2">
      <c r="A10" s="67"/>
    </row>
    <row r="11" spans="1:2" s="64" customFormat="1" ht="28.9" customHeight="1">
      <c r="A11" s="71" t="s">
        <v>272</v>
      </c>
      <c r="B11" s="64" t="s">
        <v>273</v>
      </c>
    </row>
    <row r="12" spans="1:2">
      <c r="A12" s="67"/>
    </row>
    <row r="13" spans="1:2" s="64" customFormat="1" ht="27" customHeight="1">
      <c r="A13" s="71" t="s">
        <v>274</v>
      </c>
      <c r="B13" s="64" t="s">
        <v>275</v>
      </c>
    </row>
    <row r="14" spans="1:2">
      <c r="A14" s="67"/>
    </row>
    <row r="15" spans="1:2" s="64" customFormat="1" ht="28.9" customHeight="1">
      <c r="A15" s="71" t="s">
        <v>276</v>
      </c>
      <c r="B15" s="64" t="s">
        <v>277</v>
      </c>
    </row>
    <row r="25" spans="3:3">
      <c r="C25" s="7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28"/>
  <sheetViews>
    <sheetView workbookViewId="0">
      <selection activeCell="B27" sqref="B27:C27"/>
    </sheetView>
  </sheetViews>
  <sheetFormatPr defaultColWidth="9" defaultRowHeight="15"/>
  <cols>
    <col min="1" max="1" width="1.75" customWidth="1"/>
    <col min="3" max="3" width="14.625" customWidth="1"/>
    <col min="5" max="5" width="16.75" customWidth="1"/>
  </cols>
  <sheetData>
    <row r="2" spans="2:15" ht="27.75">
      <c r="B2" s="1"/>
      <c r="C2" s="2"/>
      <c r="D2" s="870" t="s">
        <v>0</v>
      </c>
      <c r="E2" s="871"/>
      <c r="F2" s="871"/>
      <c r="G2" s="871"/>
      <c r="H2" s="871"/>
      <c r="I2" s="871"/>
      <c r="J2" s="1097"/>
      <c r="K2" s="874" t="s">
        <v>1</v>
      </c>
      <c r="L2" s="875"/>
      <c r="M2" s="875"/>
      <c r="N2" s="875"/>
      <c r="O2" s="876"/>
    </row>
    <row r="3" spans="2:15" ht="27.75">
      <c r="B3" s="3"/>
      <c r="C3" s="4"/>
      <c r="D3" s="872"/>
      <c r="E3" s="1080"/>
      <c r="F3" s="1080"/>
      <c r="G3" s="1080"/>
      <c r="H3" s="1080"/>
      <c r="I3" s="1080"/>
      <c r="J3" s="1098"/>
      <c r="K3" s="48" t="s">
        <v>2</v>
      </c>
      <c r="L3" s="1095" t="s">
        <v>3</v>
      </c>
      <c r="M3" s="1095"/>
      <c r="N3" s="1095"/>
      <c r="O3" s="1096"/>
    </row>
    <row r="4" spans="2:15" ht="27.75">
      <c r="B4" s="3"/>
      <c r="C4" s="4"/>
      <c r="D4" s="872"/>
      <c r="E4" s="1080"/>
      <c r="F4" s="1080"/>
      <c r="G4" s="1080"/>
      <c r="H4" s="1080"/>
      <c r="I4" s="1080"/>
      <c r="J4" s="1098"/>
      <c r="K4" s="49" t="s">
        <v>4</v>
      </c>
      <c r="L4" s="1048" t="s">
        <v>5</v>
      </c>
      <c r="M4" s="1048"/>
      <c r="N4" s="1048"/>
      <c r="O4" s="1081"/>
    </row>
    <row r="5" spans="2:15" ht="27.75">
      <c r="B5" s="5"/>
      <c r="C5" s="6"/>
      <c r="D5" s="1099"/>
      <c r="E5" s="1100"/>
      <c r="F5" s="1100"/>
      <c r="G5" s="1100"/>
      <c r="H5" s="1100"/>
      <c r="I5" s="1100"/>
      <c r="J5" s="1101"/>
      <c r="K5" s="50" t="s">
        <v>6</v>
      </c>
      <c r="L5" s="762" t="s">
        <v>7</v>
      </c>
      <c r="M5" s="763"/>
      <c r="N5" s="763"/>
      <c r="O5" s="1082"/>
    </row>
    <row r="6" spans="2:15"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51"/>
    </row>
    <row r="7" spans="2:15">
      <c r="B7" s="9" t="s">
        <v>8</v>
      </c>
      <c r="C7" s="10"/>
      <c r="D7" s="10"/>
      <c r="E7" s="10"/>
      <c r="F7" s="10"/>
      <c r="G7" s="11"/>
      <c r="H7" s="12"/>
      <c r="I7" s="12"/>
      <c r="J7" s="52"/>
      <c r="K7" s="52"/>
      <c r="L7" s="52"/>
      <c r="M7" s="52"/>
      <c r="N7" s="52"/>
      <c r="O7" s="53"/>
    </row>
    <row r="8" spans="2:15">
      <c r="B8" s="13" t="s">
        <v>9</v>
      </c>
      <c r="C8" s="14" t="s">
        <v>10</v>
      </c>
      <c r="D8" s="14"/>
      <c r="E8" s="15"/>
      <c r="F8" s="15"/>
      <c r="G8" s="15"/>
      <c r="H8" s="16"/>
      <c r="I8" s="860" t="s">
        <v>11</v>
      </c>
      <c r="J8" s="772"/>
      <c r="K8" s="124" t="s">
        <v>278</v>
      </c>
      <c r="L8" s="54"/>
      <c r="M8" s="54"/>
      <c r="N8" s="54"/>
      <c r="O8" s="55"/>
    </row>
    <row r="9" spans="2:15">
      <c r="B9" s="860" t="s">
        <v>13</v>
      </c>
      <c r="C9" s="772"/>
      <c r="D9" s="861"/>
      <c r="E9" s="861"/>
      <c r="F9" s="861"/>
      <c r="G9" s="861"/>
      <c r="H9" s="1110"/>
      <c r="I9" s="860" t="s">
        <v>14</v>
      </c>
      <c r="J9" s="772"/>
      <c r="K9" s="54"/>
      <c r="L9" s="54"/>
      <c r="M9" s="54"/>
      <c r="N9" s="54"/>
      <c r="O9" s="55"/>
    </row>
    <row r="10" spans="2:15">
      <c r="B10" s="191" t="s">
        <v>15</v>
      </c>
      <c r="C10" s="15"/>
      <c r="D10" s="773"/>
      <c r="E10" s="773"/>
      <c r="F10" s="773"/>
      <c r="G10" s="773"/>
      <c r="H10" s="1102"/>
      <c r="I10" s="860" t="s">
        <v>16</v>
      </c>
      <c r="J10" s="772"/>
      <c r="K10" s="56" t="s">
        <v>279</v>
      </c>
      <c r="L10" s="54"/>
      <c r="M10" s="54"/>
      <c r="N10" s="54"/>
      <c r="O10" s="55"/>
    </row>
    <row r="11" spans="2:15">
      <c r="B11" s="17"/>
      <c r="C11" s="17" t="s">
        <v>91</v>
      </c>
      <c r="D11" s="17"/>
      <c r="E11" s="17"/>
      <c r="F11" s="17"/>
      <c r="G11" s="18"/>
      <c r="H11" s="19"/>
      <c r="I11" s="19"/>
      <c r="J11" s="17"/>
      <c r="K11" s="17"/>
      <c r="L11" s="17"/>
      <c r="M11" s="17"/>
      <c r="N11" s="17"/>
      <c r="O11" s="57"/>
    </row>
    <row r="12" spans="2:15">
      <c r="B12" s="9" t="s">
        <v>18</v>
      </c>
      <c r="C12" s="10"/>
      <c r="D12" s="10"/>
      <c r="E12" s="10"/>
      <c r="F12" s="10"/>
      <c r="G12" s="11"/>
      <c r="H12" s="12"/>
      <c r="I12" s="12"/>
      <c r="J12" s="52"/>
      <c r="K12" s="52"/>
      <c r="L12" s="52"/>
      <c r="M12" s="52"/>
      <c r="N12" s="52"/>
      <c r="O12" s="53"/>
    </row>
    <row r="13" spans="2:15" ht="24">
      <c r="B13" s="1111" t="s">
        <v>19</v>
      </c>
      <c r="C13" s="1112"/>
      <c r="D13" s="1112"/>
      <c r="E13" s="1112"/>
      <c r="F13" s="1112"/>
      <c r="G13" s="1112"/>
      <c r="H13" s="20" t="s">
        <v>20</v>
      </c>
      <c r="I13" s="58" t="s">
        <v>21</v>
      </c>
      <c r="J13" s="59" t="s">
        <v>22</v>
      </c>
      <c r="K13" s="1113" t="s">
        <v>23</v>
      </c>
      <c r="L13" s="1114"/>
      <c r="M13" s="1114"/>
      <c r="N13" s="1114"/>
      <c r="O13" s="1115"/>
    </row>
    <row r="14" spans="2:15">
      <c r="B14" s="21"/>
      <c r="C14" s="21"/>
      <c r="D14" s="21"/>
      <c r="E14" s="21"/>
      <c r="F14" s="21"/>
      <c r="G14" s="21"/>
      <c r="H14" s="22"/>
      <c r="I14" s="22"/>
      <c r="J14" s="60"/>
      <c r="K14" s="914"/>
      <c r="L14" s="781"/>
      <c r="M14" s="781"/>
      <c r="N14" s="781"/>
      <c r="O14" s="867"/>
    </row>
    <row r="15" spans="2:15">
      <c r="B15" s="23" t="s">
        <v>280</v>
      </c>
      <c r="C15" s="24"/>
      <c r="D15" s="25"/>
      <c r="E15" s="25"/>
      <c r="F15" s="25"/>
      <c r="G15" s="25"/>
      <c r="H15" s="26" t="s">
        <v>25</v>
      </c>
      <c r="I15" s="26" t="s">
        <v>26</v>
      </c>
      <c r="J15" s="61" t="s">
        <v>27</v>
      </c>
      <c r="K15" s="848">
        <v>7900</v>
      </c>
      <c r="L15" s="846"/>
      <c r="M15" s="846"/>
      <c r="N15" s="846"/>
      <c r="O15" s="847"/>
    </row>
    <row r="16" spans="2:15">
      <c r="B16" s="23"/>
      <c r="C16" s="24"/>
      <c r="D16" s="27"/>
      <c r="E16" s="27"/>
      <c r="F16" s="27"/>
      <c r="G16" s="27"/>
      <c r="H16" s="26"/>
      <c r="I16" s="26"/>
      <c r="J16" s="61"/>
      <c r="K16" s="848"/>
      <c r="L16" s="846"/>
      <c r="M16" s="846"/>
      <c r="N16" s="846"/>
      <c r="O16" s="847"/>
    </row>
    <row r="17" spans="2:15">
      <c r="B17" s="23"/>
      <c r="C17" s="24"/>
      <c r="D17" s="27"/>
      <c r="E17" s="27"/>
      <c r="F17" s="27"/>
      <c r="G17" s="27"/>
      <c r="H17" s="26"/>
      <c r="I17" s="26"/>
      <c r="J17" s="61"/>
      <c r="K17" s="848"/>
      <c r="L17" s="846"/>
      <c r="M17" s="846"/>
      <c r="N17" s="846"/>
      <c r="O17" s="847"/>
    </row>
    <row r="18" spans="2:15">
      <c r="B18" s="23"/>
      <c r="C18" s="28"/>
      <c r="D18" s="27"/>
      <c r="E18" s="29"/>
      <c r="F18" s="27"/>
      <c r="G18" s="27"/>
      <c r="H18" s="26"/>
      <c r="I18" s="26"/>
      <c r="J18" s="61"/>
      <c r="K18" s="848"/>
      <c r="L18" s="846"/>
      <c r="M18" s="846"/>
      <c r="N18" s="846"/>
      <c r="O18" s="847"/>
    </row>
    <row r="19" spans="2:15">
      <c r="B19" s="30"/>
      <c r="C19" s="31"/>
      <c r="D19" s="32"/>
      <c r="E19" s="32"/>
      <c r="F19" s="32"/>
      <c r="G19" s="32"/>
      <c r="H19" s="19"/>
      <c r="I19" s="19"/>
      <c r="J19" s="62"/>
      <c r="K19" s="848"/>
      <c r="L19" s="846"/>
      <c r="M19" s="846"/>
      <c r="N19" s="846"/>
      <c r="O19" s="847"/>
    </row>
    <row r="20" spans="2:15">
      <c r="B20" s="33" t="s">
        <v>31</v>
      </c>
      <c r="C20" s="34"/>
      <c r="D20" s="34"/>
      <c r="E20" s="34"/>
      <c r="F20" s="34"/>
      <c r="G20" s="35"/>
      <c r="H20" s="36"/>
      <c r="I20" s="851" t="s">
        <v>32</v>
      </c>
      <c r="J20" s="852"/>
      <c r="K20" s="853">
        <f>SUM(K15:O19)</f>
        <v>7900</v>
      </c>
      <c r="L20" s="853"/>
      <c r="M20" s="853"/>
      <c r="N20" s="853"/>
      <c r="O20" s="854"/>
    </row>
    <row r="21" spans="2:15">
      <c r="B21" s="37" t="s">
        <v>33</v>
      </c>
      <c r="C21" s="15" t="s">
        <v>281</v>
      </c>
      <c r="D21" s="34"/>
      <c r="E21" s="34"/>
      <c r="F21" s="34"/>
      <c r="G21" s="35"/>
      <c r="H21" s="36"/>
      <c r="I21" s="730"/>
      <c r="J21" s="731"/>
      <c r="K21" s="732"/>
      <c r="L21" s="732"/>
      <c r="M21" s="732"/>
      <c r="N21" s="732"/>
      <c r="O21" s="733"/>
    </row>
    <row r="22" spans="2:15">
      <c r="B22" s="37" t="s">
        <v>36</v>
      </c>
      <c r="C22" s="34" t="s">
        <v>37</v>
      </c>
      <c r="D22" s="34"/>
      <c r="E22" s="34"/>
      <c r="F22" s="34"/>
      <c r="G22" s="35"/>
      <c r="H22" s="36"/>
      <c r="I22" s="730"/>
      <c r="J22" s="731"/>
      <c r="K22" s="732"/>
      <c r="L22" s="732"/>
      <c r="M22" s="732"/>
      <c r="N22" s="732"/>
      <c r="O22" s="733"/>
    </row>
    <row r="23" spans="2:15">
      <c r="B23" s="37" t="s">
        <v>33</v>
      </c>
      <c r="C23" s="15" t="s">
        <v>38</v>
      </c>
      <c r="D23" s="38"/>
      <c r="E23" s="38"/>
      <c r="F23" s="39"/>
      <c r="G23" s="38"/>
      <c r="H23" s="40"/>
      <c r="I23" s="851" t="s">
        <v>39</v>
      </c>
      <c r="J23" s="852"/>
      <c r="K23" s="1109">
        <v>0</v>
      </c>
      <c r="L23" s="1109"/>
      <c r="M23" s="1109"/>
      <c r="N23" s="1109"/>
      <c r="O23" s="1116"/>
    </row>
    <row r="24" spans="2:15">
      <c r="B24" s="41" t="s">
        <v>36</v>
      </c>
      <c r="C24" s="15" t="s">
        <v>282</v>
      </c>
      <c r="D24" s="15"/>
      <c r="E24" s="15"/>
      <c r="F24" s="42"/>
      <c r="G24" s="42"/>
      <c r="H24" s="16"/>
      <c r="I24" s="945" t="s">
        <v>41</v>
      </c>
      <c r="J24" s="808"/>
      <c r="K24" s="809">
        <f>+K20+K23</f>
        <v>7900</v>
      </c>
      <c r="L24" s="809"/>
      <c r="M24" s="809"/>
      <c r="N24" s="809"/>
      <c r="O24" s="858"/>
    </row>
    <row r="25" spans="2:15">
      <c r="B25" s="722" t="s">
        <v>42</v>
      </c>
      <c r="C25" s="43"/>
      <c r="D25" s="722" t="s">
        <v>43</v>
      </c>
      <c r="E25" s="735"/>
      <c r="F25" s="44"/>
      <c r="G25" s="45"/>
      <c r="H25" s="811" t="s">
        <v>44</v>
      </c>
      <c r="I25" s="812"/>
      <c r="J25" s="812"/>
      <c r="K25" s="812"/>
      <c r="L25" s="812"/>
      <c r="M25" s="812"/>
      <c r="N25" s="812"/>
      <c r="O25" s="859"/>
    </row>
    <row r="26" spans="2:15">
      <c r="B26" s="46"/>
      <c r="C26" s="47"/>
      <c r="D26" s="46"/>
      <c r="E26" s="47"/>
      <c r="F26" s="46"/>
      <c r="G26" s="47"/>
      <c r="H26" s="790"/>
      <c r="I26" s="791"/>
      <c r="J26" s="792"/>
      <c r="K26" s="791"/>
      <c r="L26" s="791"/>
      <c r="M26" s="791"/>
      <c r="N26" s="791"/>
      <c r="O26" s="792"/>
    </row>
    <row r="27" spans="2:15">
      <c r="B27" s="946" t="s">
        <v>170</v>
      </c>
      <c r="C27" s="815"/>
      <c r="D27" s="946" t="s">
        <v>46</v>
      </c>
      <c r="E27" s="815"/>
      <c r="F27" s="946"/>
      <c r="G27" s="815"/>
      <c r="H27" s="947"/>
      <c r="I27" s="948"/>
      <c r="J27" s="949"/>
      <c r="K27" s="923"/>
      <c r="L27" s="923"/>
      <c r="M27" s="923"/>
      <c r="N27" s="923"/>
      <c r="O27" s="924"/>
    </row>
    <row r="28" spans="2:15">
      <c r="B28" s="840" t="s">
        <v>47</v>
      </c>
      <c r="C28" s="842"/>
      <c r="D28" s="840" t="s">
        <v>48</v>
      </c>
      <c r="E28" s="842"/>
      <c r="F28" s="840" t="s">
        <v>49</v>
      </c>
      <c r="G28" s="842"/>
      <c r="H28" s="840" t="s">
        <v>50</v>
      </c>
      <c r="I28" s="841"/>
      <c r="J28" s="842"/>
      <c r="K28" s="841" t="s">
        <v>51</v>
      </c>
      <c r="L28" s="841"/>
      <c r="M28" s="841"/>
      <c r="N28" s="841"/>
      <c r="O28" s="842"/>
    </row>
  </sheetData>
  <mergeCells count="37">
    <mergeCell ref="K26:O27"/>
    <mergeCell ref="D2:J5"/>
    <mergeCell ref="B28:C28"/>
    <mergeCell ref="D28:E28"/>
    <mergeCell ref="F28:G28"/>
    <mergeCell ref="H28:J28"/>
    <mergeCell ref="K28:O28"/>
    <mergeCell ref="H26:J26"/>
    <mergeCell ref="B27:C27"/>
    <mergeCell ref="D27:E27"/>
    <mergeCell ref="F27:G27"/>
    <mergeCell ref="H27:J27"/>
    <mergeCell ref="I23:J23"/>
    <mergeCell ref="K23:O23"/>
    <mergeCell ref="I24:J24"/>
    <mergeCell ref="K24:O24"/>
    <mergeCell ref="H25:O25"/>
    <mergeCell ref="K17:O17"/>
    <mergeCell ref="K18:O18"/>
    <mergeCell ref="K19:O19"/>
    <mergeCell ref="I20:J20"/>
    <mergeCell ref="K20:O20"/>
    <mergeCell ref="B13:G13"/>
    <mergeCell ref="K13:O13"/>
    <mergeCell ref="K14:O14"/>
    <mergeCell ref="K15:O15"/>
    <mergeCell ref="K16:O16"/>
    <mergeCell ref="B9:C9"/>
    <mergeCell ref="D9:H9"/>
    <mergeCell ref="I9:J9"/>
    <mergeCell ref="D10:H10"/>
    <mergeCell ref="I10:J10"/>
    <mergeCell ref="K2:O2"/>
    <mergeCell ref="L3:O3"/>
    <mergeCell ref="L4:O4"/>
    <mergeCell ref="L5:O5"/>
    <mergeCell ref="I8:J8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28"/>
  <sheetViews>
    <sheetView workbookViewId="0">
      <selection activeCell="C8" sqref="C8"/>
    </sheetView>
  </sheetViews>
  <sheetFormatPr defaultColWidth="9" defaultRowHeight="15"/>
  <cols>
    <col min="1" max="1" width="2.375" customWidth="1"/>
  </cols>
  <sheetData>
    <row r="2" spans="2:15" ht="27.75">
      <c r="B2" s="1"/>
      <c r="C2" s="2"/>
      <c r="D2" s="870" t="s">
        <v>0</v>
      </c>
      <c r="E2" s="871"/>
      <c r="F2" s="871"/>
      <c r="G2" s="871"/>
      <c r="H2" s="871"/>
      <c r="I2" s="871"/>
      <c r="J2" s="1097"/>
      <c r="K2" s="874" t="s">
        <v>1</v>
      </c>
      <c r="L2" s="875"/>
      <c r="M2" s="875"/>
      <c r="N2" s="875"/>
      <c r="O2" s="876"/>
    </row>
    <row r="3" spans="2:15" ht="27.75">
      <c r="B3" s="3"/>
      <c r="C3" s="4"/>
      <c r="D3" s="872"/>
      <c r="E3" s="1080"/>
      <c r="F3" s="1080"/>
      <c r="G3" s="1080"/>
      <c r="H3" s="1080"/>
      <c r="I3" s="1080"/>
      <c r="J3" s="1098"/>
      <c r="K3" s="48" t="s">
        <v>2</v>
      </c>
      <c r="L3" s="1095" t="s">
        <v>3</v>
      </c>
      <c r="M3" s="1095"/>
      <c r="N3" s="1095"/>
      <c r="O3" s="1096"/>
    </row>
    <row r="4" spans="2:15" ht="27.75">
      <c r="B4" s="3"/>
      <c r="C4" s="4"/>
      <c r="D4" s="872"/>
      <c r="E4" s="1080"/>
      <c r="F4" s="1080"/>
      <c r="G4" s="1080"/>
      <c r="H4" s="1080"/>
      <c r="I4" s="1080"/>
      <c r="J4" s="1098"/>
      <c r="K4" s="49" t="s">
        <v>4</v>
      </c>
      <c r="L4" s="1048" t="s">
        <v>5</v>
      </c>
      <c r="M4" s="1048"/>
      <c r="N4" s="1048"/>
      <c r="O4" s="1081"/>
    </row>
    <row r="5" spans="2:15" ht="27.75">
      <c r="B5" s="5"/>
      <c r="C5" s="6"/>
      <c r="D5" s="1099"/>
      <c r="E5" s="1100"/>
      <c r="F5" s="1100"/>
      <c r="G5" s="1100"/>
      <c r="H5" s="1100"/>
      <c r="I5" s="1100"/>
      <c r="J5" s="1101"/>
      <c r="K5" s="50" t="s">
        <v>6</v>
      </c>
      <c r="L5" s="762" t="s">
        <v>7</v>
      </c>
      <c r="M5" s="763"/>
      <c r="N5" s="763"/>
      <c r="O5" s="1082"/>
    </row>
    <row r="6" spans="2:15"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51"/>
    </row>
    <row r="7" spans="2:15">
      <c r="B7" s="9" t="s">
        <v>8</v>
      </c>
      <c r="C7" s="10"/>
      <c r="D7" s="10"/>
      <c r="E7" s="10"/>
      <c r="F7" s="10"/>
      <c r="G7" s="11"/>
      <c r="H7" s="12"/>
      <c r="I7" s="12"/>
      <c r="J7" s="52"/>
      <c r="K7" s="52"/>
      <c r="L7" s="52"/>
      <c r="M7" s="52"/>
      <c r="N7" s="52"/>
      <c r="O7" s="53"/>
    </row>
    <row r="8" spans="2:15">
      <c r="B8" s="13" t="s">
        <v>9</v>
      </c>
      <c r="C8" s="14" t="s">
        <v>10</v>
      </c>
      <c r="D8" s="14"/>
      <c r="E8" s="15"/>
      <c r="F8" s="15"/>
      <c r="G8" s="15"/>
      <c r="H8" s="16"/>
      <c r="I8" s="860" t="s">
        <v>11</v>
      </c>
      <c r="J8" s="772"/>
      <c r="K8" s="124" t="s">
        <v>278</v>
      </c>
      <c r="L8" s="54"/>
      <c r="M8" s="54"/>
      <c r="N8" s="54"/>
      <c r="O8" s="55"/>
    </row>
    <row r="9" spans="2:15">
      <c r="B9" s="860" t="s">
        <v>13</v>
      </c>
      <c r="C9" s="772"/>
      <c r="D9" s="861"/>
      <c r="E9" s="861"/>
      <c r="F9" s="861"/>
      <c r="G9" s="861"/>
      <c r="H9" s="1110"/>
      <c r="I9" s="860" t="s">
        <v>14</v>
      </c>
      <c r="J9" s="772"/>
      <c r="K9" s="54"/>
      <c r="L9" s="54"/>
      <c r="M9" s="54"/>
      <c r="N9" s="54"/>
      <c r="O9" s="55"/>
    </row>
    <row r="10" spans="2:15">
      <c r="B10" s="191" t="s">
        <v>15</v>
      </c>
      <c r="C10" s="15"/>
      <c r="D10" s="773"/>
      <c r="E10" s="773"/>
      <c r="F10" s="773"/>
      <c r="G10" s="773"/>
      <c r="H10" s="1102"/>
      <c r="I10" s="860" t="s">
        <v>16</v>
      </c>
      <c r="J10" s="772"/>
      <c r="K10" s="56" t="s">
        <v>279</v>
      </c>
      <c r="L10" s="54"/>
      <c r="M10" s="54"/>
      <c r="N10" s="54"/>
      <c r="O10" s="55"/>
    </row>
    <row r="11" spans="2:15">
      <c r="B11" s="17"/>
      <c r="C11" s="17" t="s">
        <v>91</v>
      </c>
      <c r="D11" s="17"/>
      <c r="E11" s="17"/>
      <c r="F11" s="17"/>
      <c r="G11" s="18"/>
      <c r="H11" s="19"/>
      <c r="I11" s="19"/>
      <c r="J11" s="17"/>
      <c r="K11" s="17"/>
      <c r="L11" s="17"/>
      <c r="M11" s="17"/>
      <c r="N11" s="17"/>
      <c r="O11" s="57"/>
    </row>
    <row r="12" spans="2:15">
      <c r="B12" s="9" t="s">
        <v>18</v>
      </c>
      <c r="C12" s="10"/>
      <c r="D12" s="10"/>
      <c r="E12" s="10"/>
      <c r="F12" s="10"/>
      <c r="G12" s="11"/>
      <c r="H12" s="12"/>
      <c r="I12" s="12"/>
      <c r="J12" s="52"/>
      <c r="K12" s="52"/>
      <c r="L12" s="52"/>
      <c r="M12" s="52"/>
      <c r="N12" s="52"/>
      <c r="O12" s="53"/>
    </row>
    <row r="13" spans="2:15" ht="24">
      <c r="B13" s="1111" t="s">
        <v>19</v>
      </c>
      <c r="C13" s="1112"/>
      <c r="D13" s="1112"/>
      <c r="E13" s="1112"/>
      <c r="F13" s="1112"/>
      <c r="G13" s="1112"/>
      <c r="H13" s="20" t="s">
        <v>20</v>
      </c>
      <c r="I13" s="58" t="s">
        <v>21</v>
      </c>
      <c r="J13" s="59" t="s">
        <v>22</v>
      </c>
      <c r="K13" s="1113" t="s">
        <v>23</v>
      </c>
      <c r="L13" s="1114"/>
      <c r="M13" s="1114"/>
      <c r="N13" s="1114"/>
      <c r="O13" s="1115"/>
    </row>
    <row r="14" spans="2:15">
      <c r="B14" s="21"/>
      <c r="C14" s="21"/>
      <c r="D14" s="21"/>
      <c r="E14" s="21"/>
      <c r="F14" s="21"/>
      <c r="G14" s="21"/>
      <c r="H14" s="22"/>
      <c r="I14" s="22"/>
      <c r="J14" s="60"/>
      <c r="K14" s="914"/>
      <c r="L14" s="781"/>
      <c r="M14" s="781"/>
      <c r="N14" s="781"/>
      <c r="O14" s="867"/>
    </row>
    <row r="15" spans="2:15">
      <c r="B15" s="23" t="s">
        <v>280</v>
      </c>
      <c r="C15" s="24"/>
      <c r="D15" s="25"/>
      <c r="E15" s="25"/>
      <c r="F15" s="25"/>
      <c r="G15" s="25"/>
      <c r="H15" s="26" t="s">
        <v>25</v>
      </c>
      <c r="I15" s="26" t="s">
        <v>26</v>
      </c>
      <c r="J15" s="61" t="s">
        <v>27</v>
      </c>
      <c r="K15" s="848">
        <v>7900</v>
      </c>
      <c r="L15" s="846"/>
      <c r="M15" s="846"/>
      <c r="N15" s="846"/>
      <c r="O15" s="847"/>
    </row>
    <row r="16" spans="2:15">
      <c r="B16" s="23"/>
      <c r="C16" s="24"/>
      <c r="D16" s="27"/>
      <c r="E16" s="27"/>
      <c r="F16" s="27"/>
      <c r="G16" s="27"/>
      <c r="H16" s="26"/>
      <c r="I16" s="26"/>
      <c r="J16" s="61"/>
      <c r="K16" s="848"/>
      <c r="L16" s="846"/>
      <c r="M16" s="846"/>
      <c r="N16" s="846"/>
      <c r="O16" s="847"/>
    </row>
    <row r="17" spans="2:15">
      <c r="B17" s="23"/>
      <c r="C17" s="24"/>
      <c r="D17" s="27"/>
      <c r="E17" s="27"/>
      <c r="F17" s="27"/>
      <c r="G17" s="27"/>
      <c r="H17" s="26"/>
      <c r="I17" s="26"/>
      <c r="J17" s="61"/>
      <c r="K17" s="848"/>
      <c r="L17" s="846"/>
      <c r="M17" s="846"/>
      <c r="N17" s="846"/>
      <c r="O17" s="847"/>
    </row>
    <row r="18" spans="2:15">
      <c r="B18" s="23"/>
      <c r="C18" s="28"/>
      <c r="D18" s="27"/>
      <c r="E18" s="29"/>
      <c r="F18" s="27"/>
      <c r="G18" s="27"/>
      <c r="H18" s="26"/>
      <c r="I18" s="26"/>
      <c r="J18" s="61"/>
      <c r="K18" s="848"/>
      <c r="L18" s="846"/>
      <c r="M18" s="846"/>
      <c r="N18" s="846"/>
      <c r="O18" s="847"/>
    </row>
    <row r="19" spans="2:15">
      <c r="B19" s="30"/>
      <c r="C19" s="31"/>
      <c r="D19" s="32"/>
      <c r="E19" s="32"/>
      <c r="F19" s="32"/>
      <c r="G19" s="32"/>
      <c r="H19" s="19"/>
      <c r="I19" s="19"/>
      <c r="J19" s="62"/>
      <c r="K19" s="848"/>
      <c r="L19" s="846"/>
      <c r="M19" s="846"/>
      <c r="N19" s="846"/>
      <c r="O19" s="847"/>
    </row>
    <row r="20" spans="2:15">
      <c r="B20" s="33" t="s">
        <v>31</v>
      </c>
      <c r="C20" s="34"/>
      <c r="D20" s="34"/>
      <c r="E20" s="34"/>
      <c r="F20" s="34"/>
      <c r="G20" s="35"/>
      <c r="H20" s="36"/>
      <c r="I20" s="851" t="s">
        <v>32</v>
      </c>
      <c r="J20" s="852"/>
      <c r="K20" s="853">
        <f>SUM(K15:O19)</f>
        <v>7900</v>
      </c>
      <c r="L20" s="853"/>
      <c r="M20" s="853"/>
      <c r="N20" s="853"/>
      <c r="O20" s="854"/>
    </row>
    <row r="21" spans="2:15">
      <c r="B21" s="37" t="s">
        <v>33</v>
      </c>
      <c r="C21" s="15" t="s">
        <v>281</v>
      </c>
      <c r="D21" s="34"/>
      <c r="E21" s="34"/>
      <c r="F21" s="34"/>
      <c r="G21" s="35"/>
      <c r="H21" s="36"/>
      <c r="I21" s="730"/>
      <c r="J21" s="731"/>
      <c r="K21" s="732"/>
      <c r="L21" s="732"/>
      <c r="M21" s="732"/>
      <c r="N21" s="732"/>
      <c r="O21" s="733"/>
    </row>
    <row r="22" spans="2:15">
      <c r="B22" s="37" t="s">
        <v>36</v>
      </c>
      <c r="C22" s="34" t="s">
        <v>37</v>
      </c>
      <c r="D22" s="34"/>
      <c r="E22" s="34"/>
      <c r="F22" s="34"/>
      <c r="G22" s="35"/>
      <c r="H22" s="36"/>
      <c r="I22" s="730"/>
      <c r="J22" s="731"/>
      <c r="K22" s="732"/>
      <c r="L22" s="732"/>
      <c r="M22" s="732"/>
      <c r="N22" s="732"/>
      <c r="O22" s="733"/>
    </row>
    <row r="23" spans="2:15">
      <c r="B23" s="37" t="s">
        <v>33</v>
      </c>
      <c r="C23" s="15" t="s">
        <v>38</v>
      </c>
      <c r="D23" s="38"/>
      <c r="E23" s="38"/>
      <c r="F23" s="39"/>
      <c r="G23" s="38"/>
      <c r="H23" s="40"/>
      <c r="I23" s="851" t="s">
        <v>39</v>
      </c>
      <c r="J23" s="852"/>
      <c r="K23" s="1109">
        <v>0</v>
      </c>
      <c r="L23" s="1109"/>
      <c r="M23" s="1109"/>
      <c r="N23" s="1109"/>
      <c r="O23" s="1116"/>
    </row>
    <row r="24" spans="2:15">
      <c r="B24" s="41" t="s">
        <v>36</v>
      </c>
      <c r="C24" s="15" t="s">
        <v>282</v>
      </c>
      <c r="D24" s="15"/>
      <c r="E24" s="15"/>
      <c r="F24" s="42"/>
      <c r="G24" s="42"/>
      <c r="H24" s="16"/>
      <c r="I24" s="945" t="s">
        <v>41</v>
      </c>
      <c r="J24" s="808"/>
      <c r="K24" s="809">
        <f>+K20+K23</f>
        <v>7900</v>
      </c>
      <c r="L24" s="809"/>
      <c r="M24" s="809"/>
      <c r="N24" s="809"/>
      <c r="O24" s="858"/>
    </row>
    <row r="25" spans="2:15">
      <c r="B25" s="722" t="s">
        <v>42</v>
      </c>
      <c r="C25" s="43"/>
      <c r="D25" s="722" t="s">
        <v>43</v>
      </c>
      <c r="E25" s="735"/>
      <c r="F25" s="44"/>
      <c r="G25" s="45"/>
      <c r="H25" s="811" t="s">
        <v>44</v>
      </c>
      <c r="I25" s="812"/>
      <c r="J25" s="812"/>
      <c r="K25" s="812"/>
      <c r="L25" s="812"/>
      <c r="M25" s="812"/>
      <c r="N25" s="812"/>
      <c r="O25" s="859"/>
    </row>
    <row r="26" spans="2:15">
      <c r="B26" s="46"/>
      <c r="C26" s="47"/>
      <c r="D26" s="46"/>
      <c r="E26" s="47"/>
      <c r="F26" s="46"/>
      <c r="G26" s="47"/>
      <c r="H26" s="790"/>
      <c r="I26" s="791"/>
      <c r="J26" s="792"/>
      <c r="K26" s="791"/>
      <c r="L26" s="791"/>
      <c r="M26" s="791"/>
      <c r="N26" s="791"/>
      <c r="O26" s="792"/>
    </row>
    <row r="27" spans="2:15">
      <c r="B27" s="946" t="s">
        <v>170</v>
      </c>
      <c r="C27" s="815"/>
      <c r="D27" s="946" t="s">
        <v>46</v>
      </c>
      <c r="E27" s="815"/>
      <c r="F27" s="946"/>
      <c r="G27" s="815"/>
      <c r="H27" s="947"/>
      <c r="I27" s="948"/>
      <c r="J27" s="949"/>
      <c r="K27" s="923"/>
      <c r="L27" s="923"/>
      <c r="M27" s="923"/>
      <c r="N27" s="923"/>
      <c r="O27" s="924"/>
    </row>
    <row r="28" spans="2:15">
      <c r="B28" s="840" t="s">
        <v>47</v>
      </c>
      <c r="C28" s="842"/>
      <c r="D28" s="840" t="s">
        <v>48</v>
      </c>
      <c r="E28" s="842"/>
      <c r="F28" s="840" t="s">
        <v>49</v>
      </c>
      <c r="G28" s="842"/>
      <c r="H28" s="840" t="s">
        <v>50</v>
      </c>
      <c r="I28" s="841"/>
      <c r="J28" s="842"/>
      <c r="K28" s="841" t="s">
        <v>51</v>
      </c>
      <c r="L28" s="841"/>
      <c r="M28" s="841"/>
      <c r="N28" s="841"/>
      <c r="O28" s="842"/>
    </row>
  </sheetData>
  <mergeCells count="37">
    <mergeCell ref="K26:O27"/>
    <mergeCell ref="D2:J5"/>
    <mergeCell ref="B28:C28"/>
    <mergeCell ref="D28:E28"/>
    <mergeCell ref="F28:G28"/>
    <mergeCell ref="H28:J28"/>
    <mergeCell ref="K28:O28"/>
    <mergeCell ref="H26:J26"/>
    <mergeCell ref="B27:C27"/>
    <mergeCell ref="D27:E27"/>
    <mergeCell ref="F27:G27"/>
    <mergeCell ref="H27:J27"/>
    <mergeCell ref="I23:J23"/>
    <mergeCell ref="K23:O23"/>
    <mergeCell ref="I24:J24"/>
    <mergeCell ref="K24:O24"/>
    <mergeCell ref="H25:O25"/>
    <mergeCell ref="K17:O17"/>
    <mergeCell ref="K18:O18"/>
    <mergeCell ref="K19:O19"/>
    <mergeCell ref="I20:J20"/>
    <mergeCell ref="K20:O20"/>
    <mergeCell ref="B13:G13"/>
    <mergeCell ref="K13:O13"/>
    <mergeCell ref="K14:O14"/>
    <mergeCell ref="K15:O15"/>
    <mergeCell ref="K16:O16"/>
    <mergeCell ref="B9:C9"/>
    <mergeCell ref="D9:H9"/>
    <mergeCell ref="I9:J9"/>
    <mergeCell ref="D10:H10"/>
    <mergeCell ref="I10:J10"/>
    <mergeCell ref="K2:O2"/>
    <mergeCell ref="L3:O3"/>
    <mergeCell ref="L4:O4"/>
    <mergeCell ref="L5:O5"/>
    <mergeCell ref="I8:J8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O28"/>
  <sheetViews>
    <sheetView workbookViewId="0">
      <selection activeCell="P26" sqref="P26"/>
    </sheetView>
  </sheetViews>
  <sheetFormatPr defaultColWidth="9" defaultRowHeight="15"/>
  <cols>
    <col min="1" max="1" width="2" customWidth="1"/>
  </cols>
  <sheetData>
    <row r="2" spans="2:15" ht="27.75">
      <c r="B2" s="1"/>
      <c r="C2" s="2"/>
      <c r="D2" s="870" t="s">
        <v>0</v>
      </c>
      <c r="E2" s="871"/>
      <c r="F2" s="871"/>
      <c r="G2" s="871"/>
      <c r="H2" s="871"/>
      <c r="I2" s="871"/>
      <c r="J2" s="1097"/>
      <c r="K2" s="874" t="s">
        <v>1</v>
      </c>
      <c r="L2" s="875"/>
      <c r="M2" s="875"/>
      <c r="N2" s="875"/>
      <c r="O2" s="876"/>
    </row>
    <row r="3" spans="2:15" ht="27.75">
      <c r="B3" s="3"/>
      <c r="C3" s="4"/>
      <c r="D3" s="872"/>
      <c r="E3" s="1080"/>
      <c r="F3" s="1080"/>
      <c r="G3" s="1080"/>
      <c r="H3" s="1080"/>
      <c r="I3" s="1080"/>
      <c r="J3" s="1098"/>
      <c r="K3" s="48" t="s">
        <v>2</v>
      </c>
      <c r="L3" s="1095" t="s">
        <v>3</v>
      </c>
      <c r="M3" s="1095"/>
      <c r="N3" s="1095"/>
      <c r="O3" s="1096"/>
    </row>
    <row r="4" spans="2:15" ht="27.75">
      <c r="B4" s="3"/>
      <c r="C4" s="4"/>
      <c r="D4" s="872"/>
      <c r="E4" s="1080"/>
      <c r="F4" s="1080"/>
      <c r="G4" s="1080"/>
      <c r="H4" s="1080"/>
      <c r="I4" s="1080"/>
      <c r="J4" s="1098"/>
      <c r="K4" s="49" t="s">
        <v>4</v>
      </c>
      <c r="L4" s="1048" t="s">
        <v>5</v>
      </c>
      <c r="M4" s="1048"/>
      <c r="N4" s="1048"/>
      <c r="O4" s="1081"/>
    </row>
    <row r="5" spans="2:15" ht="27.75">
      <c r="B5" s="5"/>
      <c r="C5" s="6"/>
      <c r="D5" s="1099"/>
      <c r="E5" s="1100"/>
      <c r="F5" s="1100"/>
      <c r="G5" s="1100"/>
      <c r="H5" s="1100"/>
      <c r="I5" s="1100"/>
      <c r="J5" s="1101"/>
      <c r="K5" s="50" t="s">
        <v>6</v>
      </c>
      <c r="L5" s="762" t="s">
        <v>7</v>
      </c>
      <c r="M5" s="763"/>
      <c r="N5" s="763"/>
      <c r="O5" s="1082"/>
    </row>
    <row r="6" spans="2:15"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51"/>
    </row>
    <row r="7" spans="2:15">
      <c r="B7" s="9" t="s">
        <v>8</v>
      </c>
      <c r="C7" s="10"/>
      <c r="D7" s="10"/>
      <c r="E7" s="10"/>
      <c r="F7" s="10"/>
      <c r="G7" s="11"/>
      <c r="H7" s="12"/>
      <c r="I7" s="12"/>
      <c r="J7" s="52"/>
      <c r="K7" s="52"/>
      <c r="L7" s="52"/>
      <c r="M7" s="52"/>
      <c r="N7" s="52"/>
      <c r="O7" s="53"/>
    </row>
    <row r="8" spans="2:15">
      <c r="B8" s="13" t="s">
        <v>9</v>
      </c>
      <c r="C8" s="14" t="s">
        <v>283</v>
      </c>
      <c r="D8" s="14"/>
      <c r="E8" s="15"/>
      <c r="F8" s="15"/>
      <c r="G8" s="15"/>
      <c r="H8" s="16"/>
      <c r="I8" s="860" t="s">
        <v>11</v>
      </c>
      <c r="J8" s="772"/>
      <c r="K8" s="124" t="s">
        <v>278</v>
      </c>
      <c r="L8" s="54"/>
      <c r="M8" s="54"/>
      <c r="N8" s="54"/>
      <c r="O8" s="55"/>
    </row>
    <row r="9" spans="2:15">
      <c r="B9" s="860" t="s">
        <v>13</v>
      </c>
      <c r="C9" s="772"/>
      <c r="D9" s="861"/>
      <c r="E9" s="861"/>
      <c r="F9" s="861"/>
      <c r="G9" s="861"/>
      <c r="H9" s="1110"/>
      <c r="I9" s="860" t="s">
        <v>14</v>
      </c>
      <c r="J9" s="772"/>
      <c r="K9" s="54"/>
      <c r="L9" s="54"/>
      <c r="M9" s="54"/>
      <c r="N9" s="54"/>
      <c r="O9" s="55"/>
    </row>
    <row r="10" spans="2:15">
      <c r="B10" s="191" t="s">
        <v>15</v>
      </c>
      <c r="C10" s="15"/>
      <c r="D10" s="773"/>
      <c r="E10" s="773"/>
      <c r="F10" s="773"/>
      <c r="G10" s="773"/>
      <c r="H10" s="1102"/>
      <c r="I10" s="860" t="s">
        <v>16</v>
      </c>
      <c r="J10" s="772"/>
      <c r="K10" s="56" t="s">
        <v>279</v>
      </c>
      <c r="L10" s="54"/>
      <c r="M10" s="54"/>
      <c r="N10" s="54"/>
      <c r="O10" s="55"/>
    </row>
    <row r="11" spans="2:15">
      <c r="B11" s="17"/>
      <c r="C11" s="17" t="s">
        <v>91</v>
      </c>
      <c r="D11" s="17"/>
      <c r="E11" s="17"/>
      <c r="F11" s="17"/>
      <c r="G11" s="18"/>
      <c r="H11" s="19"/>
      <c r="I11" s="19"/>
      <c r="J11" s="17"/>
      <c r="K11" s="17"/>
      <c r="L11" s="17"/>
      <c r="M11" s="17"/>
      <c r="N11" s="17"/>
      <c r="O11" s="57"/>
    </row>
    <row r="12" spans="2:15">
      <c r="B12" s="9" t="s">
        <v>18</v>
      </c>
      <c r="C12" s="10"/>
      <c r="D12" s="10"/>
      <c r="E12" s="10"/>
      <c r="F12" s="10"/>
      <c r="G12" s="11"/>
      <c r="H12" s="12"/>
      <c r="I12" s="12"/>
      <c r="J12" s="52"/>
      <c r="K12" s="52"/>
      <c r="L12" s="52"/>
      <c r="M12" s="52"/>
      <c r="N12" s="52"/>
      <c r="O12" s="53"/>
    </row>
    <row r="13" spans="2:15" ht="24">
      <c r="B13" s="1111" t="s">
        <v>19</v>
      </c>
      <c r="C13" s="1112"/>
      <c r="D13" s="1112"/>
      <c r="E13" s="1112"/>
      <c r="F13" s="1112"/>
      <c r="G13" s="1112"/>
      <c r="H13" s="20" t="s">
        <v>20</v>
      </c>
      <c r="I13" s="58" t="s">
        <v>21</v>
      </c>
      <c r="J13" s="59" t="s">
        <v>22</v>
      </c>
      <c r="K13" s="1113" t="s">
        <v>23</v>
      </c>
      <c r="L13" s="1114"/>
      <c r="M13" s="1114"/>
      <c r="N13" s="1114"/>
      <c r="O13" s="1115"/>
    </row>
    <row r="14" spans="2:15">
      <c r="B14" s="21"/>
      <c r="C14" s="21"/>
      <c r="D14" s="21"/>
      <c r="E14" s="21"/>
      <c r="F14" s="21"/>
      <c r="G14" s="21"/>
      <c r="H14" s="22"/>
      <c r="I14" s="22"/>
      <c r="J14" s="60"/>
      <c r="K14" s="914"/>
      <c r="L14" s="781"/>
      <c r="M14" s="781"/>
      <c r="N14" s="781"/>
      <c r="O14" s="867"/>
    </row>
    <row r="15" spans="2:15">
      <c r="B15" s="23" t="s">
        <v>280</v>
      </c>
      <c r="C15" s="24"/>
      <c r="D15" s="25"/>
      <c r="E15" s="25"/>
      <c r="F15" s="25"/>
      <c r="G15" s="25"/>
      <c r="H15" s="26" t="s">
        <v>25</v>
      </c>
      <c r="I15" s="26" t="s">
        <v>26</v>
      </c>
      <c r="J15" s="61" t="s">
        <v>27</v>
      </c>
      <c r="K15" s="848">
        <v>7900</v>
      </c>
      <c r="L15" s="846"/>
      <c r="M15" s="846"/>
      <c r="N15" s="846"/>
      <c r="O15" s="847"/>
    </row>
    <row r="16" spans="2:15">
      <c r="B16" s="23"/>
      <c r="C16" s="24"/>
      <c r="D16" s="27"/>
      <c r="E16" s="27"/>
      <c r="F16" s="27"/>
      <c r="G16" s="27"/>
      <c r="H16" s="26"/>
      <c r="I16" s="26"/>
      <c r="J16" s="61"/>
      <c r="K16" s="848"/>
      <c r="L16" s="846"/>
      <c r="M16" s="846"/>
      <c r="N16" s="846"/>
      <c r="O16" s="847"/>
    </row>
    <row r="17" spans="2:15">
      <c r="B17" s="23"/>
      <c r="C17" s="24"/>
      <c r="D17" s="27"/>
      <c r="E17" s="27"/>
      <c r="F17" s="27"/>
      <c r="G17" s="27"/>
      <c r="H17" s="26"/>
      <c r="I17" s="26"/>
      <c r="J17" s="61"/>
      <c r="K17" s="848"/>
      <c r="L17" s="846"/>
      <c r="M17" s="846"/>
      <c r="N17" s="846"/>
      <c r="O17" s="847"/>
    </row>
    <row r="18" spans="2:15">
      <c r="B18" s="23"/>
      <c r="C18" s="28"/>
      <c r="D18" s="27"/>
      <c r="E18" s="29"/>
      <c r="F18" s="27"/>
      <c r="G18" s="27"/>
      <c r="H18" s="26"/>
      <c r="I18" s="26"/>
      <c r="J18" s="61"/>
      <c r="K18" s="848"/>
      <c r="L18" s="846"/>
      <c r="M18" s="846"/>
      <c r="N18" s="846"/>
      <c r="O18" s="847"/>
    </row>
    <row r="19" spans="2:15">
      <c r="B19" s="30"/>
      <c r="C19" s="31"/>
      <c r="D19" s="32"/>
      <c r="E19" s="32"/>
      <c r="F19" s="32"/>
      <c r="G19" s="32"/>
      <c r="H19" s="19"/>
      <c r="I19" s="19"/>
      <c r="J19" s="62"/>
      <c r="K19" s="848"/>
      <c r="L19" s="846"/>
      <c r="M19" s="846"/>
      <c r="N19" s="846"/>
      <c r="O19" s="847"/>
    </row>
    <row r="20" spans="2:15">
      <c r="B20" s="33" t="s">
        <v>31</v>
      </c>
      <c r="C20" s="34"/>
      <c r="D20" s="34"/>
      <c r="E20" s="34"/>
      <c r="F20" s="34"/>
      <c r="G20" s="35"/>
      <c r="H20" s="36"/>
      <c r="I20" s="851" t="s">
        <v>32</v>
      </c>
      <c r="J20" s="852"/>
      <c r="K20" s="853">
        <f>SUM(K15:O19)</f>
        <v>7900</v>
      </c>
      <c r="L20" s="853"/>
      <c r="M20" s="853"/>
      <c r="N20" s="853"/>
      <c r="O20" s="854"/>
    </row>
    <row r="21" spans="2:15">
      <c r="B21" s="37" t="s">
        <v>33</v>
      </c>
      <c r="C21" s="15" t="s">
        <v>281</v>
      </c>
      <c r="D21" s="34"/>
      <c r="E21" s="34"/>
      <c r="F21" s="34"/>
      <c r="G21" s="35"/>
      <c r="H21" s="36"/>
      <c r="I21" s="730"/>
      <c r="J21" s="731"/>
      <c r="K21" s="732"/>
      <c r="L21" s="732"/>
      <c r="M21" s="732"/>
      <c r="N21" s="732"/>
      <c r="O21" s="733"/>
    </row>
    <row r="22" spans="2:15">
      <c r="B22" s="37" t="s">
        <v>36</v>
      </c>
      <c r="C22" s="34" t="s">
        <v>37</v>
      </c>
      <c r="D22" s="34"/>
      <c r="E22" s="34"/>
      <c r="F22" s="34"/>
      <c r="G22" s="35"/>
      <c r="H22" s="36"/>
      <c r="I22" s="730"/>
      <c r="J22" s="731"/>
      <c r="K22" s="732"/>
      <c r="L22" s="732"/>
      <c r="M22" s="732"/>
      <c r="N22" s="732"/>
      <c r="O22" s="733"/>
    </row>
    <row r="23" spans="2:15">
      <c r="B23" s="37" t="s">
        <v>33</v>
      </c>
      <c r="C23" s="15" t="s">
        <v>38</v>
      </c>
      <c r="D23" s="38"/>
      <c r="E23" s="38"/>
      <c r="F23" s="39"/>
      <c r="G23" s="38"/>
      <c r="H23" s="40"/>
      <c r="I23" s="851" t="s">
        <v>39</v>
      </c>
      <c r="J23" s="852"/>
      <c r="K23" s="1109">
        <v>0</v>
      </c>
      <c r="L23" s="1109"/>
      <c r="M23" s="1109"/>
      <c r="N23" s="1109"/>
      <c r="O23" s="1116"/>
    </row>
    <row r="24" spans="2:15">
      <c r="B24" s="41" t="s">
        <v>36</v>
      </c>
      <c r="C24" s="15" t="s">
        <v>282</v>
      </c>
      <c r="D24" s="15"/>
      <c r="E24" s="15"/>
      <c r="F24" s="42"/>
      <c r="G24" s="42"/>
      <c r="H24" s="16"/>
      <c r="I24" s="945" t="s">
        <v>41</v>
      </c>
      <c r="J24" s="808"/>
      <c r="K24" s="809">
        <f>+K20+K23</f>
        <v>7900</v>
      </c>
      <c r="L24" s="809"/>
      <c r="M24" s="809"/>
      <c r="N24" s="809"/>
      <c r="O24" s="858"/>
    </row>
    <row r="25" spans="2:15">
      <c r="B25" s="722" t="s">
        <v>42</v>
      </c>
      <c r="C25" s="43"/>
      <c r="D25" s="722" t="s">
        <v>43</v>
      </c>
      <c r="E25" s="735"/>
      <c r="F25" s="44"/>
      <c r="G25" s="45"/>
      <c r="H25" s="811" t="s">
        <v>44</v>
      </c>
      <c r="I25" s="812"/>
      <c r="J25" s="812"/>
      <c r="K25" s="812"/>
      <c r="L25" s="812"/>
      <c r="M25" s="812"/>
      <c r="N25" s="812"/>
      <c r="O25" s="859"/>
    </row>
    <row r="26" spans="2:15">
      <c r="B26" s="46"/>
      <c r="C26" s="47"/>
      <c r="D26" s="46"/>
      <c r="E26" s="47"/>
      <c r="F26" s="46"/>
      <c r="G26" s="47"/>
      <c r="H26" s="790"/>
      <c r="I26" s="791"/>
      <c r="J26" s="792"/>
      <c r="K26" s="791"/>
      <c r="L26" s="791"/>
      <c r="M26" s="791"/>
      <c r="N26" s="791"/>
      <c r="O26" s="792"/>
    </row>
    <row r="27" spans="2:15">
      <c r="B27" s="946" t="s">
        <v>170</v>
      </c>
      <c r="C27" s="815"/>
      <c r="D27" s="946" t="s">
        <v>46</v>
      </c>
      <c r="E27" s="815"/>
      <c r="F27" s="946"/>
      <c r="G27" s="815"/>
      <c r="H27" s="947"/>
      <c r="I27" s="948"/>
      <c r="J27" s="949"/>
      <c r="K27" s="923"/>
      <c r="L27" s="923"/>
      <c r="M27" s="923"/>
      <c r="N27" s="923"/>
      <c r="O27" s="924"/>
    </row>
    <row r="28" spans="2:15">
      <c r="B28" s="840" t="s">
        <v>47</v>
      </c>
      <c r="C28" s="842"/>
      <c r="D28" s="840" t="s">
        <v>48</v>
      </c>
      <c r="E28" s="842"/>
      <c r="F28" s="840" t="s">
        <v>49</v>
      </c>
      <c r="G28" s="842"/>
      <c r="H28" s="840" t="s">
        <v>50</v>
      </c>
      <c r="I28" s="841"/>
      <c r="J28" s="842"/>
      <c r="K28" s="841" t="s">
        <v>51</v>
      </c>
      <c r="L28" s="841"/>
      <c r="M28" s="841"/>
      <c r="N28" s="841"/>
      <c r="O28" s="842"/>
    </row>
  </sheetData>
  <mergeCells count="37">
    <mergeCell ref="K26:O27"/>
    <mergeCell ref="D2:J5"/>
    <mergeCell ref="B28:C28"/>
    <mergeCell ref="D28:E28"/>
    <mergeCell ref="F28:G28"/>
    <mergeCell ref="H28:J28"/>
    <mergeCell ref="K28:O28"/>
    <mergeCell ref="H26:J26"/>
    <mergeCell ref="B27:C27"/>
    <mergeCell ref="D27:E27"/>
    <mergeCell ref="F27:G27"/>
    <mergeCell ref="H27:J27"/>
    <mergeCell ref="I23:J23"/>
    <mergeCell ref="K23:O23"/>
    <mergeCell ref="I24:J24"/>
    <mergeCell ref="K24:O24"/>
    <mergeCell ref="H25:O25"/>
    <mergeCell ref="K17:O17"/>
    <mergeCell ref="K18:O18"/>
    <mergeCell ref="K19:O19"/>
    <mergeCell ref="I20:J20"/>
    <mergeCell ref="K20:O20"/>
    <mergeCell ref="B13:G13"/>
    <mergeCell ref="K13:O13"/>
    <mergeCell ref="K14:O14"/>
    <mergeCell ref="K15:O15"/>
    <mergeCell ref="K16:O16"/>
    <mergeCell ref="B9:C9"/>
    <mergeCell ref="D9:H9"/>
    <mergeCell ref="I9:J9"/>
    <mergeCell ref="D10:H10"/>
    <mergeCell ref="I10:J10"/>
    <mergeCell ref="K2:O2"/>
    <mergeCell ref="L3:O3"/>
    <mergeCell ref="L4:O4"/>
    <mergeCell ref="L5:O5"/>
    <mergeCell ref="I8:J8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T63"/>
  <sheetViews>
    <sheetView showGridLines="0" view="pageBreakPreview" zoomScale="70" zoomScaleNormal="100" zoomScaleSheetLayoutView="70" workbookViewId="0">
      <selection activeCell="E17" sqref="E17"/>
    </sheetView>
  </sheetViews>
  <sheetFormatPr defaultColWidth="9.25" defaultRowHeight="12.75"/>
  <cols>
    <col min="1" max="1" width="2.375" style="74" customWidth="1"/>
    <col min="2" max="2" width="16.625" style="74" customWidth="1"/>
    <col min="3" max="7" width="13.75" style="74" customWidth="1"/>
    <col min="8" max="8" width="12.375" style="74" customWidth="1"/>
    <col min="9" max="10" width="10.625" style="74" customWidth="1"/>
    <col min="11" max="11" width="11.25" style="74" customWidth="1"/>
    <col min="12" max="12" width="9" style="74" customWidth="1"/>
    <col min="13" max="13" width="9" style="74" hidden="1" customWidth="1"/>
    <col min="14" max="14" width="5.375" style="74" hidden="1" customWidth="1"/>
    <col min="15" max="15" width="13.375" style="74" customWidth="1"/>
    <col min="16" max="16" width="11.25" style="74" customWidth="1"/>
    <col min="17" max="17" width="9.25" style="74"/>
    <col min="18" max="18" width="14.25" style="75" customWidth="1"/>
    <col min="19" max="16384" width="9.25" style="74"/>
  </cols>
  <sheetData>
    <row r="1" spans="2:18"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2:18" ht="18.75" customHeight="1">
      <c r="B2" s="1"/>
      <c r="C2" s="2"/>
      <c r="D2" s="870" t="s">
        <v>0</v>
      </c>
      <c r="E2" s="871"/>
      <c r="F2" s="871"/>
      <c r="G2" s="871"/>
      <c r="H2" s="871"/>
      <c r="I2" s="871"/>
      <c r="J2" s="871"/>
      <c r="K2" s="874" t="s">
        <v>1</v>
      </c>
      <c r="L2" s="875"/>
      <c r="M2" s="875"/>
      <c r="N2" s="875"/>
      <c r="O2" s="876"/>
      <c r="R2" s="74"/>
    </row>
    <row r="3" spans="2:18" ht="18.75" customHeight="1">
      <c r="B3" s="3"/>
      <c r="C3" s="126"/>
      <c r="D3" s="872"/>
      <c r="E3" s="873"/>
      <c r="F3" s="873"/>
      <c r="G3" s="873"/>
      <c r="H3" s="873"/>
      <c r="I3" s="873"/>
      <c r="J3" s="873"/>
      <c r="K3" s="49" t="s">
        <v>2</v>
      </c>
      <c r="L3" s="877" t="s">
        <v>3</v>
      </c>
      <c r="M3" s="877"/>
      <c r="N3" s="877"/>
      <c r="O3" s="878"/>
      <c r="R3" s="74"/>
    </row>
    <row r="4" spans="2:18" ht="18.75" customHeight="1">
      <c r="B4" s="3"/>
      <c r="C4" s="126"/>
      <c r="D4" s="872"/>
      <c r="E4" s="873"/>
      <c r="F4" s="873"/>
      <c r="G4" s="873"/>
      <c r="H4" s="873"/>
      <c r="I4" s="873"/>
      <c r="J4" s="873"/>
      <c r="K4" s="49" t="s">
        <v>4</v>
      </c>
      <c r="L4" s="877" t="s">
        <v>5</v>
      </c>
      <c r="M4" s="877"/>
      <c r="N4" s="877"/>
      <c r="O4" s="878"/>
      <c r="R4" s="74"/>
    </row>
    <row r="5" spans="2:18" ht="18.75" customHeight="1">
      <c r="B5" s="3"/>
      <c r="C5" s="126"/>
      <c r="D5" s="872"/>
      <c r="E5" s="873"/>
      <c r="F5" s="873"/>
      <c r="G5" s="873"/>
      <c r="H5" s="873"/>
      <c r="I5" s="873"/>
      <c r="J5" s="873"/>
      <c r="K5" s="50" t="s">
        <v>6</v>
      </c>
      <c r="L5" s="879" t="s">
        <v>7</v>
      </c>
      <c r="M5" s="880"/>
      <c r="N5" s="880"/>
      <c r="O5" s="881"/>
      <c r="R5" s="74"/>
    </row>
    <row r="6" spans="2:18" ht="18.75" customHeight="1">
      <c r="B6" s="144"/>
      <c r="C6" s="145"/>
      <c r="D6" s="145"/>
      <c r="E6" s="145"/>
      <c r="F6" s="145"/>
      <c r="G6" s="133"/>
      <c r="H6" s="133"/>
      <c r="I6" s="133"/>
      <c r="J6" s="133"/>
      <c r="K6" s="133"/>
      <c r="L6" s="133"/>
      <c r="M6" s="133"/>
      <c r="N6" s="133"/>
      <c r="O6" s="146"/>
      <c r="R6" s="74"/>
    </row>
    <row r="7" spans="2:18" ht="18.75" customHeight="1">
      <c r="B7" s="147" t="s">
        <v>8</v>
      </c>
      <c r="C7" s="148"/>
      <c r="D7" s="148"/>
      <c r="E7" s="148"/>
      <c r="F7" s="148"/>
      <c r="G7" s="149"/>
      <c r="H7" s="150"/>
      <c r="I7" s="151"/>
      <c r="J7" s="134"/>
      <c r="K7" s="134"/>
      <c r="L7" s="134"/>
      <c r="M7" s="134"/>
      <c r="N7" s="134"/>
      <c r="O7" s="135"/>
      <c r="R7" s="74"/>
    </row>
    <row r="8" spans="2:18" ht="18.75" customHeight="1">
      <c r="B8" s="13" t="s">
        <v>9</v>
      </c>
      <c r="C8" s="194" t="s">
        <v>252</v>
      </c>
      <c r="D8" s="14"/>
      <c r="E8" s="15"/>
      <c r="F8" s="15"/>
      <c r="G8" s="15"/>
      <c r="H8" s="16"/>
      <c r="I8" s="752" t="s">
        <v>11</v>
      </c>
      <c r="J8" s="752"/>
      <c r="K8" s="152" t="s">
        <v>284</v>
      </c>
      <c r="L8" s="127"/>
      <c r="M8" s="127"/>
      <c r="N8" s="127"/>
      <c r="O8" s="132"/>
      <c r="R8" s="74"/>
    </row>
    <row r="9" spans="2:18" ht="18.75" customHeight="1">
      <c r="B9" s="860" t="s">
        <v>13</v>
      </c>
      <c r="C9" s="772"/>
      <c r="D9" s="861"/>
      <c r="E9" s="861"/>
      <c r="F9" s="861"/>
      <c r="G9" s="861"/>
      <c r="H9" s="862"/>
      <c r="I9" s="771" t="s">
        <v>14</v>
      </c>
      <c r="J9" s="772"/>
      <c r="K9" s="54"/>
      <c r="L9" s="54"/>
      <c r="M9" s="136"/>
      <c r="N9" s="136"/>
      <c r="O9" s="55"/>
      <c r="R9" s="74"/>
    </row>
    <row r="10" spans="2:18" ht="18.75" customHeight="1">
      <c r="B10" s="191" t="s">
        <v>15</v>
      </c>
      <c r="C10" s="15"/>
      <c r="D10" s="773"/>
      <c r="E10" s="773"/>
      <c r="F10" s="773"/>
      <c r="G10" s="773"/>
      <c r="H10" s="774"/>
      <c r="I10" s="775" t="s">
        <v>16</v>
      </c>
      <c r="J10" s="776"/>
      <c r="K10" s="137" t="s">
        <v>285</v>
      </c>
      <c r="L10" s="138"/>
      <c r="M10" s="138"/>
      <c r="N10" s="138"/>
      <c r="O10" s="139"/>
      <c r="R10" s="125" t="s">
        <v>55</v>
      </c>
    </row>
    <row r="11" spans="2:18" ht="18.75" customHeight="1">
      <c r="B11" s="140"/>
      <c r="C11" s="189"/>
      <c r="D11" s="189"/>
      <c r="E11" s="189"/>
      <c r="F11" s="189"/>
      <c r="G11" s="129"/>
      <c r="H11" s="141"/>
      <c r="I11" s="141"/>
      <c r="J11" s="189"/>
      <c r="K11" s="189"/>
      <c r="L11" s="189"/>
      <c r="M11" s="189"/>
      <c r="N11" s="189"/>
      <c r="O11" s="142"/>
      <c r="R11" s="74"/>
    </row>
    <row r="12" spans="2:18" ht="18.75" customHeight="1">
      <c r="B12" s="153" t="s">
        <v>18</v>
      </c>
      <c r="C12" s="76"/>
      <c r="D12" s="76"/>
      <c r="E12" s="76"/>
      <c r="F12" s="76"/>
      <c r="G12" s="154"/>
      <c r="H12" s="151"/>
      <c r="I12" s="151"/>
      <c r="J12" s="134"/>
      <c r="K12" s="134"/>
      <c r="L12" s="134"/>
      <c r="M12" s="134"/>
      <c r="N12" s="134"/>
      <c r="O12" s="135"/>
      <c r="R12" s="74"/>
    </row>
    <row r="13" spans="2:18" ht="30.6" customHeight="1">
      <c r="B13" s="863" t="s">
        <v>19</v>
      </c>
      <c r="C13" s="864"/>
      <c r="D13" s="864"/>
      <c r="E13" s="864"/>
      <c r="F13" s="864"/>
      <c r="G13" s="864"/>
      <c r="H13" s="20" t="s">
        <v>20</v>
      </c>
      <c r="I13" s="155" t="s">
        <v>21</v>
      </c>
      <c r="J13" s="59" t="s">
        <v>22</v>
      </c>
      <c r="K13" s="865" t="s">
        <v>23</v>
      </c>
      <c r="L13" s="865"/>
      <c r="M13" s="865"/>
      <c r="N13" s="865"/>
      <c r="O13" s="866"/>
      <c r="R13" s="74"/>
    </row>
    <row r="14" spans="2:18" ht="18.75" customHeight="1">
      <c r="B14" s="156"/>
      <c r="C14" s="21"/>
      <c r="D14" s="21"/>
      <c r="E14" s="21"/>
      <c r="F14" s="21"/>
      <c r="G14" s="21"/>
      <c r="H14" s="22"/>
      <c r="I14" s="157"/>
      <c r="J14" s="60"/>
      <c r="K14" s="781"/>
      <c r="L14" s="781"/>
      <c r="M14" s="781"/>
      <c r="N14" s="781"/>
      <c r="O14" s="867"/>
      <c r="R14" s="74"/>
    </row>
    <row r="15" spans="2:18" ht="18.75" customHeight="1">
      <c r="B15" s="158" t="s">
        <v>286</v>
      </c>
      <c r="C15" s="24"/>
      <c r="D15" s="24"/>
      <c r="E15" s="24"/>
      <c r="F15" s="24"/>
      <c r="G15" s="24"/>
      <c r="H15" s="26" t="s">
        <v>25</v>
      </c>
      <c r="I15" s="720" t="s">
        <v>26</v>
      </c>
      <c r="J15" s="61" t="s">
        <v>27</v>
      </c>
      <c r="K15" s="846">
        <v>25603.119999999999</v>
      </c>
      <c r="L15" s="846"/>
      <c r="M15" s="846"/>
      <c r="N15" s="846"/>
      <c r="O15" s="847"/>
      <c r="R15" s="74"/>
    </row>
    <row r="16" spans="2:18" ht="18.75" customHeight="1">
      <c r="B16" s="158" t="s">
        <v>287</v>
      </c>
      <c r="C16" s="159"/>
      <c r="D16" s="24"/>
      <c r="E16" s="24"/>
      <c r="F16" s="24"/>
      <c r="G16" s="24"/>
      <c r="H16" s="26"/>
      <c r="I16" s="720"/>
      <c r="J16" s="61"/>
      <c r="K16" s="846"/>
      <c r="L16" s="846"/>
      <c r="M16" s="846"/>
      <c r="N16" s="846"/>
      <c r="O16" s="847"/>
      <c r="R16" s="74"/>
    </row>
    <row r="17" spans="2:20" ht="18.75" customHeight="1">
      <c r="B17" s="158"/>
      <c r="C17" s="24"/>
      <c r="D17" s="24"/>
      <c r="E17" s="24"/>
      <c r="F17" s="24"/>
      <c r="G17" s="24"/>
      <c r="H17" s="26"/>
      <c r="I17" s="720"/>
      <c r="J17" s="61"/>
      <c r="K17" s="846"/>
      <c r="L17" s="846"/>
      <c r="M17" s="846"/>
      <c r="N17" s="846"/>
      <c r="O17" s="847"/>
      <c r="R17" s="74"/>
    </row>
    <row r="18" spans="2:20" ht="18.75" customHeight="1">
      <c r="B18" s="158"/>
      <c r="C18" s="159"/>
      <c r="D18" s="80"/>
      <c r="E18" s="80"/>
      <c r="F18" s="80"/>
      <c r="G18" s="80"/>
      <c r="H18" s="26"/>
      <c r="I18" s="720"/>
      <c r="J18" s="61"/>
      <c r="K18" s="846"/>
      <c r="L18" s="846"/>
      <c r="M18" s="846"/>
      <c r="N18" s="846"/>
      <c r="O18" s="847"/>
      <c r="R18" s="74"/>
    </row>
    <row r="19" spans="2:20" ht="18.75" customHeight="1">
      <c r="B19" s="158"/>
      <c r="C19" s="24"/>
      <c r="D19" s="80"/>
      <c r="E19" s="80"/>
      <c r="F19" s="80"/>
      <c r="G19" s="80"/>
      <c r="H19" s="26"/>
      <c r="I19" s="720"/>
      <c r="J19" s="61"/>
      <c r="K19" s="846"/>
      <c r="L19" s="846"/>
      <c r="M19" s="846"/>
      <c r="N19" s="846"/>
      <c r="O19" s="847"/>
      <c r="R19" s="74"/>
    </row>
    <row r="20" spans="2:20" ht="18.75" customHeight="1">
      <c r="B20" s="158"/>
      <c r="C20" s="24"/>
      <c r="D20" s="80"/>
      <c r="E20" s="80"/>
      <c r="F20" s="80"/>
      <c r="G20" s="80"/>
      <c r="H20" s="26"/>
      <c r="I20" s="720"/>
      <c r="J20" s="61"/>
      <c r="K20" s="848"/>
      <c r="L20" s="846"/>
      <c r="M20" s="846"/>
      <c r="N20" s="846"/>
      <c r="O20" s="847"/>
      <c r="R20" s="74"/>
    </row>
    <row r="21" spans="2:20" ht="18.75" hidden="1" customHeight="1">
      <c r="B21" s="158"/>
      <c r="C21" s="24"/>
      <c r="D21" s="80"/>
      <c r="E21" s="80"/>
      <c r="F21" s="80"/>
      <c r="G21" s="80"/>
      <c r="H21" s="26"/>
      <c r="I21" s="720"/>
      <c r="J21" s="61"/>
      <c r="K21" s="846"/>
      <c r="L21" s="846"/>
      <c r="M21" s="846"/>
      <c r="N21" s="846"/>
      <c r="O21" s="847"/>
      <c r="R21" s="74"/>
    </row>
    <row r="22" spans="2:20" ht="22.5" hidden="1" customHeight="1">
      <c r="B22" s="158"/>
      <c r="C22" s="160"/>
      <c r="D22" s="80"/>
      <c r="E22" s="161"/>
      <c r="F22" s="80"/>
      <c r="G22" s="80"/>
      <c r="H22" s="26"/>
      <c r="I22" s="720"/>
      <c r="J22" s="61"/>
      <c r="K22" s="846"/>
      <c r="L22" s="846"/>
      <c r="M22" s="846"/>
      <c r="N22" s="846"/>
      <c r="O22" s="847"/>
      <c r="R22" s="74"/>
    </row>
    <row r="23" spans="2:20" ht="28.5" customHeight="1">
      <c r="B23" s="162"/>
      <c r="C23" s="163"/>
      <c r="D23" s="164"/>
      <c r="E23" s="164"/>
      <c r="F23" s="164"/>
      <c r="G23" s="164"/>
      <c r="H23" s="165"/>
      <c r="I23" s="739"/>
      <c r="J23" s="166"/>
      <c r="K23" s="849"/>
      <c r="L23" s="849"/>
      <c r="M23" s="849"/>
      <c r="N23" s="849"/>
      <c r="O23" s="850"/>
    </row>
    <row r="24" spans="2:20" ht="18.75" customHeight="1">
      <c r="B24" s="167" t="s">
        <v>31</v>
      </c>
      <c r="C24" s="94"/>
      <c r="D24" s="94"/>
      <c r="E24" s="94"/>
      <c r="F24" s="94"/>
      <c r="G24" s="168"/>
      <c r="H24" s="130"/>
      <c r="I24" s="851" t="s">
        <v>32</v>
      </c>
      <c r="J24" s="852"/>
      <c r="K24" s="853">
        <f>SUM(K15:O23)</f>
        <v>25603.119999999999</v>
      </c>
      <c r="L24" s="853"/>
      <c r="M24" s="853"/>
      <c r="N24" s="853"/>
      <c r="O24" s="854"/>
      <c r="P24" s="121">
        <f>SUM(K15:O22)</f>
        <v>25603.119999999999</v>
      </c>
      <c r="R24" s="123">
        <v>17892</v>
      </c>
    </row>
    <row r="25" spans="2:20" ht="18.75" customHeight="1">
      <c r="B25" s="37" t="s">
        <v>33</v>
      </c>
      <c r="C25" s="15" t="s">
        <v>288</v>
      </c>
      <c r="D25" s="34"/>
      <c r="E25" s="34"/>
      <c r="F25" s="34"/>
      <c r="G25" s="35"/>
      <c r="H25" s="36"/>
      <c r="I25" s="734"/>
      <c r="J25" s="169"/>
      <c r="K25" s="170"/>
      <c r="L25" s="170"/>
      <c r="M25" s="170"/>
      <c r="N25" s="170"/>
      <c r="O25" s="171"/>
      <c r="P25" s="121"/>
      <c r="R25" s="123"/>
      <c r="T25" s="74" t="s">
        <v>35</v>
      </c>
    </row>
    <row r="26" spans="2:20" ht="18.75" hidden="1" customHeight="1">
      <c r="B26" s="167" t="s">
        <v>36</v>
      </c>
      <c r="C26" s="94" t="s">
        <v>37</v>
      </c>
      <c r="D26" s="172"/>
      <c r="E26" s="172"/>
      <c r="F26" s="172"/>
      <c r="G26" s="173"/>
      <c r="H26" s="174"/>
      <c r="I26" s="175"/>
      <c r="J26" s="176"/>
      <c r="K26" s="177"/>
      <c r="L26" s="177"/>
      <c r="M26" s="177"/>
      <c r="N26" s="177"/>
      <c r="O26" s="178"/>
      <c r="P26" s="121"/>
      <c r="R26" s="123"/>
    </row>
    <row r="27" spans="2:20" ht="18.75" hidden="1" customHeight="1">
      <c r="B27" s="179" t="s">
        <v>33</v>
      </c>
      <c r="C27" s="180" t="s">
        <v>38</v>
      </c>
      <c r="D27" s="181"/>
      <c r="E27" s="181"/>
      <c r="F27" s="101"/>
      <c r="G27" s="181"/>
      <c r="H27" s="182"/>
      <c r="I27" s="855" t="s">
        <v>39</v>
      </c>
      <c r="J27" s="855"/>
      <c r="K27" s="856">
        <v>0</v>
      </c>
      <c r="L27" s="856"/>
      <c r="M27" s="856"/>
      <c r="N27" s="856"/>
      <c r="O27" s="857"/>
    </row>
    <row r="28" spans="2:20" ht="18.75" customHeight="1">
      <c r="B28" s="183" t="s">
        <v>36</v>
      </c>
      <c r="C28" s="184" t="s">
        <v>40</v>
      </c>
      <c r="D28" s="184"/>
      <c r="E28" s="184"/>
      <c r="F28" s="185"/>
      <c r="G28" s="185"/>
      <c r="H28" s="186"/>
      <c r="I28" s="808" t="s">
        <v>41</v>
      </c>
      <c r="J28" s="808"/>
      <c r="K28" s="809">
        <f>+K24+K27</f>
        <v>25603.119999999999</v>
      </c>
      <c r="L28" s="809"/>
      <c r="M28" s="809"/>
      <c r="N28" s="809"/>
      <c r="O28" s="858"/>
    </row>
    <row r="29" spans="2:20" ht="18.75" customHeight="1">
      <c r="B29" s="722" t="s">
        <v>42</v>
      </c>
      <c r="C29" s="187"/>
      <c r="D29" s="723" t="s">
        <v>43</v>
      </c>
      <c r="E29" s="735"/>
      <c r="F29" s="44"/>
      <c r="G29" s="45"/>
      <c r="H29" s="811" t="s">
        <v>44</v>
      </c>
      <c r="I29" s="812"/>
      <c r="J29" s="812"/>
      <c r="K29" s="812"/>
      <c r="L29" s="812"/>
      <c r="M29" s="812"/>
      <c r="N29" s="812"/>
      <c r="O29" s="859"/>
    </row>
    <row r="30" spans="2:20" s="73" customFormat="1" ht="18.75" customHeight="1">
      <c r="B30" s="46"/>
      <c r="C30" s="47"/>
      <c r="D30" s="141"/>
      <c r="E30" s="47"/>
      <c r="F30" s="141"/>
      <c r="G30" s="47"/>
      <c r="H30" s="790"/>
      <c r="I30" s="791"/>
      <c r="J30" s="792"/>
      <c r="K30" s="793"/>
      <c r="L30" s="793"/>
      <c r="M30" s="793"/>
      <c r="N30" s="793"/>
      <c r="O30" s="845"/>
      <c r="R30" s="110"/>
    </row>
    <row r="31" spans="2:20" ht="18.75" customHeight="1">
      <c r="B31" s="844" t="s">
        <v>170</v>
      </c>
      <c r="C31" s="817"/>
      <c r="D31" s="816" t="s">
        <v>46</v>
      </c>
      <c r="E31" s="817"/>
      <c r="F31" s="816"/>
      <c r="G31" s="817"/>
      <c r="H31" s="818"/>
      <c r="I31" s="819"/>
      <c r="J31" s="820"/>
      <c r="K31" s="793"/>
      <c r="L31" s="793"/>
      <c r="M31" s="793"/>
      <c r="N31" s="793"/>
      <c r="O31" s="845"/>
    </row>
    <row r="32" spans="2:20" ht="18.75" customHeight="1">
      <c r="B32" s="840" t="s">
        <v>47</v>
      </c>
      <c r="C32" s="842"/>
      <c r="D32" s="841" t="s">
        <v>48</v>
      </c>
      <c r="E32" s="842"/>
      <c r="F32" s="841" t="s">
        <v>49</v>
      </c>
      <c r="G32" s="842"/>
      <c r="H32" s="840" t="s">
        <v>50</v>
      </c>
      <c r="I32" s="841"/>
      <c r="J32" s="842"/>
      <c r="K32" s="840" t="s">
        <v>51</v>
      </c>
      <c r="L32" s="841"/>
      <c r="M32" s="841"/>
      <c r="N32" s="841"/>
      <c r="O32" s="842"/>
      <c r="R32" s="74"/>
    </row>
    <row r="33" spans="2:19">
      <c r="B33" s="89"/>
      <c r="C33" s="89"/>
      <c r="D33" s="89"/>
      <c r="E33" s="89"/>
      <c r="F33" s="89"/>
      <c r="G33" s="89"/>
      <c r="H33" s="89"/>
      <c r="I33" s="89"/>
      <c r="J33" s="19"/>
      <c r="K33" s="19"/>
      <c r="L33" s="19"/>
      <c r="M33" s="19"/>
      <c r="N33" s="19"/>
      <c r="O33" s="19"/>
      <c r="R33" s="74"/>
    </row>
    <row r="34" spans="2:19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R34" s="74"/>
    </row>
    <row r="35" spans="2:19">
      <c r="C35" s="118"/>
    </row>
    <row r="36" spans="2:19" ht="15.75">
      <c r="J36" s="122"/>
    </row>
    <row r="37" spans="2:19" ht="18.75" customHeight="1">
      <c r="B37" s="91"/>
      <c r="C37" s="91"/>
      <c r="D37" s="91"/>
      <c r="E37" s="830"/>
      <c r="F37" s="830"/>
      <c r="G37" s="830"/>
      <c r="H37" s="830"/>
      <c r="I37" s="830"/>
      <c r="J37" s="830"/>
      <c r="K37" s="831"/>
      <c r="L37" s="831"/>
      <c r="M37" s="831"/>
      <c r="N37" s="831"/>
      <c r="O37" s="831"/>
      <c r="R37" s="74"/>
    </row>
    <row r="38" spans="2:19" ht="18.75" customHeight="1">
      <c r="B38" s="91"/>
      <c r="C38" s="91"/>
      <c r="D38" s="91"/>
      <c r="E38" s="830"/>
      <c r="F38" s="830"/>
      <c r="G38" s="830"/>
      <c r="H38" s="830"/>
      <c r="I38" s="830"/>
      <c r="J38" s="830"/>
      <c r="K38" s="110"/>
      <c r="L38" s="110"/>
      <c r="M38" s="110"/>
      <c r="N38" s="110"/>
      <c r="O38" s="111"/>
      <c r="R38" s="74"/>
    </row>
    <row r="39" spans="2:19" ht="18.75" customHeight="1">
      <c r="B39" s="91"/>
      <c r="C39" s="91"/>
      <c r="D39" s="128"/>
      <c r="E39" s="830"/>
      <c r="F39" s="830"/>
      <c r="G39" s="830"/>
      <c r="H39" s="830"/>
      <c r="I39" s="830"/>
      <c r="J39" s="830"/>
      <c r="K39" s="110"/>
      <c r="L39" s="110"/>
      <c r="M39" s="110"/>
      <c r="N39" s="110"/>
      <c r="O39" s="111"/>
      <c r="R39" s="74"/>
    </row>
    <row r="40" spans="2:19" ht="18.75" customHeight="1">
      <c r="B40" s="91"/>
      <c r="C40" s="119"/>
      <c r="D40" s="91"/>
      <c r="E40" s="830"/>
      <c r="F40" s="830"/>
      <c r="G40" s="830"/>
      <c r="H40" s="830"/>
      <c r="I40" s="830"/>
      <c r="J40" s="830"/>
      <c r="K40" s="110"/>
      <c r="L40" s="110"/>
      <c r="M40" s="110"/>
      <c r="N40" s="110"/>
      <c r="O40" s="112"/>
      <c r="R40" s="74"/>
    </row>
    <row r="41" spans="2:19" ht="18.75" customHeight="1">
      <c r="B41" s="92"/>
      <c r="C41" s="92"/>
      <c r="D41" s="92"/>
      <c r="E41" s="92"/>
      <c r="F41" s="92"/>
      <c r="G41" s="93"/>
      <c r="H41" s="131"/>
      <c r="I41" s="93"/>
      <c r="J41" s="93"/>
      <c r="K41" s="93"/>
      <c r="L41" s="93"/>
      <c r="M41" s="93"/>
      <c r="N41" s="93"/>
      <c r="O41" s="51"/>
      <c r="R41" s="74"/>
    </row>
    <row r="42" spans="2:19" ht="18.75" customHeight="1">
      <c r="B42" s="94"/>
      <c r="C42" s="94"/>
      <c r="D42" s="94"/>
      <c r="E42" s="94"/>
      <c r="F42" s="94"/>
      <c r="G42" s="95"/>
      <c r="H42" s="130"/>
      <c r="I42" s="96"/>
      <c r="J42" s="190"/>
      <c r="K42" s="190"/>
      <c r="L42" s="190"/>
      <c r="M42" s="190"/>
      <c r="N42" s="190"/>
      <c r="O42" s="113"/>
      <c r="R42" s="74"/>
    </row>
    <row r="43" spans="2:19" ht="18.75" customHeight="1">
      <c r="B43" s="94"/>
      <c r="C43" s="832"/>
      <c r="D43" s="832"/>
      <c r="E43" s="832"/>
      <c r="F43" s="832"/>
      <c r="G43" s="832"/>
      <c r="H43" s="843"/>
      <c r="I43" s="843"/>
      <c r="J43" s="843"/>
      <c r="K43" s="834"/>
      <c r="L43" s="834"/>
      <c r="M43" s="834"/>
      <c r="N43" s="834"/>
      <c r="O43" s="834"/>
      <c r="R43" s="74"/>
    </row>
    <row r="44" spans="2:19" ht="18.75" customHeight="1">
      <c r="B44" s="190"/>
      <c r="C44" s="835"/>
      <c r="D44" s="835"/>
      <c r="E44" s="835"/>
      <c r="F44" s="835"/>
      <c r="G44" s="835"/>
      <c r="H44" s="833"/>
      <c r="I44" s="833"/>
      <c r="J44" s="833"/>
      <c r="K44" s="834"/>
      <c r="L44" s="834"/>
      <c r="M44" s="834"/>
      <c r="N44" s="834"/>
      <c r="O44" s="834"/>
      <c r="R44" s="74"/>
      <c r="S44" s="143"/>
    </row>
    <row r="45" spans="2:19" ht="18.75" customHeight="1">
      <c r="B45" s="190"/>
      <c r="C45" s="835"/>
      <c r="D45" s="835"/>
      <c r="E45" s="835"/>
      <c r="F45" s="835"/>
      <c r="G45" s="835"/>
      <c r="H45" s="835"/>
      <c r="I45" s="835"/>
      <c r="J45" s="835"/>
      <c r="K45" s="835"/>
      <c r="L45" s="835"/>
      <c r="M45" s="835"/>
      <c r="N45" s="835"/>
      <c r="O45" s="835"/>
      <c r="R45" s="74"/>
    </row>
    <row r="46" spans="2:19" ht="18.75" customHeight="1">
      <c r="B46" s="190"/>
      <c r="C46" s="190"/>
      <c r="D46" s="190"/>
      <c r="E46" s="190"/>
      <c r="F46" s="190"/>
      <c r="G46" s="120"/>
      <c r="H46" s="96"/>
      <c r="I46" s="96"/>
      <c r="J46" s="190"/>
      <c r="K46" s="190"/>
      <c r="L46" s="190"/>
      <c r="M46" s="190"/>
      <c r="N46" s="190"/>
      <c r="O46" s="113"/>
      <c r="R46" s="74"/>
    </row>
    <row r="47" spans="2:19" ht="18.75" customHeight="1">
      <c r="B47" s="94"/>
      <c r="C47" s="94"/>
      <c r="D47" s="94"/>
      <c r="E47" s="94"/>
      <c r="F47" s="94"/>
      <c r="G47" s="95"/>
      <c r="H47" s="96"/>
      <c r="I47" s="96"/>
      <c r="J47" s="190"/>
      <c r="K47" s="190"/>
      <c r="L47" s="190"/>
      <c r="M47" s="190"/>
      <c r="N47" s="190"/>
      <c r="O47" s="113"/>
      <c r="R47" s="74"/>
    </row>
    <row r="48" spans="2:19" ht="18.75" customHeight="1">
      <c r="B48" s="825"/>
      <c r="C48" s="825"/>
      <c r="D48" s="825"/>
      <c r="E48" s="825"/>
      <c r="F48" s="825"/>
      <c r="G48" s="825"/>
      <c r="H48" s="98"/>
      <c r="I48" s="98"/>
      <c r="J48" s="114"/>
      <c r="K48" s="114"/>
      <c r="L48" s="114"/>
      <c r="M48" s="114"/>
      <c r="N48" s="114"/>
      <c r="O48" s="114"/>
    </row>
    <row r="49" spans="2:18" ht="18.75" customHeight="1">
      <c r="B49" s="190"/>
      <c r="C49" s="190"/>
      <c r="D49" s="190"/>
      <c r="E49" s="190"/>
      <c r="F49" s="190"/>
      <c r="G49" s="96"/>
      <c r="H49" s="96"/>
      <c r="I49" s="96"/>
      <c r="J49" s="190"/>
      <c r="K49" s="190"/>
      <c r="L49" s="190"/>
      <c r="M49" s="190"/>
      <c r="N49" s="190"/>
      <c r="O49" s="737"/>
    </row>
    <row r="50" spans="2:18" ht="18.75" customHeight="1">
      <c r="B50" s="190"/>
      <c r="C50" s="190"/>
      <c r="D50" s="190"/>
      <c r="E50" s="190"/>
      <c r="F50" s="190"/>
      <c r="G50" s="96"/>
      <c r="H50" s="96"/>
      <c r="I50" s="96"/>
      <c r="J50" s="190"/>
      <c r="K50" s="190"/>
      <c r="L50" s="190"/>
      <c r="M50" s="190"/>
      <c r="N50" s="190"/>
      <c r="O50" s="737"/>
    </row>
    <row r="51" spans="2:18" ht="18.75" customHeight="1">
      <c r="B51" s="190"/>
      <c r="C51" s="190"/>
      <c r="D51" s="190"/>
      <c r="E51" s="190"/>
      <c r="F51" s="190"/>
      <c r="G51" s="96"/>
      <c r="H51" s="96"/>
      <c r="I51" s="96"/>
      <c r="J51" s="115"/>
      <c r="K51" s="115"/>
      <c r="L51" s="115"/>
      <c r="M51" s="115"/>
      <c r="N51" s="115"/>
      <c r="O51" s="116"/>
    </row>
    <row r="52" spans="2:18" ht="18.75" customHeight="1">
      <c r="B52" s="190"/>
      <c r="C52" s="190"/>
      <c r="D52" s="190"/>
      <c r="E52" s="190"/>
      <c r="F52" s="190"/>
      <c r="G52" s="96"/>
      <c r="H52" s="96"/>
      <c r="I52" s="96"/>
      <c r="J52" s="115"/>
      <c r="K52" s="115"/>
      <c r="L52" s="115"/>
      <c r="M52" s="115"/>
      <c r="N52" s="115"/>
      <c r="O52" s="737"/>
    </row>
    <row r="53" spans="2:18" ht="18.75" customHeight="1">
      <c r="B53" s="96"/>
      <c r="C53" s="96"/>
      <c r="D53" s="96"/>
      <c r="E53" s="96"/>
      <c r="F53" s="96"/>
      <c r="G53" s="96"/>
      <c r="H53" s="96"/>
      <c r="I53" s="96"/>
      <c r="J53" s="115"/>
      <c r="K53" s="115"/>
      <c r="L53" s="115"/>
      <c r="M53" s="115"/>
      <c r="N53" s="115"/>
      <c r="O53" s="115"/>
    </row>
    <row r="54" spans="2:18" ht="18.75" customHeight="1">
      <c r="B54" s="94"/>
      <c r="C54" s="94"/>
      <c r="D54" s="94"/>
      <c r="E54" s="94"/>
      <c r="F54" s="94"/>
      <c r="G54" s="95"/>
      <c r="H54" s="96"/>
      <c r="I54" s="96"/>
      <c r="J54" s="736"/>
      <c r="K54" s="839"/>
      <c r="L54" s="839"/>
      <c r="M54" s="839"/>
      <c r="N54" s="839"/>
      <c r="O54" s="839"/>
    </row>
    <row r="55" spans="2:18" ht="18.75" customHeight="1">
      <c r="B55" s="825"/>
      <c r="C55" s="825"/>
      <c r="D55" s="825"/>
      <c r="E55" s="825"/>
      <c r="F55" s="825"/>
      <c r="G55" s="825"/>
      <c r="H55" s="98"/>
      <c r="I55" s="98"/>
      <c r="J55" s="737"/>
      <c r="K55" s="838"/>
      <c r="L55" s="838"/>
      <c r="M55" s="838"/>
      <c r="N55" s="838"/>
      <c r="O55" s="838"/>
    </row>
    <row r="56" spans="2:18" ht="18.75" customHeight="1">
      <c r="B56" s="190"/>
      <c r="C56" s="190"/>
      <c r="D56" s="190"/>
      <c r="E56" s="190"/>
      <c r="F56" s="190"/>
      <c r="G56" s="96"/>
      <c r="H56" s="96"/>
      <c r="I56" s="96"/>
      <c r="J56" s="736"/>
      <c r="K56" s="839"/>
      <c r="L56" s="839"/>
      <c r="M56" s="839"/>
      <c r="N56" s="839"/>
      <c r="O56" s="839"/>
    </row>
    <row r="57" spans="2:18" ht="18.75" customHeight="1">
      <c r="B57" s="190"/>
      <c r="C57" s="190"/>
      <c r="D57" s="190"/>
      <c r="E57" s="190"/>
      <c r="F57" s="190"/>
      <c r="G57" s="96"/>
      <c r="H57" s="96"/>
      <c r="I57" s="96"/>
      <c r="J57" s="737"/>
      <c r="K57" s="838"/>
      <c r="L57" s="838"/>
      <c r="M57" s="838"/>
      <c r="N57" s="838"/>
      <c r="O57" s="838"/>
    </row>
    <row r="58" spans="2:18" ht="18.75" customHeight="1">
      <c r="B58" s="190"/>
      <c r="C58" s="190"/>
      <c r="D58" s="190"/>
      <c r="E58" s="190"/>
      <c r="F58" s="190"/>
      <c r="G58" s="96"/>
      <c r="H58" s="96"/>
      <c r="I58" s="96"/>
      <c r="J58" s="736"/>
      <c r="K58" s="839"/>
      <c r="L58" s="839"/>
      <c r="M58" s="839"/>
      <c r="N58" s="839"/>
      <c r="O58" s="839"/>
    </row>
    <row r="59" spans="2:18" ht="18.75" customHeight="1">
      <c r="B59" s="99"/>
      <c r="C59" s="99"/>
      <c r="D59" s="99"/>
      <c r="E59" s="99"/>
      <c r="F59" s="99"/>
      <c r="G59" s="97"/>
      <c r="H59" s="100"/>
      <c r="I59" s="100"/>
      <c r="J59" s="117"/>
      <c r="K59" s="117"/>
      <c r="L59" s="117"/>
      <c r="M59" s="117"/>
      <c r="N59" s="117"/>
      <c r="O59" s="117"/>
    </row>
    <row r="60" spans="2:18" ht="18.75" customHeight="1">
      <c r="B60" s="734"/>
      <c r="C60" s="734"/>
      <c r="D60" s="734"/>
      <c r="E60" s="734"/>
      <c r="F60" s="734"/>
      <c r="G60" s="734"/>
      <c r="H60" s="101"/>
      <c r="I60" s="101"/>
      <c r="J60" s="734"/>
      <c r="K60" s="734"/>
      <c r="L60" s="734"/>
      <c r="M60" s="734"/>
      <c r="N60" s="734"/>
      <c r="O60" s="113"/>
    </row>
    <row r="61" spans="2:18" s="73" customFormat="1" ht="18.75" customHeight="1"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R61" s="110"/>
    </row>
    <row r="62" spans="2:18" ht="18.75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</row>
    <row r="63" spans="2:18" ht="18.75" customHeight="1">
      <c r="B63" s="837"/>
      <c r="C63" s="837"/>
      <c r="D63" s="837"/>
      <c r="E63" s="837"/>
      <c r="F63" s="837"/>
      <c r="G63" s="837"/>
      <c r="H63" s="837"/>
      <c r="I63" s="837"/>
      <c r="J63" s="837"/>
      <c r="K63" s="837"/>
      <c r="L63" s="837"/>
      <c r="M63" s="837"/>
      <c r="N63" s="837"/>
      <c r="O63" s="837"/>
    </row>
  </sheetData>
  <mergeCells count="62">
    <mergeCell ref="B55:G55"/>
    <mergeCell ref="K55:O55"/>
    <mergeCell ref="K56:O56"/>
    <mergeCell ref="K57:O57"/>
    <mergeCell ref="K58:O58"/>
    <mergeCell ref="B63:C63"/>
    <mergeCell ref="D63:E63"/>
    <mergeCell ref="F63:G63"/>
    <mergeCell ref="H63:J63"/>
    <mergeCell ref="K63:O63"/>
    <mergeCell ref="K54:O54"/>
    <mergeCell ref="K32:O32"/>
    <mergeCell ref="E37:J40"/>
    <mergeCell ref="K37:O37"/>
    <mergeCell ref="C43:G43"/>
    <mergeCell ref="H43:J43"/>
    <mergeCell ref="K43:O43"/>
    <mergeCell ref="C44:G44"/>
    <mergeCell ref="H44:J44"/>
    <mergeCell ref="K44:O44"/>
    <mergeCell ref="C45:O45"/>
    <mergeCell ref="B48:G48"/>
    <mergeCell ref="B31:C31"/>
    <mergeCell ref="D31:E31"/>
    <mergeCell ref="F31:G31"/>
    <mergeCell ref="H31:J31"/>
    <mergeCell ref="B32:C32"/>
    <mergeCell ref="D32:E32"/>
    <mergeCell ref="F32:G32"/>
    <mergeCell ref="H32:J32"/>
    <mergeCell ref="H30:J30"/>
    <mergeCell ref="K30:O31"/>
    <mergeCell ref="K19:O19"/>
    <mergeCell ref="K20:O20"/>
    <mergeCell ref="K21:O21"/>
    <mergeCell ref="K22:O22"/>
    <mergeCell ref="K23:O23"/>
    <mergeCell ref="I24:J24"/>
    <mergeCell ref="K24:O24"/>
    <mergeCell ref="I27:J27"/>
    <mergeCell ref="K27:O27"/>
    <mergeCell ref="I28:J28"/>
    <mergeCell ref="K28:O28"/>
    <mergeCell ref="H29:O29"/>
    <mergeCell ref="K18:O18"/>
    <mergeCell ref="B9:C9"/>
    <mergeCell ref="D9:H9"/>
    <mergeCell ref="I9:J9"/>
    <mergeCell ref="D10:H10"/>
    <mergeCell ref="I10:J10"/>
    <mergeCell ref="B13:G13"/>
    <mergeCell ref="K13:O13"/>
    <mergeCell ref="K14:O14"/>
    <mergeCell ref="K15:O15"/>
    <mergeCell ref="K16:O16"/>
    <mergeCell ref="K17:O17"/>
    <mergeCell ref="I8:J8"/>
    <mergeCell ref="D2:J5"/>
    <mergeCell ref="K2:O2"/>
    <mergeCell ref="L3:O3"/>
    <mergeCell ref="L4:O4"/>
    <mergeCell ref="L5:O5"/>
  </mergeCells>
  <printOptions horizontalCentered="1"/>
  <pageMargins left="0" right="0" top="0.23622047244094499" bottom="0.23622047244094499" header="0" footer="0"/>
  <pageSetup paperSize="14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Alywin Aidan Baje</dc:creator>
  <cp:keywords/>
  <dc:description/>
  <cp:lastModifiedBy/>
  <cp:revision/>
  <dcterms:created xsi:type="dcterms:W3CDTF">2024-11-16T06:07:00Z</dcterms:created>
  <dcterms:modified xsi:type="dcterms:W3CDTF">2026-07-27T02:25:41Z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FE9521B6704B44FC9DA63593CDCFE62C_12</vt:lpwstr>
  </property>
  <property fmtid="{D5CDD505-2E9C-101B-9397-08002B2CF9AE}" pid="3" name="KSOProductBuildVer">
    <vt:lpwstr>1033-12.2.0.21931</vt:lpwstr>
  </property>
</Properties>
</file>