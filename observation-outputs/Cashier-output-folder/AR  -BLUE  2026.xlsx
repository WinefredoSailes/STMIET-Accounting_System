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92760d46d7c6af/RECEIVABLES MONITORING FOLDER/"/>
    </mc:Choice>
  </mc:AlternateContent>
  <xr:revisionPtr revIDLastSave="0" documentId="8_{BAB1FE81-343B-49DC-8C71-F4056841D8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ITORING" sheetId="1" r:id="rId1"/>
    <sheet name="CUSTOMER LISTS" sheetId="7" r:id="rId2"/>
    <sheet name="PRODUCT &amp; SERVICES" sheetId="9" r:id="rId3"/>
    <sheet name="CODE" sheetId="8" r:id="rId4"/>
    <sheet name="COA" sheetId="2" r:id="rId5"/>
  </sheets>
  <definedNames>
    <definedName name="_xlnm._FilterDatabase" localSheetId="1" hidden="1">'CUSTOMER LISTS'!$B$2:$E$2</definedName>
    <definedName name="_xlnm._FilterDatabase" localSheetId="0" hidden="1">MONITORING!$A$5:$U$240</definedName>
    <definedName name="_xlnm.Print_Area" localSheetId="0">MONITORING!$I$6:$L$20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8" i="1" l="1"/>
  <c r="N234" i="1"/>
  <c r="N235" i="1"/>
  <c r="N236" i="1"/>
  <c r="N237" i="1"/>
  <c r="N238" i="1"/>
  <c r="N239" i="1"/>
  <c r="N240" i="1"/>
  <c r="L234" i="1"/>
  <c r="L235" i="1"/>
  <c r="L236" i="1"/>
  <c r="L237" i="1"/>
  <c r="L238" i="1"/>
  <c r="L239" i="1"/>
  <c r="L240" i="1"/>
  <c r="K235" i="1"/>
  <c r="K236" i="1"/>
  <c r="K237" i="1"/>
  <c r="K238" i="1"/>
  <c r="K239" i="1"/>
  <c r="K240" i="1"/>
  <c r="J235" i="1"/>
  <c r="J236" i="1"/>
  <c r="J237" i="1"/>
  <c r="J238" i="1"/>
  <c r="J239" i="1"/>
  <c r="J240" i="1"/>
  <c r="H234" i="1"/>
  <c r="H235" i="1"/>
  <c r="H236" i="1"/>
  <c r="H237" i="1"/>
  <c r="H238" i="1"/>
  <c r="H239" i="1"/>
  <c r="H240" i="1"/>
  <c r="F234" i="1"/>
  <c r="F235" i="1"/>
  <c r="F236" i="1"/>
  <c r="F237" i="1"/>
  <c r="F238" i="1"/>
  <c r="F239" i="1"/>
  <c r="N225" i="1"/>
  <c r="N226" i="1"/>
  <c r="N227" i="1"/>
  <c r="N228" i="1"/>
  <c r="N229" i="1"/>
  <c r="L225" i="1"/>
  <c r="L226" i="1"/>
  <c r="L227" i="1"/>
  <c r="K225" i="1"/>
  <c r="J225" i="1"/>
  <c r="J226" i="1"/>
  <c r="H224" i="1"/>
  <c r="H225" i="1"/>
  <c r="H226" i="1"/>
  <c r="H227" i="1"/>
  <c r="F225" i="1"/>
  <c r="F226" i="1"/>
  <c r="N230" i="1"/>
  <c r="N231" i="1"/>
  <c r="N232" i="1"/>
  <c r="N233" i="1"/>
  <c r="L230" i="1"/>
  <c r="L231" i="1"/>
  <c r="L232" i="1"/>
  <c r="L233" i="1"/>
  <c r="K230" i="1"/>
  <c r="K231" i="1"/>
  <c r="K232" i="1"/>
  <c r="K233" i="1"/>
  <c r="K234" i="1"/>
  <c r="J230" i="1"/>
  <c r="J231" i="1"/>
  <c r="J232" i="1"/>
  <c r="J233" i="1"/>
  <c r="J234" i="1"/>
  <c r="H230" i="1"/>
  <c r="H231" i="1"/>
  <c r="H232" i="1"/>
  <c r="H233" i="1"/>
  <c r="F230" i="1"/>
  <c r="F231" i="1"/>
  <c r="F232" i="1"/>
  <c r="F233" i="1"/>
  <c r="N224" i="1"/>
  <c r="N223" i="1"/>
  <c r="L229" i="1"/>
  <c r="K229" i="1"/>
  <c r="J229" i="1"/>
  <c r="L228" i="1"/>
  <c r="K228" i="1"/>
  <c r="J228" i="1"/>
  <c r="K227" i="1"/>
  <c r="J227" i="1"/>
  <c r="K226" i="1"/>
  <c r="L224" i="1"/>
  <c r="K224" i="1"/>
  <c r="J224" i="1"/>
  <c r="H229" i="1"/>
  <c r="H228" i="1"/>
  <c r="F229" i="1"/>
  <c r="F228" i="1"/>
  <c r="F227" i="1"/>
  <c r="F224" i="1"/>
  <c r="H24" i="1"/>
  <c r="F209" i="1"/>
  <c r="F223" i="1"/>
  <c r="F222" i="1"/>
  <c r="F221" i="1"/>
  <c r="F220" i="1"/>
  <c r="F219" i="1"/>
  <c r="F218" i="1"/>
  <c r="F217" i="1"/>
  <c r="F216" i="1"/>
  <c r="F215" i="1"/>
  <c r="F214" i="1"/>
  <c r="F213" i="1"/>
  <c r="J223" i="1"/>
  <c r="K223" i="1"/>
  <c r="L223" i="1"/>
  <c r="H223" i="1"/>
  <c r="L222" i="1"/>
  <c r="K222" i="1"/>
  <c r="J222" i="1"/>
  <c r="H222" i="1"/>
  <c r="N222" i="1"/>
  <c r="N221" i="1"/>
  <c r="L221" i="1"/>
  <c r="K221" i="1"/>
  <c r="J221" i="1"/>
  <c r="H221" i="1"/>
  <c r="N220" i="1"/>
  <c r="N219" i="1"/>
  <c r="N218" i="1"/>
  <c r="N217" i="1"/>
  <c r="N216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H220" i="1"/>
  <c r="H219" i="1"/>
  <c r="H218" i="1"/>
  <c r="H217" i="1"/>
  <c r="H216" i="1"/>
  <c r="H215" i="1"/>
  <c r="N215" i="1"/>
  <c r="L220" i="1"/>
  <c r="K220" i="1"/>
  <c r="J220" i="1"/>
  <c r="J215" i="1"/>
  <c r="K215" i="1"/>
  <c r="L215" i="1"/>
  <c r="N214" i="1"/>
  <c r="N213" i="1"/>
  <c r="N212" i="1"/>
  <c r="H214" i="1"/>
  <c r="H213" i="1"/>
  <c r="H212" i="1"/>
  <c r="F212" i="1"/>
  <c r="N211" i="1"/>
  <c r="H211" i="1"/>
  <c r="H210" i="1"/>
  <c r="N210" i="1"/>
  <c r="N209" i="1"/>
  <c r="F207" i="1"/>
  <c r="F206" i="1"/>
  <c r="F205" i="1"/>
  <c r="F204" i="1"/>
  <c r="N208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12" i="1"/>
  <c r="K212" i="1"/>
  <c r="J212" i="1"/>
  <c r="H209" i="1"/>
  <c r="H208" i="1"/>
  <c r="H207" i="1"/>
  <c r="F211" i="1"/>
  <c r="F210" i="1"/>
  <c r="F208" i="1"/>
  <c r="N206" i="1"/>
  <c r="L214" i="1"/>
  <c r="K214" i="1"/>
  <c r="J214" i="1"/>
  <c r="L213" i="1"/>
  <c r="K213" i="1"/>
  <c r="J213" i="1"/>
  <c r="J206" i="1"/>
  <c r="K206" i="1"/>
  <c r="L206" i="1"/>
  <c r="H206" i="1"/>
  <c r="N205" i="1"/>
  <c r="H205" i="1"/>
  <c r="N207" i="1"/>
  <c r="N204" i="1"/>
  <c r="N203" i="1"/>
  <c r="N202" i="1"/>
  <c r="D200" i="1"/>
  <c r="N201" i="1"/>
  <c r="N200" i="1"/>
  <c r="N199" i="1"/>
  <c r="N198" i="1"/>
  <c r="N197" i="1"/>
  <c r="N196" i="1"/>
  <c r="N195" i="1"/>
  <c r="N194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H204" i="1"/>
  <c r="H203" i="1"/>
  <c r="H202" i="1"/>
  <c r="H201" i="1"/>
  <c r="H200" i="1"/>
  <c r="H199" i="1"/>
  <c r="H198" i="1"/>
  <c r="H197" i="1"/>
  <c r="H196" i="1"/>
  <c r="H195" i="1"/>
  <c r="F203" i="1"/>
  <c r="F202" i="1"/>
  <c r="F201" i="1"/>
  <c r="F200" i="1"/>
  <c r="F199" i="1"/>
  <c r="F198" i="1"/>
  <c r="F197" i="1"/>
  <c r="F196" i="1"/>
  <c r="F195" i="1"/>
  <c r="F194" i="1"/>
  <c r="N193" i="1"/>
  <c r="L193" i="1"/>
  <c r="K193" i="1"/>
  <c r="J193" i="1"/>
  <c r="D193" i="1"/>
  <c r="D5" i="1" s="1"/>
  <c r="H192" i="1"/>
  <c r="H191" i="1"/>
  <c r="H190" i="1"/>
  <c r="N192" i="1"/>
  <c r="L192" i="1"/>
  <c r="K192" i="1"/>
  <c r="J192" i="1"/>
  <c r="L191" i="1"/>
  <c r="K191" i="1"/>
  <c r="J191" i="1"/>
  <c r="K190" i="1"/>
  <c r="L190" i="1"/>
  <c r="J190" i="1"/>
  <c r="N190" i="1"/>
  <c r="N191" i="1"/>
  <c r="N189" i="1"/>
  <c r="N188" i="1"/>
  <c r="N187" i="1"/>
  <c r="N186" i="1"/>
  <c r="N185" i="1"/>
  <c r="N184" i="1"/>
  <c r="N183" i="1"/>
  <c r="N182" i="1"/>
  <c r="N181" i="1"/>
  <c r="N18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H194" i="1"/>
  <c r="H193" i="1"/>
  <c r="H189" i="1"/>
  <c r="H188" i="1"/>
  <c r="H187" i="1"/>
  <c r="H186" i="1"/>
  <c r="H185" i="1"/>
  <c r="H184" i="1"/>
  <c r="H183" i="1"/>
  <c r="H182" i="1"/>
  <c r="H181" i="1"/>
  <c r="H180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N179" i="1"/>
  <c r="H179" i="1"/>
  <c r="F179" i="1"/>
  <c r="N178" i="1"/>
  <c r="J178" i="1"/>
  <c r="H178" i="1"/>
  <c r="F178" i="1"/>
  <c r="N177" i="1"/>
  <c r="H177" i="1"/>
  <c r="N176" i="1"/>
  <c r="N175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J170" i="1"/>
  <c r="J171" i="1"/>
  <c r="J172" i="1"/>
  <c r="J173" i="1"/>
  <c r="J174" i="1"/>
  <c r="J175" i="1"/>
  <c r="J176" i="1"/>
  <c r="J177" i="1"/>
  <c r="J179" i="1"/>
  <c r="J180" i="1"/>
  <c r="K171" i="1"/>
  <c r="K172" i="1"/>
  <c r="K173" i="1"/>
  <c r="K174" i="1"/>
  <c r="K175" i="1"/>
  <c r="K176" i="1"/>
  <c r="K177" i="1"/>
  <c r="K178" i="1"/>
  <c r="K179" i="1"/>
  <c r="K180" i="1"/>
  <c r="H169" i="1"/>
  <c r="H170" i="1"/>
  <c r="H171" i="1"/>
  <c r="H172" i="1"/>
  <c r="H173" i="1"/>
  <c r="H174" i="1"/>
  <c r="H175" i="1"/>
  <c r="H176" i="1"/>
  <c r="F169" i="1"/>
  <c r="F170" i="1"/>
  <c r="F171" i="1"/>
  <c r="F172" i="1"/>
  <c r="F173" i="1"/>
  <c r="F174" i="1"/>
  <c r="F175" i="1"/>
  <c r="F176" i="1"/>
  <c r="F177" i="1"/>
  <c r="N167" i="1"/>
  <c r="N168" i="1"/>
  <c r="N169" i="1"/>
  <c r="N170" i="1"/>
  <c r="N171" i="1"/>
  <c r="N172" i="1"/>
  <c r="N173" i="1"/>
  <c r="N174" i="1"/>
  <c r="L164" i="1"/>
  <c r="L165" i="1"/>
  <c r="L166" i="1"/>
  <c r="L167" i="1"/>
  <c r="L168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J161" i="1"/>
  <c r="J162" i="1"/>
  <c r="J163" i="1"/>
  <c r="J164" i="1"/>
  <c r="J165" i="1"/>
  <c r="J166" i="1"/>
  <c r="J167" i="1"/>
  <c r="J168" i="1"/>
  <c r="J169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H153" i="1"/>
  <c r="H154" i="1"/>
  <c r="H155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J153" i="1"/>
  <c r="J154" i="1"/>
  <c r="J155" i="1"/>
  <c r="J156" i="1"/>
  <c r="J157" i="1"/>
  <c r="J158" i="1"/>
  <c r="J159" i="1"/>
  <c r="J160" i="1"/>
  <c r="H152" i="1"/>
  <c r="N151" i="1"/>
  <c r="N152" i="1"/>
  <c r="N153" i="1"/>
  <c r="N154" i="1"/>
  <c r="K149" i="1"/>
  <c r="K150" i="1"/>
  <c r="K151" i="1"/>
  <c r="K152" i="1"/>
  <c r="K153" i="1"/>
  <c r="F146" i="1"/>
  <c r="F147" i="1"/>
  <c r="F148" i="1"/>
  <c r="F149" i="1"/>
  <c r="F150" i="1"/>
  <c r="F151" i="1"/>
  <c r="F152" i="1"/>
  <c r="F153" i="1"/>
  <c r="F154" i="1"/>
  <c r="F155" i="1"/>
  <c r="N142" i="1"/>
  <c r="N143" i="1"/>
  <c r="N144" i="1"/>
  <c r="N145" i="1"/>
  <c r="N146" i="1"/>
  <c r="N147" i="1"/>
  <c r="N148" i="1"/>
  <c r="N149" i="1"/>
  <c r="N15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H142" i="1"/>
  <c r="H143" i="1"/>
  <c r="H144" i="1"/>
  <c r="H145" i="1"/>
  <c r="H146" i="1"/>
  <c r="H147" i="1"/>
  <c r="H148" i="1"/>
  <c r="H149" i="1"/>
  <c r="H150" i="1"/>
  <c r="H151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K140" i="1"/>
  <c r="K141" i="1"/>
  <c r="K142" i="1"/>
  <c r="K143" i="1"/>
  <c r="K144" i="1"/>
  <c r="K145" i="1"/>
  <c r="K146" i="1"/>
  <c r="K147" i="1"/>
  <c r="K148" i="1"/>
  <c r="F140" i="1"/>
  <c r="F141" i="1"/>
  <c r="F142" i="1"/>
  <c r="F143" i="1"/>
  <c r="F144" i="1"/>
  <c r="F145" i="1"/>
  <c r="N133" i="1"/>
  <c r="N134" i="1"/>
  <c r="N135" i="1"/>
  <c r="N136" i="1"/>
  <c r="N137" i="1"/>
  <c r="N138" i="1"/>
  <c r="N139" i="1"/>
  <c r="N140" i="1"/>
  <c r="N141" i="1"/>
  <c r="H135" i="1"/>
  <c r="H136" i="1"/>
  <c r="H137" i="1"/>
  <c r="H138" i="1"/>
  <c r="H139" i="1"/>
  <c r="H140" i="1"/>
  <c r="H141" i="1"/>
  <c r="J134" i="1"/>
  <c r="J135" i="1"/>
  <c r="J136" i="1"/>
  <c r="J137" i="1"/>
  <c r="J138" i="1"/>
  <c r="J139" i="1"/>
  <c r="J140" i="1"/>
  <c r="K133" i="1"/>
  <c r="K134" i="1"/>
  <c r="K135" i="1"/>
  <c r="K136" i="1"/>
  <c r="K137" i="1"/>
  <c r="K138" i="1"/>
  <c r="K139" i="1"/>
  <c r="F133" i="1"/>
  <c r="F134" i="1"/>
  <c r="F135" i="1"/>
  <c r="F136" i="1"/>
  <c r="F137" i="1"/>
  <c r="F138" i="1"/>
  <c r="F139" i="1"/>
  <c r="L131" i="1"/>
  <c r="L132" i="1"/>
  <c r="L133" i="1"/>
  <c r="L134" i="1"/>
  <c r="L135" i="1"/>
  <c r="L136" i="1"/>
  <c r="L137" i="1"/>
  <c r="L138" i="1"/>
  <c r="K128" i="1"/>
  <c r="K129" i="1"/>
  <c r="K130" i="1"/>
  <c r="K131" i="1"/>
  <c r="K132" i="1"/>
  <c r="H129" i="1"/>
  <c r="H130" i="1"/>
  <c r="H131" i="1"/>
  <c r="H132" i="1"/>
  <c r="H133" i="1"/>
  <c r="H134" i="1"/>
  <c r="N127" i="1"/>
  <c r="N128" i="1"/>
  <c r="N129" i="1"/>
  <c r="N130" i="1"/>
  <c r="N131" i="1"/>
  <c r="N132" i="1"/>
  <c r="J127" i="1"/>
  <c r="J128" i="1"/>
  <c r="J129" i="1"/>
  <c r="J130" i="1"/>
  <c r="J131" i="1"/>
  <c r="J132" i="1"/>
  <c r="J133" i="1"/>
  <c r="N123" i="1"/>
  <c r="N124" i="1"/>
  <c r="N125" i="1"/>
  <c r="N126" i="1"/>
  <c r="K125" i="1"/>
  <c r="K126" i="1"/>
  <c r="K127" i="1"/>
  <c r="K124" i="1"/>
  <c r="L124" i="1"/>
  <c r="L125" i="1"/>
  <c r="L126" i="1"/>
  <c r="L127" i="1"/>
  <c r="L128" i="1"/>
  <c r="L129" i="1"/>
  <c r="L130" i="1"/>
  <c r="H123" i="1"/>
  <c r="H124" i="1"/>
  <c r="H125" i="1"/>
  <c r="H126" i="1"/>
  <c r="H127" i="1"/>
  <c r="H128" i="1"/>
  <c r="F123" i="1"/>
  <c r="F124" i="1"/>
  <c r="F125" i="1"/>
  <c r="F126" i="1"/>
  <c r="F127" i="1"/>
  <c r="F128" i="1"/>
  <c r="F129" i="1"/>
  <c r="F130" i="1"/>
  <c r="F131" i="1"/>
  <c r="F132" i="1"/>
  <c r="J119" i="1"/>
  <c r="J120" i="1"/>
  <c r="J121" i="1"/>
  <c r="J122" i="1"/>
  <c r="J123" i="1"/>
  <c r="J124" i="1"/>
  <c r="J125" i="1"/>
  <c r="J126" i="1"/>
  <c r="J115" i="1"/>
  <c r="J116" i="1"/>
  <c r="J117" i="1"/>
  <c r="J118" i="1"/>
  <c r="N104" i="1"/>
  <c r="N105" i="1"/>
  <c r="N106" i="1"/>
  <c r="N107" i="1"/>
  <c r="H104" i="1"/>
  <c r="H105" i="1"/>
  <c r="H106" i="1"/>
  <c r="H107" i="1"/>
  <c r="H108" i="1"/>
  <c r="H109" i="1"/>
  <c r="H110" i="1"/>
  <c r="H103" i="1"/>
  <c r="H111" i="1"/>
  <c r="H112" i="1"/>
  <c r="H113" i="1"/>
  <c r="H114" i="1"/>
  <c r="H115" i="1"/>
  <c r="H116" i="1"/>
  <c r="H117" i="1"/>
  <c r="H118" i="1"/>
  <c r="F103" i="1"/>
  <c r="F104" i="1"/>
  <c r="F105" i="1"/>
  <c r="F106" i="1"/>
  <c r="F107" i="1"/>
  <c r="F108" i="1"/>
  <c r="F109" i="1"/>
  <c r="F110" i="1"/>
  <c r="F111" i="1"/>
  <c r="H79" i="1"/>
  <c r="F101" i="1"/>
  <c r="F100" i="1"/>
  <c r="F99" i="1"/>
  <c r="F98" i="1"/>
  <c r="F97" i="1"/>
  <c r="F96" i="1"/>
  <c r="F95" i="1"/>
  <c r="F94" i="1"/>
  <c r="J70" i="1" l="1"/>
  <c r="J69" i="1"/>
  <c r="J68" i="1"/>
  <c r="J67" i="1"/>
  <c r="J81" i="1"/>
  <c r="L81" i="1"/>
  <c r="H80" i="1"/>
  <c r="H81" i="1"/>
  <c r="F81" i="1"/>
  <c r="L65" i="1"/>
  <c r="H77" i="1"/>
  <c r="H78" i="1"/>
  <c r="L66" i="1"/>
  <c r="L68" i="1"/>
  <c r="L67" i="1"/>
  <c r="L69" i="1"/>
  <c r="L70" i="1"/>
  <c r="L71" i="1"/>
  <c r="L72" i="1"/>
  <c r="L73" i="1"/>
  <c r="L74" i="1"/>
  <c r="L75" i="1"/>
  <c r="L76" i="1"/>
  <c r="K68" i="1"/>
  <c r="K69" i="1"/>
  <c r="K70" i="1"/>
  <c r="K71" i="1"/>
  <c r="K72" i="1"/>
  <c r="H68" i="1"/>
  <c r="H69" i="1"/>
  <c r="H70" i="1"/>
  <c r="H71" i="1"/>
  <c r="H72" i="1"/>
  <c r="F68" i="1"/>
  <c r="F69" i="1"/>
  <c r="F70" i="1"/>
  <c r="F71" i="1"/>
  <c r="F72" i="1"/>
  <c r="F73" i="1"/>
  <c r="F74" i="1"/>
  <c r="J58" i="1"/>
  <c r="H32" i="1"/>
  <c r="H33" i="1"/>
  <c r="H34" i="1"/>
  <c r="H35" i="1"/>
  <c r="H36" i="1"/>
  <c r="H29" i="1"/>
  <c r="H30" i="1"/>
  <c r="H31" i="1"/>
  <c r="J26" i="1"/>
  <c r="H26" i="1"/>
  <c r="H27" i="1"/>
  <c r="H28" i="1"/>
  <c r="H25" i="1"/>
  <c r="H11" i="1"/>
  <c r="H19" i="1"/>
  <c r="H21" i="1"/>
  <c r="J12" i="1"/>
  <c r="H22" i="1"/>
  <c r="H20" i="1"/>
  <c r="H18" i="1"/>
  <c r="H17" i="1"/>
  <c r="H16" i="1"/>
  <c r="H15" i="1"/>
  <c r="H14" i="1"/>
  <c r="H13" i="1"/>
  <c r="H12" i="1"/>
  <c r="H10" i="1"/>
  <c r="H9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L25" i="1"/>
  <c r="K25" i="1"/>
  <c r="J25" i="1"/>
  <c r="L24" i="1"/>
  <c r="K24" i="1"/>
  <c r="J24" i="1"/>
  <c r="L11" i="1"/>
  <c r="K11" i="1"/>
  <c r="J11" i="1"/>
  <c r="L10" i="1"/>
  <c r="K10" i="1"/>
  <c r="J10" i="1"/>
  <c r="L9" i="1"/>
  <c r="K9" i="1"/>
  <c r="J9" i="1"/>
  <c r="J8" i="1"/>
  <c r="F122" i="1"/>
  <c r="F121" i="1"/>
  <c r="F120" i="1"/>
  <c r="F119" i="1"/>
  <c r="F118" i="1"/>
  <c r="F117" i="1"/>
  <c r="F116" i="1"/>
  <c r="F115" i="1"/>
  <c r="F114" i="1"/>
  <c r="F113" i="1"/>
  <c r="F112" i="1"/>
  <c r="J114" i="1"/>
  <c r="J113" i="1"/>
  <c r="J112" i="1"/>
  <c r="J111" i="1"/>
  <c r="H122" i="1"/>
  <c r="H121" i="1"/>
  <c r="H120" i="1"/>
  <c r="H119" i="1"/>
  <c r="L123" i="1"/>
  <c r="K123" i="1"/>
  <c r="L122" i="1"/>
  <c r="K122" i="1"/>
  <c r="L121" i="1"/>
  <c r="K121" i="1"/>
  <c r="L120" i="1"/>
  <c r="K120" i="1"/>
  <c r="L119" i="1"/>
  <c r="K119" i="1"/>
  <c r="L118" i="1"/>
  <c r="L117" i="1"/>
  <c r="K117" i="1"/>
  <c r="L116" i="1"/>
  <c r="K116" i="1"/>
  <c r="L115" i="1"/>
  <c r="K115" i="1"/>
  <c r="N122" i="1"/>
  <c r="N121" i="1"/>
  <c r="N120" i="1"/>
  <c r="N119" i="1"/>
  <c r="N118" i="1"/>
  <c r="N117" i="1"/>
  <c r="N116" i="1"/>
  <c r="H8" i="1" l="1"/>
  <c r="N115" i="1"/>
  <c r="N101" i="1"/>
  <c r="N102" i="1"/>
  <c r="N103" i="1"/>
  <c r="N108" i="1"/>
  <c r="N109" i="1"/>
  <c r="N110" i="1"/>
  <c r="N111" i="1"/>
  <c r="N112" i="1"/>
  <c r="N113" i="1"/>
  <c r="N114" i="1"/>
  <c r="P125" i="9"/>
  <c r="P123" i="9"/>
  <c r="P121" i="9"/>
  <c r="P119" i="9"/>
  <c r="P117" i="9"/>
  <c r="P114" i="9"/>
  <c r="P113" i="9"/>
  <c r="P104" i="9"/>
  <c r="P101" i="9"/>
  <c r="P99" i="9"/>
  <c r="P94" i="9"/>
  <c r="P92" i="9"/>
  <c r="P90" i="9"/>
  <c r="P86" i="9"/>
  <c r="P84" i="9"/>
  <c r="P82" i="9"/>
  <c r="P81" i="9"/>
  <c r="P80" i="9"/>
  <c r="P79" i="9"/>
  <c r="P78" i="9"/>
  <c r="P76" i="9"/>
  <c r="P74" i="9"/>
  <c r="P72" i="9"/>
  <c r="P68" i="9"/>
  <c r="P66" i="9"/>
  <c r="P64" i="9"/>
  <c r="P60" i="9"/>
  <c r="O60" i="9"/>
  <c r="P58" i="9"/>
  <c r="P57" i="9"/>
  <c r="P55" i="9"/>
  <c r="P54" i="9"/>
  <c r="P53" i="9"/>
  <c r="P49" i="9"/>
  <c r="P39" i="9"/>
  <c r="P40" i="9"/>
  <c r="P41" i="9"/>
  <c r="P42" i="9"/>
  <c r="P43" i="9"/>
  <c r="P44" i="9"/>
  <c r="P45" i="9"/>
  <c r="P46" i="9"/>
  <c r="P38" i="9"/>
  <c r="P27" i="9"/>
  <c r="P28" i="9"/>
  <c r="P29" i="9"/>
  <c r="P30" i="9"/>
  <c r="P31" i="9"/>
  <c r="P32" i="9"/>
  <c r="P33" i="9"/>
  <c r="P34" i="9"/>
  <c r="P35" i="9"/>
  <c r="P26" i="9"/>
  <c r="P23" i="9"/>
  <c r="P22" i="9"/>
  <c r="P11" i="9"/>
  <c r="P9" i="9"/>
  <c r="P7" i="9"/>
  <c r="P6" i="9"/>
  <c r="O46" i="9"/>
  <c r="O45" i="9"/>
  <c r="O44" i="9"/>
  <c r="O43" i="9"/>
  <c r="O42" i="9"/>
  <c r="O41" i="9"/>
  <c r="O86" i="9"/>
  <c r="O125" i="9"/>
  <c r="O123" i="9"/>
  <c r="O121" i="9"/>
  <c r="O119" i="9"/>
  <c r="O117" i="9"/>
  <c r="O114" i="9"/>
  <c r="O113" i="9"/>
  <c r="O104" i="9"/>
  <c r="O101" i="9"/>
  <c r="O99" i="9"/>
  <c r="O94" i="9"/>
  <c r="O92" i="9"/>
  <c r="O90" i="9"/>
  <c r="O84" i="9"/>
  <c r="O82" i="9"/>
  <c r="O81" i="9"/>
  <c r="O80" i="9"/>
  <c r="O79" i="9"/>
  <c r="O78" i="9"/>
  <c r="O76" i="9"/>
  <c r="O74" i="9"/>
  <c r="O72" i="9"/>
  <c r="O68" i="9"/>
  <c r="O66" i="9"/>
  <c r="O64" i="9"/>
  <c r="O58" i="9"/>
  <c r="O57" i="9"/>
  <c r="O55" i="9"/>
  <c r="O53" i="9"/>
  <c r="O54" i="9"/>
  <c r="O40" i="9"/>
  <c r="O39" i="9"/>
  <c r="O38" i="9"/>
  <c r="O35" i="9"/>
  <c r="O34" i="9"/>
  <c r="O33" i="9"/>
  <c r="O32" i="9"/>
  <c r="O31" i="9"/>
  <c r="O30" i="9"/>
  <c r="O29" i="9"/>
  <c r="O28" i="9"/>
  <c r="O27" i="9"/>
  <c r="O26" i="9"/>
  <c r="O23" i="9"/>
  <c r="O22" i="9"/>
  <c r="O18" i="9"/>
  <c r="O16" i="9"/>
  <c r="O15" i="9"/>
  <c r="O14" i="9"/>
  <c r="O13" i="9"/>
  <c r="O11" i="9"/>
  <c r="O9" i="9"/>
  <c r="O7" i="9"/>
  <c r="O6" i="9"/>
  <c r="F102" i="1"/>
  <c r="F93" i="1"/>
  <c r="F92" i="1"/>
  <c r="F91" i="1"/>
  <c r="F90" i="1"/>
  <c r="F89" i="1"/>
  <c r="F88" i="1"/>
  <c r="F87" i="1"/>
  <c r="F86" i="1"/>
  <c r="F85" i="1"/>
  <c r="F84" i="1"/>
  <c r="F83" i="1"/>
  <c r="F82" i="1"/>
  <c r="F80" i="1"/>
  <c r="F79" i="1"/>
  <c r="F78" i="1"/>
  <c r="F77" i="1"/>
  <c r="F76" i="1"/>
  <c r="F75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8" i="1"/>
  <c r="H23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73" i="1"/>
  <c r="H74" i="1"/>
  <c r="H75" i="1"/>
  <c r="H76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L114" i="1"/>
  <c r="K114" i="1"/>
  <c r="L113" i="1"/>
  <c r="K113" i="1"/>
  <c r="L112" i="1"/>
  <c r="K112" i="1"/>
  <c r="L111" i="1"/>
  <c r="K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L82" i="1"/>
  <c r="K82" i="1"/>
  <c r="J82" i="1"/>
  <c r="L80" i="1"/>
  <c r="K80" i="1"/>
  <c r="J80" i="1"/>
  <c r="L79" i="1"/>
  <c r="K79" i="1"/>
  <c r="J79" i="1"/>
  <c r="L78" i="1"/>
  <c r="K78" i="1"/>
  <c r="J78" i="1"/>
  <c r="L77" i="1"/>
  <c r="K77" i="1"/>
  <c r="J77" i="1"/>
  <c r="K76" i="1"/>
  <c r="J76" i="1"/>
  <c r="K75" i="1"/>
  <c r="J75" i="1"/>
  <c r="K74" i="1"/>
  <c r="J74" i="1"/>
  <c r="K73" i="1"/>
  <c r="J73" i="1"/>
  <c r="J72" i="1"/>
  <c r="J71" i="1"/>
  <c r="K67" i="1"/>
  <c r="K66" i="1"/>
  <c r="J66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8" i="1"/>
  <c r="K8" i="1"/>
  <c r="N81" i="1" l="1"/>
  <c r="N78" i="1"/>
  <c r="N68" i="1"/>
  <c r="N69" i="1"/>
  <c r="N70" i="1"/>
  <c r="N71" i="1"/>
  <c r="N72" i="1"/>
  <c r="N73" i="1"/>
  <c r="N74" i="1"/>
  <c r="N75" i="1"/>
  <c r="N76" i="1"/>
  <c r="N77" i="1"/>
  <c r="N79" i="1"/>
  <c r="N80" i="1"/>
  <c r="N82" i="1"/>
  <c r="N83" i="1"/>
  <c r="N53" i="1"/>
  <c r="N39" i="1"/>
  <c r="N40" i="1"/>
  <c r="N41" i="1"/>
  <c r="N42" i="1"/>
  <c r="N13" i="1"/>
  <c r="N15" i="1"/>
  <c r="N11" i="1"/>
  <c r="N27" i="1"/>
  <c r="N26" i="1"/>
  <c r="N25" i="1"/>
  <c r="N24" i="1"/>
  <c r="N23" i="1"/>
  <c r="N22" i="1"/>
  <c r="N21" i="1"/>
  <c r="N20" i="1"/>
  <c r="N19" i="1"/>
  <c r="N18" i="1"/>
  <c r="N17" i="1"/>
  <c r="N16" i="1"/>
  <c r="N14" i="1"/>
  <c r="N12" i="1"/>
  <c r="N10" i="1"/>
  <c r="N9" i="1"/>
  <c r="N28" i="1"/>
  <c r="N29" i="1"/>
  <c r="N30" i="1"/>
  <c r="N31" i="1"/>
  <c r="N32" i="1"/>
  <c r="N33" i="1"/>
  <c r="N34" i="1"/>
  <c r="N35" i="1"/>
  <c r="N36" i="1"/>
  <c r="N37" i="1"/>
  <c r="N38" i="1"/>
  <c r="N43" i="1"/>
  <c r="N44" i="1"/>
  <c r="N45" i="1"/>
  <c r="N46" i="1"/>
  <c r="N47" i="1"/>
  <c r="N48" i="1"/>
  <c r="N49" i="1"/>
  <c r="N50" i="1"/>
  <c r="N51" i="1"/>
  <c r="N52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8" i="1"/>
</calcChain>
</file>

<file path=xl/sharedStrings.xml><?xml version="1.0" encoding="utf-8"?>
<sst xmlns="http://schemas.openxmlformats.org/spreadsheetml/2006/main" count="4578" uniqueCount="1640">
  <si>
    <t>MONITORING SHEET FOR MACHINERIES, INDUSTRIAL EQUIPMENT,  OTHER SERVICES</t>
  </si>
  <si>
    <t>Seven-Trent Machineries Industrial Equipment Trading</t>
  </si>
  <si>
    <t>Starting March 10, 2026</t>
  </si>
  <si>
    <t>DATE OF PAYMENT</t>
  </si>
  <si>
    <t>TR NO:</t>
  </si>
  <si>
    <t>AR No:</t>
  </si>
  <si>
    <t>AMOUNT COLLECTED</t>
  </si>
  <si>
    <t>JOURNAL ENTRY SECTION</t>
  </si>
  <si>
    <t>CUSTOMER DETAILS</t>
  </si>
  <si>
    <t>PRODUCT / SERVICES DETAIL</t>
  </si>
  <si>
    <t>SEGMENT</t>
  </si>
  <si>
    <t>DR NO. / SOA REF.</t>
  </si>
  <si>
    <t>DR DATE / SOA DATE</t>
  </si>
  <si>
    <t>DATE OF REVERSAL OF ENTRY / RECOGNITION OF INCOME</t>
  </si>
  <si>
    <t>CODE</t>
  </si>
  <si>
    <t>GENERAL LEDGER  (Dr.)</t>
  </si>
  <si>
    <t>COA</t>
  </si>
  <si>
    <t>GENERAL LEDGER COA (Cr.)</t>
  </si>
  <si>
    <t>CUSTOMER</t>
  </si>
  <si>
    <t>CONTACT PERSON</t>
  </si>
  <si>
    <t>ADDRESS</t>
  </si>
  <si>
    <t>PRODUCTS / SERVICES</t>
  </si>
  <si>
    <t>QTY</t>
  </si>
  <si>
    <t>BRAND / TYPE</t>
  </si>
  <si>
    <t>OTHER DESCRIPTION ( ELABORATE DETAILS )</t>
  </si>
  <si>
    <t>2026-921</t>
  </si>
  <si>
    <t>RCS</t>
  </si>
  <si>
    <t>Basagan</t>
  </si>
  <si>
    <t>REPLACEMENT OF RELAY &amp; CHECK-UP</t>
  </si>
  <si>
    <t>OPS</t>
  </si>
  <si>
    <t>NA</t>
  </si>
  <si>
    <t>PSS</t>
  </si>
  <si>
    <t>PAYMENT FOR LEAKED BUCKET</t>
  </si>
  <si>
    <t>2026-922</t>
  </si>
  <si>
    <t>Singaran</t>
  </si>
  <si>
    <t>RECALIBRATION</t>
  </si>
  <si>
    <t>2026-00108</t>
  </si>
  <si>
    <t>2026-923</t>
  </si>
  <si>
    <t>Lingasad</t>
  </si>
  <si>
    <t>1 BOX</t>
  </si>
  <si>
    <t>2T 200ML X 60</t>
  </si>
  <si>
    <t>FULL PAYMENT ON PURCHASED ITEM</t>
  </si>
  <si>
    <t>2026-031</t>
  </si>
  <si>
    <t>2026-924</t>
  </si>
  <si>
    <t>PNC</t>
  </si>
  <si>
    <t>OTHER CUSTOMER</t>
  </si>
  <si>
    <t>PAYMENT FOR CASH IN PNB TO GCASH - CHARGED AS MISCELLANEOUS EXPENSE UPON PAYMENT</t>
  </si>
  <si>
    <t>2026-925</t>
  </si>
  <si>
    <t>EWC</t>
  </si>
  <si>
    <t>CANCELLED TRANSACTION / CANCELLED ACKNOWLEDGMENT RECEIPT- ERROR ISSUANCE</t>
  </si>
  <si>
    <t>2026-926</t>
  </si>
  <si>
    <t>MBC</t>
  </si>
  <si>
    <t>CNR</t>
  </si>
  <si>
    <t>SALARY LOAN</t>
  </si>
  <si>
    <t>2026-927</t>
  </si>
  <si>
    <t>2026-928</t>
  </si>
  <si>
    <t>STPC-San Pedro</t>
  </si>
  <si>
    <t>COLLECTION OF RECEIVABLES - PAYMENT FOR VARIOUS EXPENSES FOR MAY 1-31, 2025</t>
  </si>
  <si>
    <t>2026-929</t>
  </si>
  <si>
    <t>RECOGNIZED SHORT TERM LOAN</t>
  </si>
  <si>
    <t>2026-930</t>
  </si>
  <si>
    <t>TM-CALAMBA</t>
  </si>
  <si>
    <t xml:space="preserve">DOWNPAYMENT FOR 5 KL TSRO STP MACHINE </t>
  </si>
  <si>
    <t>2026-931</t>
  </si>
  <si>
    <t>PAYMENT FOR NOZZLE JACKET</t>
  </si>
  <si>
    <t>2026-932</t>
  </si>
  <si>
    <t>TAMARAW AMORTIZATION</t>
  </si>
  <si>
    <t>2026-933</t>
  </si>
  <si>
    <t>Dansulyan-Awa</t>
  </si>
  <si>
    <t>DEOMAX 15W-40 OIL</t>
  </si>
  <si>
    <t>2026-037</t>
  </si>
  <si>
    <t>2026-934</t>
  </si>
  <si>
    <t>PAYMENT FOR BIR DOCUMENTATION TAX STAMP</t>
  </si>
  <si>
    <t>2026-935</t>
  </si>
  <si>
    <t>FVC</t>
  </si>
  <si>
    <t>Suertes-Guitran</t>
  </si>
  <si>
    <t>COC PROCESSING</t>
  </si>
  <si>
    <t>2026-936</t>
  </si>
  <si>
    <t>MUTIA-OROQUIETA</t>
  </si>
  <si>
    <t>CALIBRATION BUCKET</t>
  </si>
  <si>
    <t>2026-00107</t>
  </si>
  <si>
    <t>2026-937</t>
  </si>
  <si>
    <t>Villaflor Oroquieta</t>
  </si>
  <si>
    <t>ADDITIONAL PAYMENT (PROMO PRICE ON MACHINE)</t>
  </si>
  <si>
    <t>2026-0009</t>
  </si>
  <si>
    <t>4/7/2026</t>
  </si>
  <si>
    <t>2026-938</t>
  </si>
  <si>
    <t>Binoni</t>
  </si>
  <si>
    <t>2026-0036</t>
  </si>
  <si>
    <t>3/26/2026</t>
  </si>
  <si>
    <t>2026-939</t>
  </si>
  <si>
    <t>FULL PAYMENT ON 5 KL MACHINE (PROMO PRICE)</t>
  </si>
  <si>
    <t>2026-940</t>
  </si>
  <si>
    <t>PSC</t>
  </si>
  <si>
    <t>2026-049</t>
  </si>
  <si>
    <t>04/01/2026</t>
  </si>
  <si>
    <t>2026-941</t>
  </si>
  <si>
    <t>Bayog buboan</t>
  </si>
  <si>
    <t>CALIBRATION</t>
  </si>
  <si>
    <t>2026-942</t>
  </si>
  <si>
    <t>Liba Bayog</t>
  </si>
  <si>
    <t>2026-943</t>
  </si>
  <si>
    <t>Bayog Bulilit</t>
  </si>
  <si>
    <t>2026-944</t>
  </si>
  <si>
    <t>Dipili Bayog</t>
  </si>
  <si>
    <t>2026-945</t>
  </si>
  <si>
    <t>Villahermosa</t>
  </si>
  <si>
    <t>2 BOXES</t>
  </si>
  <si>
    <t>2026-045</t>
  </si>
  <si>
    <t>04/06/2026</t>
  </si>
  <si>
    <t>2026-946</t>
  </si>
  <si>
    <t>Paruk Siay</t>
  </si>
  <si>
    <t>04/07/2026</t>
  </si>
  <si>
    <t>2026-947</t>
  </si>
  <si>
    <t>SHORT TERM LOAN</t>
  </si>
  <si>
    <t>2026-948</t>
  </si>
  <si>
    <t>E.TAN</t>
  </si>
  <si>
    <t>FUEL ASSISTANCE INCOME</t>
  </si>
  <si>
    <t>04/08/2026</t>
  </si>
  <si>
    <t>2026-949</t>
  </si>
  <si>
    <t>SHIPPING PARTICIPATION</t>
  </si>
  <si>
    <t>2026-950</t>
  </si>
  <si>
    <t>DMIE</t>
  </si>
  <si>
    <t>04/09/2026</t>
  </si>
  <si>
    <t>2026-951</t>
  </si>
  <si>
    <t xml:space="preserve">CALAMBA </t>
  </si>
  <si>
    <t>1/2 BOX</t>
  </si>
  <si>
    <t>2T 1L X 24</t>
  </si>
  <si>
    <t>2026-046</t>
  </si>
  <si>
    <t>4/10/2026</t>
  </si>
  <si>
    <t>04/11/2026</t>
  </si>
  <si>
    <t>2026-952</t>
  </si>
  <si>
    <t>New Sicayab</t>
  </si>
  <si>
    <t>04/13/2026</t>
  </si>
  <si>
    <t>2026-953</t>
  </si>
  <si>
    <t>CALIBRATION; DISPENSE RELOCATION</t>
  </si>
  <si>
    <t>2026-954</t>
  </si>
  <si>
    <t>Balamban Mahayag</t>
  </si>
  <si>
    <t>FULL PAYMENT ON TRANSFER PUMP (INSTALLMENT)</t>
  </si>
  <si>
    <t>2026-955</t>
  </si>
  <si>
    <t>Dumingag Bulilit</t>
  </si>
  <si>
    <t>BRAKE FLUID 300ML</t>
  </si>
  <si>
    <t>2026-047</t>
  </si>
  <si>
    <t>GEO SUPREME 1L X 12</t>
  </si>
  <si>
    <t>COOLANT 1L X 12</t>
  </si>
  <si>
    <t>2026-956</t>
  </si>
  <si>
    <t>Balagon Siay</t>
  </si>
  <si>
    <t>04/14/2026</t>
  </si>
  <si>
    <t>2026-957</t>
  </si>
  <si>
    <t>Mucas</t>
  </si>
  <si>
    <t>1 PC</t>
  </si>
  <si>
    <t>04/15/2026</t>
  </si>
  <si>
    <t>2026-958</t>
  </si>
  <si>
    <t>Lower Landing</t>
  </si>
  <si>
    <t>2026-959</t>
  </si>
  <si>
    <t>Valencia</t>
  </si>
  <si>
    <t>04/16/2026</t>
  </si>
  <si>
    <t>2026-960</t>
  </si>
  <si>
    <t>Del Pilar</t>
  </si>
  <si>
    <t>2026-00106</t>
  </si>
  <si>
    <t>2026-961</t>
  </si>
  <si>
    <t>Madalag</t>
  </si>
  <si>
    <t>04/17/2026</t>
  </si>
  <si>
    <t>2026-962</t>
  </si>
  <si>
    <t>Dicayo</t>
  </si>
  <si>
    <t>CALIBRATION BUCKET WITH CERTIFICATE</t>
  </si>
  <si>
    <t>04/20/2026</t>
  </si>
  <si>
    <t>2026-963</t>
  </si>
  <si>
    <t>Siari</t>
  </si>
  <si>
    <t>04/21/2026</t>
  </si>
  <si>
    <t>2026-964</t>
  </si>
  <si>
    <t>Gampis</t>
  </si>
  <si>
    <t>04/23/2026</t>
  </si>
  <si>
    <t>2026-965</t>
  </si>
  <si>
    <t>Dona Josefa</t>
  </si>
  <si>
    <t>1 SET</t>
  </si>
  <si>
    <t>STICKER</t>
  </si>
  <si>
    <t>2026-966</t>
  </si>
  <si>
    <t>KELLY HUNG</t>
  </si>
  <si>
    <t>8 AGT EIGHT STP PORTABLE FUEL DISPENSER</t>
  </si>
  <si>
    <t>#0007</t>
  </si>
  <si>
    <t>N/A</t>
  </si>
  <si>
    <t>2026-967</t>
  </si>
  <si>
    <t>Compra Liloy</t>
  </si>
  <si>
    <t>CALIBRATION 3 PUMPS (500 EACH); LABOR &amp; TRANSPORTATION</t>
  </si>
  <si>
    <t>04/24/2026</t>
  </si>
  <si>
    <t>2026-968</t>
  </si>
  <si>
    <t>Ilaya</t>
  </si>
  <si>
    <t>04/25/2026</t>
  </si>
  <si>
    <t>2026-969</t>
  </si>
  <si>
    <t>VIZPA-BARCELONA</t>
  </si>
  <si>
    <t xml:space="preserve">MISCELLANEOUS INCOME -OTHER REPAIRS </t>
  </si>
  <si>
    <t>04/28/2026</t>
  </si>
  <si>
    <t>2026-970</t>
  </si>
  <si>
    <t>2026-971</t>
  </si>
  <si>
    <t>Palandok</t>
  </si>
  <si>
    <t>04/30/2026</t>
  </si>
  <si>
    <t>2026-972</t>
  </si>
  <si>
    <t>2026-973</t>
  </si>
  <si>
    <t>CBS</t>
  </si>
  <si>
    <t>Palandok BULILIT</t>
  </si>
  <si>
    <t>50 % COC PROCESSING FEE</t>
  </si>
  <si>
    <t>2026-974</t>
  </si>
  <si>
    <t>Caracol Salug</t>
  </si>
  <si>
    <t>2026-975</t>
  </si>
  <si>
    <t>05/04/2026</t>
  </si>
  <si>
    <t>2026-976</t>
  </si>
  <si>
    <t>SAPANGDALAGA</t>
  </si>
  <si>
    <t>FULL PAYMENT ON PURCHASED ITEM - 5KL MACHINE</t>
  </si>
  <si>
    <t>#000008</t>
  </si>
  <si>
    <t>2026-977</t>
  </si>
  <si>
    <t>KBS</t>
  </si>
  <si>
    <t>Bajo Oroqueita</t>
  </si>
  <si>
    <t>2026-978</t>
  </si>
  <si>
    <t>2026-979</t>
  </si>
  <si>
    <t>Villaflor-Len</t>
  </si>
  <si>
    <t>2026-980</t>
  </si>
  <si>
    <t>2026-981</t>
  </si>
  <si>
    <t>2026-982</t>
  </si>
  <si>
    <t>Maralag</t>
  </si>
  <si>
    <t>2026-983</t>
  </si>
  <si>
    <t>San Antonio Titay</t>
  </si>
  <si>
    <t>03/26/2026</t>
  </si>
  <si>
    <t>2026-984</t>
  </si>
  <si>
    <t>Tamil Jrm</t>
  </si>
  <si>
    <t>TANKER RELATED REPAIRS AND CONSTRUCTION</t>
  </si>
  <si>
    <t>2026-985</t>
  </si>
  <si>
    <t>Napo Dapitan</t>
  </si>
  <si>
    <t>05/07/2026</t>
  </si>
  <si>
    <t>2026-986</t>
  </si>
  <si>
    <t>San Pablo Sur</t>
  </si>
  <si>
    <t>05/09/2026</t>
  </si>
  <si>
    <t>2026-987</t>
  </si>
  <si>
    <t>1  PC</t>
  </si>
  <si>
    <t>2026-00104</t>
  </si>
  <si>
    <t>2026-988</t>
  </si>
  <si>
    <t>Sinuyak</t>
  </si>
  <si>
    <t>FULL PAYMENT ON PURCHASED ITEM - NOZZLE</t>
  </si>
  <si>
    <t>2026-0049</t>
  </si>
  <si>
    <t>NOZZLE REPLACEMENT</t>
  </si>
  <si>
    <t>05/12/2026</t>
  </si>
  <si>
    <t>2026-989</t>
  </si>
  <si>
    <t>Mandih</t>
  </si>
  <si>
    <t>50 % COC PROCESSING FEE- LFRO</t>
  </si>
  <si>
    <t>2026-990</t>
  </si>
  <si>
    <t>San Pedro bulilit</t>
  </si>
  <si>
    <t>SEVEN-TRENT PETROLEUM CORP.</t>
  </si>
  <si>
    <t>PAYMENT FOR BILLING DTD 5/9/2026 - (FINANCIAL ASSISTANT TO THE BEREAVED FAMILY</t>
  </si>
  <si>
    <t>DHPP</t>
  </si>
  <si>
    <t>2026-991</t>
  </si>
  <si>
    <t>Timan</t>
  </si>
  <si>
    <t>05/13/2026</t>
  </si>
  <si>
    <t>2026-992</t>
  </si>
  <si>
    <t>Dampalan DAPITAN</t>
  </si>
  <si>
    <t>2026-00105</t>
  </si>
  <si>
    <t>2026-993</t>
  </si>
  <si>
    <t>Bato Plaridel</t>
  </si>
  <si>
    <t>PAYMENT FOR RELAY</t>
  </si>
  <si>
    <t>2026-053</t>
  </si>
  <si>
    <t>2026-994</t>
  </si>
  <si>
    <t>2026-995</t>
  </si>
  <si>
    <t>Lapuyan KLJ</t>
  </si>
  <si>
    <t>05/15/2026</t>
  </si>
  <si>
    <t>2026-996</t>
  </si>
  <si>
    <t>2026-054</t>
  </si>
  <si>
    <t>2026-997</t>
  </si>
  <si>
    <t xml:space="preserve">CARBON BRASS </t>
  </si>
  <si>
    <t>2026-052</t>
  </si>
  <si>
    <t>2026-998</t>
  </si>
  <si>
    <t>Sitio Sapa Indian</t>
  </si>
  <si>
    <t>2026-999</t>
  </si>
  <si>
    <t xml:space="preserve">FULL PAYMENT ON COC PROCESSING </t>
  </si>
  <si>
    <t>2026-1000</t>
  </si>
  <si>
    <t>BNC</t>
  </si>
  <si>
    <t>Malintubuan (Bustillos)</t>
  </si>
  <si>
    <t>2026-1001</t>
  </si>
  <si>
    <t>2026-1002</t>
  </si>
  <si>
    <t>4 BOXES</t>
  </si>
  <si>
    <t xml:space="preserve">2T 200ML X 60 </t>
  </si>
  <si>
    <t>FULL PAYMENT ON PURCHASED ITEM - 2T 200 ML X 60</t>
  </si>
  <si>
    <t>2026-0050</t>
  </si>
  <si>
    <t>2026-1003</t>
  </si>
  <si>
    <t>SHORT TERM LOAN; ADDITIONAL PAYMENT ON 8 PCS.  MS PLATE (SOMINOT)</t>
  </si>
  <si>
    <t>05/06/2026</t>
  </si>
  <si>
    <t>2026-1004</t>
  </si>
  <si>
    <t>05/21/2026</t>
  </si>
  <si>
    <t>2026-1005</t>
  </si>
  <si>
    <t>05/22/2026</t>
  </si>
  <si>
    <t>2026-1006</t>
  </si>
  <si>
    <t xml:space="preserve">FULL PAYMENT ON PURCHASED ITEM-SEA OIL </t>
  </si>
  <si>
    <t>2026-081</t>
  </si>
  <si>
    <t>05/23/2026</t>
  </si>
  <si>
    <t>2026-1007</t>
  </si>
  <si>
    <t>RELAY REPLACEMENT</t>
  </si>
  <si>
    <t>05/26/2026</t>
  </si>
  <si>
    <t>2026-1008</t>
  </si>
  <si>
    <t xml:space="preserve">PAYMENT FOR COMPRESSOR </t>
  </si>
  <si>
    <t>05/29/2026</t>
  </si>
  <si>
    <t>2026-1009</t>
  </si>
  <si>
    <t>DJ-GALAS</t>
  </si>
  <si>
    <t>2026-00102</t>
  </si>
  <si>
    <t>05/30/2026</t>
  </si>
  <si>
    <t>2026-1010</t>
  </si>
  <si>
    <t>RELAY</t>
  </si>
  <si>
    <t>2026-0083</t>
  </si>
  <si>
    <t>2026-1011</t>
  </si>
  <si>
    <t>03/9/2026</t>
  </si>
  <si>
    <t>2026-1012</t>
  </si>
  <si>
    <t>2026-1013</t>
  </si>
  <si>
    <t>05/31/2026</t>
  </si>
  <si>
    <t>2026-1014</t>
  </si>
  <si>
    <t>FULL PAYMENT ON TANKER</t>
  </si>
  <si>
    <t>06/1/2026</t>
  </si>
  <si>
    <t>2026-1015</t>
  </si>
  <si>
    <t>06/2/2026</t>
  </si>
  <si>
    <t>2026-1016</t>
  </si>
  <si>
    <t>SHORT TERM LOAN- FUEL</t>
  </si>
  <si>
    <t>2026-1017</t>
  </si>
  <si>
    <t>Pangalalan</t>
  </si>
  <si>
    <t>06/3/2026</t>
  </si>
  <si>
    <t>2026-1018</t>
  </si>
  <si>
    <t>2026-079</t>
  </si>
  <si>
    <t>2026-1019</t>
  </si>
  <si>
    <t>100 % COC PROCESSING FEE</t>
  </si>
  <si>
    <t>2026-1020</t>
  </si>
  <si>
    <t>REGISTRATION FEE FOR FORUM</t>
  </si>
  <si>
    <t>06/4/2026</t>
  </si>
  <si>
    <t>2026-1021</t>
  </si>
  <si>
    <t>2026-1022</t>
  </si>
  <si>
    <t>2026-1023</t>
  </si>
  <si>
    <t>San Pablo BL</t>
  </si>
  <si>
    <t>2026-1024</t>
  </si>
  <si>
    <t>MBB Siayan</t>
  </si>
  <si>
    <t>06/04/2026</t>
  </si>
  <si>
    <t>2026-1025</t>
  </si>
  <si>
    <t>Motibot</t>
  </si>
  <si>
    <t>06/05/2026</t>
  </si>
  <si>
    <t>2026-1026</t>
  </si>
  <si>
    <t>2026-1027</t>
  </si>
  <si>
    <t>2026-1028</t>
  </si>
  <si>
    <t>2026-1029</t>
  </si>
  <si>
    <t>2026-1030</t>
  </si>
  <si>
    <t>Dohinob-Madasigon STP</t>
  </si>
  <si>
    <t>2026-1031</t>
  </si>
  <si>
    <t>Aseniero</t>
  </si>
  <si>
    <t>JOB ORDER</t>
  </si>
  <si>
    <t>2026-1032</t>
  </si>
  <si>
    <t>2026-1033</t>
  </si>
  <si>
    <t>Bacong bulilit</t>
  </si>
  <si>
    <t>2026-1034</t>
  </si>
  <si>
    <t>PNP-ZAMBOANGA</t>
  </si>
  <si>
    <t>2026-1035</t>
  </si>
  <si>
    <t>2026-1036</t>
  </si>
  <si>
    <t>2026-1037</t>
  </si>
  <si>
    <t>2026-1038</t>
  </si>
  <si>
    <t>2026-1039</t>
  </si>
  <si>
    <t>2026-1040</t>
  </si>
  <si>
    <t>2026-1041</t>
  </si>
  <si>
    <t>2026-1042</t>
  </si>
  <si>
    <t xml:space="preserve">Bogabongan </t>
  </si>
  <si>
    <t>2026-1043</t>
  </si>
  <si>
    <t>2026-1044</t>
  </si>
  <si>
    <t>Upper Inuman (bulilit)</t>
  </si>
  <si>
    <t>2026-1045</t>
  </si>
  <si>
    <t>06/06/2026</t>
  </si>
  <si>
    <t>2026-1046</t>
  </si>
  <si>
    <t>2026-1047</t>
  </si>
  <si>
    <t>Dansulyan</t>
  </si>
  <si>
    <t>2026-1048</t>
  </si>
  <si>
    <t>San Juan</t>
  </si>
  <si>
    <t>2026-1049</t>
  </si>
  <si>
    <t>2026-1050</t>
  </si>
  <si>
    <t>Tabon</t>
  </si>
  <si>
    <t>2026-1051</t>
  </si>
  <si>
    <t>2026-1052</t>
  </si>
  <si>
    <t>Cogon</t>
  </si>
  <si>
    <t>2026-1053</t>
  </si>
  <si>
    <t>2026-1054</t>
  </si>
  <si>
    <t>2026-1055</t>
  </si>
  <si>
    <t>Coloran Siay</t>
  </si>
  <si>
    <t>06/08/2026</t>
  </si>
  <si>
    <t>2026-1056</t>
  </si>
  <si>
    <t>Dinasan</t>
  </si>
  <si>
    <t>2026-1057</t>
  </si>
  <si>
    <t>2026-1058</t>
  </si>
  <si>
    <t>2026-1059</t>
  </si>
  <si>
    <t>Dinas Sur</t>
  </si>
  <si>
    <t>2026-1060</t>
  </si>
  <si>
    <t>Tipolo-Claritas</t>
  </si>
  <si>
    <t>2026-1061</t>
  </si>
  <si>
    <t>2026-1062</t>
  </si>
  <si>
    <t>Josefina Dlime</t>
  </si>
  <si>
    <t>2026-1063</t>
  </si>
  <si>
    <t>Dilawa</t>
  </si>
  <si>
    <t>06/09/2026</t>
  </si>
  <si>
    <t>2026-1064</t>
  </si>
  <si>
    <t>Calican</t>
  </si>
  <si>
    <t>2026-1065</t>
  </si>
  <si>
    <t xml:space="preserve">MP POWER </t>
  </si>
  <si>
    <t>06/10/2026</t>
  </si>
  <si>
    <t>2026-1066</t>
  </si>
  <si>
    <t>2026-1067</t>
  </si>
  <si>
    <t>2026-1068</t>
  </si>
  <si>
    <t>2026-1069</t>
  </si>
  <si>
    <t>Labakid</t>
  </si>
  <si>
    <t>2026-1070</t>
  </si>
  <si>
    <t>SARA-SALUG</t>
  </si>
  <si>
    <t>06/11/2026</t>
  </si>
  <si>
    <t>2026-1071</t>
  </si>
  <si>
    <t>ERMIE</t>
  </si>
  <si>
    <t>SALES FOR USED TIRES</t>
  </si>
  <si>
    <t>2026-1072</t>
  </si>
  <si>
    <t>2026-1073</t>
  </si>
  <si>
    <t>2026-1074</t>
  </si>
  <si>
    <t>DULOP</t>
  </si>
  <si>
    <t>2026-1075</t>
  </si>
  <si>
    <t>2026-1076</t>
  </si>
  <si>
    <t>2026-1077</t>
  </si>
  <si>
    <t>Josefina FT</t>
  </si>
  <si>
    <t>2026-1078</t>
  </si>
  <si>
    <t>2026-1079</t>
  </si>
  <si>
    <t>2026-1080</t>
  </si>
  <si>
    <t>Mandih Bulilit</t>
  </si>
  <si>
    <t>2026-1081</t>
  </si>
  <si>
    <t>NATIONAL</t>
  </si>
  <si>
    <t>2T NATIONAL 200 ML X 60  ( 2 BOXES )</t>
  </si>
  <si>
    <t>2026-0039</t>
  </si>
  <si>
    <t>SEA OIL</t>
  </si>
  <si>
    <t>4T MOTOR OIL 1L X 24 ( 2 BOXES )</t>
  </si>
  <si>
    <t>BRAKE FLUID 12 X 900 ML ( 2 BOXES )</t>
  </si>
  <si>
    <t>2T 1 LITER  ( 2 BOXES )</t>
  </si>
  <si>
    <t>2026-1082</t>
  </si>
  <si>
    <t>06/12/2026</t>
  </si>
  <si>
    <t>2026-1083</t>
  </si>
  <si>
    <t>ARC SIOCON</t>
  </si>
  <si>
    <t>2026-1084</t>
  </si>
  <si>
    <t>2026-1085</t>
  </si>
  <si>
    <t>2026-1086</t>
  </si>
  <si>
    <t>DIPAAN</t>
  </si>
  <si>
    <t>2026-1087</t>
  </si>
  <si>
    <t>Guitran</t>
  </si>
  <si>
    <t>2026-1088</t>
  </si>
  <si>
    <t>ISIS</t>
  </si>
  <si>
    <t>2026-1089</t>
  </si>
  <si>
    <t>BALUC-SINDANGAN</t>
  </si>
  <si>
    <t>2026-1090</t>
  </si>
  <si>
    <t>PUNTA</t>
  </si>
  <si>
    <t>2026-1091</t>
  </si>
  <si>
    <t>2026-1092</t>
  </si>
  <si>
    <t>REQUIRED STICKERS</t>
  </si>
  <si>
    <t>2026-1093</t>
  </si>
  <si>
    <t>GAUGING PASTE</t>
  </si>
  <si>
    <t>2 SETS</t>
  </si>
  <si>
    <t>0804</t>
  </si>
  <si>
    <t>2026-1094</t>
  </si>
  <si>
    <t>REQUIRED STICKERS+ EXCESS PAYMENT</t>
  </si>
  <si>
    <t>0805</t>
  </si>
  <si>
    <t>2026-1095</t>
  </si>
  <si>
    <t>6 PCS</t>
  </si>
  <si>
    <t>CARBON BRASS + ITEMS SOLD AND DELIVERED DURING FORUM</t>
  </si>
  <si>
    <t>0806</t>
  </si>
  <si>
    <t>2026-1096</t>
  </si>
  <si>
    <t>2 PCS</t>
  </si>
  <si>
    <t>T SHIRT</t>
  </si>
  <si>
    <t>0807</t>
  </si>
  <si>
    <t>2026-1097</t>
  </si>
  <si>
    <t>0808</t>
  </si>
  <si>
    <t>2026-1098</t>
  </si>
  <si>
    <t>REFUND FOR REGISTRATION FEE FOR FORUM</t>
  </si>
  <si>
    <t>0809</t>
  </si>
  <si>
    <t>2026-1099</t>
  </si>
  <si>
    <t>0810</t>
  </si>
  <si>
    <t>2026-1100</t>
  </si>
  <si>
    <t>0811</t>
  </si>
  <si>
    <t>2026-1101</t>
  </si>
  <si>
    <t>0812</t>
  </si>
  <si>
    <t>2026-1102</t>
  </si>
  <si>
    <t>4 SETS</t>
  </si>
  <si>
    <t>0813</t>
  </si>
  <si>
    <t>2026-1103</t>
  </si>
  <si>
    <t>0814</t>
  </si>
  <si>
    <t>2026-1104</t>
  </si>
  <si>
    <t>0815</t>
  </si>
  <si>
    <t>2026-1105</t>
  </si>
  <si>
    <t>0816</t>
  </si>
  <si>
    <t>2026-1106</t>
  </si>
  <si>
    <t>4 PCS</t>
  </si>
  <si>
    <t>TSHIRTS ( W A DISCOUNT OF 20 PESOS )  PURCHASED DURING FORUM</t>
  </si>
  <si>
    <t>THERMAL PAPER  PURCHASED  &amp; DELIVERED DURING FORUM</t>
  </si>
  <si>
    <t>0817</t>
  </si>
  <si>
    <t>2026-1107</t>
  </si>
  <si>
    <t>06/13/2026</t>
  </si>
  <si>
    <t>0818</t>
  </si>
  <si>
    <t>22026-1108</t>
  </si>
  <si>
    <t>50%  COC  DOWNPAYMENT PROCESSING FEE</t>
  </si>
  <si>
    <t>06/07/2026</t>
  </si>
  <si>
    <t>0819</t>
  </si>
  <si>
    <t>2026-1109</t>
  </si>
  <si>
    <t>1 PAX</t>
  </si>
  <si>
    <t>0820</t>
  </si>
  <si>
    <t>2026-1110</t>
  </si>
  <si>
    <t>ARC</t>
  </si>
  <si>
    <t>06/18/2026</t>
  </si>
  <si>
    <t>0821</t>
  </si>
  <si>
    <t>2026-1111</t>
  </si>
  <si>
    <t>BRYANT MILLING</t>
  </si>
  <si>
    <t>CALIBRATION BUCKET WITHOUT CERTIFICATE</t>
  </si>
  <si>
    <t>06/19/2026</t>
  </si>
  <si>
    <t>0822</t>
  </si>
  <si>
    <t>2026-1112</t>
  </si>
  <si>
    <t>OTHERS</t>
  </si>
  <si>
    <t>OTHERS SOURCES</t>
  </si>
  <si>
    <t>0823</t>
  </si>
  <si>
    <t>2026-1113</t>
  </si>
  <si>
    <t>0824</t>
  </si>
  <si>
    <t>2026-1114</t>
  </si>
  <si>
    <t>PNO</t>
  </si>
  <si>
    <t>RECEIVED PAYMENT FROM STPC AS A SALARY LOAN FOR ELEAZAR M. RULONA</t>
  </si>
  <si>
    <t>0825</t>
  </si>
  <si>
    <t>2026-1115</t>
  </si>
  <si>
    <t>06/20/2026</t>
  </si>
  <si>
    <t>0826</t>
  </si>
  <si>
    <t>2026-1116</t>
  </si>
  <si>
    <t>RECALIBRATION OF BUCKET</t>
  </si>
  <si>
    <t>0827</t>
  </si>
  <si>
    <t>2026-1117</t>
  </si>
  <si>
    <t>Tigbao Gwen</t>
  </si>
  <si>
    <t>0828</t>
  </si>
  <si>
    <t>2026-1118</t>
  </si>
  <si>
    <t>06/23/2026</t>
  </si>
  <si>
    <t>0829</t>
  </si>
  <si>
    <t>2026-1119</t>
  </si>
  <si>
    <t>PROCESSING FEE</t>
  </si>
  <si>
    <t>06/26/2026</t>
  </si>
  <si>
    <t>0830</t>
  </si>
  <si>
    <t>2026-1120</t>
  </si>
  <si>
    <t>1BOX</t>
  </si>
  <si>
    <t>1L X 24 2T NATIONAL</t>
  </si>
  <si>
    <t>200 ML X 60  2T  SEAOIL</t>
  </si>
  <si>
    <t>0831</t>
  </si>
  <si>
    <t>2026-1121</t>
  </si>
  <si>
    <t xml:space="preserve"> 50% FULL PAYMENT FOR COC PROCESSING</t>
  </si>
  <si>
    <t>06/27/2026</t>
  </si>
  <si>
    <t>0832</t>
  </si>
  <si>
    <t>2026-1122</t>
  </si>
  <si>
    <t>ADDITIONAL PAYMENT ON 50%  COC  DOWNPAYMENT PROCESSING FEE</t>
  </si>
  <si>
    <t>06/29/2026</t>
  </si>
  <si>
    <t>0833</t>
  </si>
  <si>
    <t>2026-1123</t>
  </si>
  <si>
    <t>Malintubuan-Chivi</t>
  </si>
  <si>
    <t>JOB ORDER UNDER SI -INV 00002</t>
  </si>
  <si>
    <t>0834</t>
  </si>
  <si>
    <t>2026-1124</t>
  </si>
  <si>
    <t>JOB ORDER UNDER SI -INV 00003</t>
  </si>
  <si>
    <t>0835</t>
  </si>
  <si>
    <t>2026-1125</t>
  </si>
  <si>
    <t>JOB ORDER UNDER SI -INV 00007</t>
  </si>
  <si>
    <t>0836</t>
  </si>
  <si>
    <t>2026-1126</t>
  </si>
  <si>
    <t>20 PCS.</t>
  </si>
  <si>
    <t>0837</t>
  </si>
  <si>
    <t>2026-1127</t>
  </si>
  <si>
    <t>0838</t>
  </si>
  <si>
    <t>2026-1128</t>
  </si>
  <si>
    <t>0839</t>
  </si>
  <si>
    <t>2026-1129</t>
  </si>
  <si>
    <t>0840</t>
  </si>
  <si>
    <t>2026-1130</t>
  </si>
  <si>
    <t>1 PC. DIPSTICK; GAUGING PASTE; 1 PC. REQUIRED STICKER</t>
  </si>
  <si>
    <t>0841</t>
  </si>
  <si>
    <t>2026-1131</t>
  </si>
  <si>
    <t>JOB ORDER UNDER SI -INV 000017</t>
  </si>
  <si>
    <t>0842</t>
  </si>
  <si>
    <t>2026-1132</t>
  </si>
  <si>
    <t>JOB ORDER UNDER SI -INV 000015</t>
  </si>
  <si>
    <t>0843</t>
  </si>
  <si>
    <t>2026-1133</t>
  </si>
  <si>
    <t>Clarin Settlement</t>
  </si>
  <si>
    <t>JOB ORDER UNDER SI -INV 000016</t>
  </si>
  <si>
    <t>0844</t>
  </si>
  <si>
    <t>2026-1134</t>
  </si>
  <si>
    <t>0845</t>
  </si>
  <si>
    <t>2026-1135</t>
  </si>
  <si>
    <t>0846</t>
  </si>
  <si>
    <t>2026-1136</t>
  </si>
  <si>
    <t>CODING (FROM OPERATIONS)</t>
  </si>
  <si>
    <t>REGISTERED BUSINESS NAME</t>
  </si>
  <si>
    <t>SUPPLIER'S NAME</t>
  </si>
  <si>
    <t>BUSINESS ADDRESS</t>
  </si>
  <si>
    <t>HI-LAND FUEL REFILLING STATION</t>
  </si>
  <si>
    <t>SITTI MAIRA LANGAN ANDAL</t>
  </si>
  <si>
    <t>BRGY. BACONG, SALUG, ZAMBONGA DEL  NORTE</t>
  </si>
  <si>
    <t>IAP'S GASOLINE STATION</t>
  </si>
  <si>
    <t>ALLAN FEROLINO OBAS</t>
  </si>
  <si>
    <t>BRGY. ASENIERO, DAPITAN, ZAMBOANGA DEL NORTE</t>
  </si>
  <si>
    <t>Bacong Pamil</t>
  </si>
  <si>
    <t>MJ FUEL REFILLING STATION</t>
  </si>
  <si>
    <t>MERCEDARIO NUGAS PAMIL</t>
  </si>
  <si>
    <t>Bago</t>
  </si>
  <si>
    <t>Bagumbang palomar</t>
  </si>
  <si>
    <t>NONON'S FUEL STATION</t>
  </si>
  <si>
    <t>CRISAN SABIJON HERNANE</t>
  </si>
  <si>
    <t>BRGY. SAN VICENTE BAJO, OROQUIETA CITY, MISAMIS OCCIDENTAL</t>
  </si>
  <si>
    <t>VASH FUEL REFILLING STATION</t>
  </si>
  <si>
    <t>JHOANNE SHANE MARIE ESMORES AGLOBO</t>
  </si>
  <si>
    <t>BRGY. BALAGON, SIAY, ZAMBOANGA SIBUGAY</t>
  </si>
  <si>
    <t>MMN GAS STATION</t>
  </si>
  <si>
    <t>MARY JANE RESILOSA PAUSANOS</t>
  </si>
  <si>
    <t>BRGY. BAG-ONG BALAMBAN, MAHAYAG, ZAMBOANGA DEL SUR</t>
  </si>
  <si>
    <t>Barcelona</t>
  </si>
  <si>
    <t>RJM GASOLINAHAN PETROCHEMICAL PRODUCTS TRADING</t>
  </si>
  <si>
    <t>FELICISIMA PANTORILLA ORILLAN</t>
  </si>
  <si>
    <t>BRGY. BASAGAN, KATIPUNAN, ZAMBOANGA DEL NORTE</t>
  </si>
  <si>
    <t>MARCUS FUEL STATION</t>
  </si>
  <si>
    <t>MARICRIS FE MAGHINAY ARANDID</t>
  </si>
  <si>
    <t>BRGY. BATO, PLARIDEL, MISAMIS OCCIDENTAL</t>
  </si>
  <si>
    <t>Baylimango</t>
  </si>
  <si>
    <t>MORTE FUEL REFILLING STATION</t>
  </si>
  <si>
    <t>PRIMITIVO ALICMAN MORTE</t>
  </si>
  <si>
    <t>BRGY. BAYLIMANGO, DAPITAN CITY, ZAMBOANGA DEL NORTE</t>
  </si>
  <si>
    <t>Bayog (BACO)</t>
  </si>
  <si>
    <t>JD-MACS GAS REFILLING STATION</t>
  </si>
  <si>
    <t>DELIA S. BACO</t>
  </si>
  <si>
    <t>BRGY. KAHAYAGAN, BAYOG, ZAMBOANGA DEL SUR</t>
  </si>
  <si>
    <t>REDBAR GAS REFILLING STATION</t>
  </si>
  <si>
    <t>ARNEL GAJO ENTAG</t>
  </si>
  <si>
    <t>BRGY. BOBUAN, BAYOG, ZAMBOANGA DEL SUR</t>
  </si>
  <si>
    <t>JDM-6 FUEL STATION</t>
  </si>
  <si>
    <t>DELIA SAJULGA BACO</t>
  </si>
  <si>
    <t>BOY G FUEL REFILLING STATION</t>
  </si>
  <si>
    <t>EPIFRAS RUDAS GALLEPOSO</t>
  </si>
  <si>
    <t>BRGY. BINONI, SALUG, ZAMBOANGA DEL NORTE</t>
  </si>
  <si>
    <t>Bucana Siocon</t>
  </si>
  <si>
    <t>NAUFAR FUEL REFILLING STATION</t>
  </si>
  <si>
    <t>JULCARIM ALVAREZ CASALIN</t>
  </si>
  <si>
    <t>BRGY. BUCANA, SIOCON, ZAMBOANGA DEL NORTE</t>
  </si>
  <si>
    <t>Buug</t>
  </si>
  <si>
    <t>FOUR ANGELS  FUEL REFILLING STATION</t>
  </si>
  <si>
    <t>FREMIE ALFON PALCONAYO</t>
  </si>
  <si>
    <t>BRGY. CALICAN, PIÑAN, ZAMBOANGA DEL NORTE</t>
  </si>
  <si>
    <t>AZ FUEL REFILLING STATION</t>
  </si>
  <si>
    <t>SALAHUDDIN AKIL HAMBALI</t>
  </si>
  <si>
    <t>BRGY. CARACOL, SALUG, ZAMBOANGA DEL NORTE</t>
  </si>
  <si>
    <t>COUNTRYROAD FUEL REFILLING STATION</t>
  </si>
  <si>
    <t>ASHLEY NICOLE REAMBONANZA LLERIN</t>
  </si>
  <si>
    <t>BRGY. CLARIN SETTLEMENT, OROQUIETA CITY, MISAMIS OCCIDENTAL</t>
  </si>
  <si>
    <t xml:space="preserve">DJ FUEL REFILLING STATION </t>
  </si>
  <si>
    <t xml:space="preserve">DAPHNE CLAIRE ABARCA MARQUINA </t>
  </si>
  <si>
    <t>BRGY. COGON, DIPOLOG CITY, ZAMBOANGA DEL NORTE</t>
  </si>
  <si>
    <t>LIA-FRAN-LILY FUEL STATION</t>
  </si>
  <si>
    <t>LILIA CAMBE UNITO</t>
  </si>
  <si>
    <t>BRGY. COLORAN, SIAY, ZAMBOANGA DEL SUR</t>
  </si>
  <si>
    <t>Dampalan (Osmena)</t>
  </si>
  <si>
    <t>RAMAD FUEL REFILLING STATION</t>
  </si>
  <si>
    <t>RAMIL QUIGUING ADANTE</t>
  </si>
  <si>
    <t>BRGY. DAMPALAN, DAPITAN CITY, ZAMBOANGA DEL NORTE</t>
  </si>
  <si>
    <t>GD FUEL REFILLING STATION</t>
  </si>
  <si>
    <t>DOUET PEPITO AMARILLE</t>
  </si>
  <si>
    <t>BRGY. DANSULLAN, POLANCO, ZAMBOANGA DEL NORTE</t>
  </si>
  <si>
    <t>ARLEGUI FUEL REFILLING STATION</t>
  </si>
  <si>
    <t>SANDY LOU TRANSMIL ARLEGUI</t>
  </si>
  <si>
    <t>BRGY. DEL PILAR, PIÑAN, ZAMBOANGA DEL NORTE</t>
  </si>
  <si>
    <t>PATRICK &amp; BRYLE FUEL REFILLING STATION</t>
  </si>
  <si>
    <t>BOB DALMAN PAGENTE</t>
  </si>
  <si>
    <t>BRGY. DOÑA JOSEFA, SINDANGAN, ZAMBOANGA DEL NORTE</t>
  </si>
  <si>
    <t>Denuyan siayan</t>
  </si>
  <si>
    <t>Detulan</t>
  </si>
  <si>
    <t>B &amp; J GAS REFILLING STATION</t>
  </si>
  <si>
    <t>ISAGANI BARAZON LEDESMA</t>
  </si>
  <si>
    <t>BRGY. DITULAN, DUMINGAG, ZAMBOANGA DEL SUR</t>
  </si>
  <si>
    <t>MJ HABAGAT GAS STATION</t>
  </si>
  <si>
    <t>THERESA MEE SARENAS HABAGAT</t>
  </si>
  <si>
    <t>BRGY. DAANGLUNGSOD, KATIPUNAN, ZAMBOANGA DEL NORTE</t>
  </si>
  <si>
    <t>Dicoyong</t>
  </si>
  <si>
    <t>PIPZ GAS REFILLING STATION</t>
  </si>
  <si>
    <t>JEMWEL TAMAN ZAMORA</t>
  </si>
  <si>
    <t>BRGY. DICOYONG, SINDANGAN, ZAMBOANGA DEL NORTE</t>
  </si>
  <si>
    <t>G-P GAS REFILLING STATION</t>
  </si>
  <si>
    <t>JAYNALYN GUIO PACAÑA</t>
  </si>
  <si>
    <t>BRGY. DILAWA, PIÑAN, ZAMBOANGA DEL NORTE</t>
  </si>
  <si>
    <t>JRG GAS REFILLING STATION</t>
  </si>
  <si>
    <t>JUDY ASISTER GONDULA</t>
  </si>
  <si>
    <t>BRGY. DINASAN, JOSE DALMAN, ZAMBOANGA DEL NORTE</t>
  </si>
  <si>
    <t>Dohinob</t>
  </si>
  <si>
    <t>LJ GAS REFILLING STATION</t>
  </si>
  <si>
    <t>LEONARDO BAYBAY UGNIT III</t>
  </si>
  <si>
    <t>BRGY. DOHINOB, PRES. MANUEL A. ROXAS, ZAMBOANGA DEL NORTE</t>
  </si>
  <si>
    <t>Don Vic Dennis</t>
  </si>
  <si>
    <t>3DS &amp; B GAS REFILLING STATION</t>
  </si>
  <si>
    <t>DENNIS RAMIREZ DELOS SANTOS</t>
  </si>
  <si>
    <t>BRGY. TUNO, DON VICTORIANO, MISAMIS OCCIDENTAL</t>
  </si>
  <si>
    <t>K2J2 GAS REFILLING STATION</t>
  </si>
  <si>
    <t>JENIE FE BALOGBOG ALINSUG</t>
  </si>
  <si>
    <t>BRGY. SAN PEDRO, DUMINGAG, ZAMBOANGA DEL SUR</t>
  </si>
  <si>
    <t>Eunice</t>
  </si>
  <si>
    <t>Fatima Liloy</t>
  </si>
  <si>
    <t>ENCAR GASOLINE STATION</t>
  </si>
  <si>
    <t>REY ENRICO ORIOLA EROY</t>
  </si>
  <si>
    <t>BRGY. FATIMA, LILOY, ZAMBOANGA DEL NORTE</t>
  </si>
  <si>
    <t>AM-MON FUEL STATION</t>
  </si>
  <si>
    <t>LUCILLE MANANQUIL  SINARILLOS</t>
  </si>
  <si>
    <t>BRGY. SICAYAB, DIPOLOG CITY, ZAMBOANGA DEL NORTE</t>
  </si>
  <si>
    <t>Guisokan</t>
  </si>
  <si>
    <t>JK GAS REFILLING STATION</t>
  </si>
  <si>
    <t>REZA ZAMORAS BATION</t>
  </si>
  <si>
    <t>QUADRU FUEL REFILLING STATION</t>
  </si>
  <si>
    <t>ALJUN LATA SUERTE</t>
  </si>
  <si>
    <t>BRGY. GUITRAN, DUMINGAG, ZAMBOANGA DEL SUR</t>
  </si>
  <si>
    <t>4J'S MICRO GAS REFILLING STATION</t>
  </si>
  <si>
    <t>HEPHER CALASANG BAEL</t>
  </si>
  <si>
    <t>BRGY. ILAYA, DAPITAN CITY, ZAMBOANGA DEL NORTE</t>
  </si>
  <si>
    <t>Ilihan</t>
  </si>
  <si>
    <t>RIA FRITZ GAS REFILLING STATION</t>
  </si>
  <si>
    <t>CHATERINE VILLARIN SULIMAN</t>
  </si>
  <si>
    <t>BRGY. ILIHAN, JOSE DALMAN, ZAMBOANGA DEL NORTE</t>
  </si>
  <si>
    <t>Imelda Sibugay</t>
  </si>
  <si>
    <t>JICKA GAS STATION</t>
  </si>
  <si>
    <t>JEFFREY SONZA DELA CRUZ</t>
  </si>
  <si>
    <t>BRGY. GANDIANGAN, IMELDA,  ZAMBOANGA SIBUGAY</t>
  </si>
  <si>
    <t>Josefina (Helen)</t>
  </si>
  <si>
    <t>LENLEN GASOLINE STATION</t>
  </si>
  <si>
    <t>HELEN ESTORIOSO</t>
  </si>
  <si>
    <t>BRGY.MORADJE, JOSEFINA ZAMBOANGA DEL SUR</t>
  </si>
  <si>
    <t>Josefina (Malindang)</t>
  </si>
  <si>
    <t>MT. MALINDANG GAS REFILLING STATION</t>
  </si>
  <si>
    <t>GILBERTH DANDOY LAURE</t>
  </si>
  <si>
    <t>BRGY. LEONARDO, JOSEFINA, ZAMBOANGA DEL SUR</t>
  </si>
  <si>
    <t>DLIME GASOLINE STATION</t>
  </si>
  <si>
    <t>LEX IVOR MANGOMPIT ETAC</t>
  </si>
  <si>
    <t>BRGY. UPPER BAGONG TUDELA, JOSEFINA, ZAMBOANGA DEL SUR</t>
  </si>
  <si>
    <t>ADEV GAS STATION</t>
  </si>
  <si>
    <t>GLORIA PERATER CUARTO</t>
  </si>
  <si>
    <t>Kalawit</t>
  </si>
  <si>
    <t>MACDROF FUEL REFILLING STATION</t>
  </si>
  <si>
    <t>BIDULITA TELMO AGUILAR</t>
  </si>
  <si>
    <t>La libertad</t>
  </si>
  <si>
    <t>3J'S GASOLINE STATION</t>
  </si>
  <si>
    <t>JUNNEL JUMALON JUMAWAN</t>
  </si>
  <si>
    <t>BRGY. POBLACION, LA LIBERTAD, ZAMBOANGA DEL NORTE</t>
  </si>
  <si>
    <t>M &amp; J GAS STATION</t>
  </si>
  <si>
    <t>IVY MAESTRE OMOS</t>
  </si>
  <si>
    <t>BRGY. LABAKID, SINDANGAN, ZAMBOANGA DEL NORTE</t>
  </si>
  <si>
    <t>Labason (Daguplo)</t>
  </si>
  <si>
    <t>DJ FUEL REFILLING STATION</t>
  </si>
  <si>
    <t>DANIEL DAGUPLO</t>
  </si>
  <si>
    <t>BRGY. MALINTUBOAN, LABASON, ZAMBOANGA DEL NORTE</t>
  </si>
  <si>
    <t>Labason Panos (Ubay)</t>
  </si>
  <si>
    <t>PANOS GAS REFILLING STATION</t>
  </si>
  <si>
    <t>HEROINAE JOY DIGAMOS PANOS</t>
  </si>
  <si>
    <t>BRGY. UBAY, LABASON, ZAMBOANGA DEL NORTE</t>
  </si>
  <si>
    <t>LABASON BULILIT</t>
  </si>
  <si>
    <t>S/R GASOLINE STATION</t>
  </si>
  <si>
    <t>DAVID ALAIN ORTEGA MORGIA</t>
  </si>
  <si>
    <t>BRGY. IMELDA, LABASON, ZAMBOANGA DEL NORTE</t>
  </si>
  <si>
    <t>KELTEX GAS REFILLING STATION</t>
  </si>
  <si>
    <t>LOVELY BERNARDO FABIANTES</t>
  </si>
  <si>
    <t>BRGY. LIBA, BAYOG, ZAMBOANGA DEL SUR</t>
  </si>
  <si>
    <t>Libertad D.</t>
  </si>
  <si>
    <t>PUMP-N-GO LIBERTAD GAS REFILLING STATION</t>
  </si>
  <si>
    <t>WARLY BACLAY DELA RAIZ</t>
  </si>
  <si>
    <t>BRGY. LIBERTAD, DUMINGAG, ZAMBOANGA DEL SUR</t>
  </si>
  <si>
    <t>Liloan</t>
  </si>
  <si>
    <t>BUD'S GAS REFILLING STATION</t>
  </si>
  <si>
    <t>DOREEN KAAMIÑO FRIGILLANO</t>
  </si>
  <si>
    <t>BRGY. LILOAN, BONIFACIO, MISAMIS OCCIDENTAL</t>
  </si>
  <si>
    <t>ARQUIZA FUEL REFILLING STATION</t>
  </si>
  <si>
    <t>ANTONIO MANINGO ARQUIZA</t>
  </si>
  <si>
    <t>BRGY. LINGASAD, POLANCO, ZAMBOANGA DEL NORTE</t>
  </si>
  <si>
    <t xml:space="preserve">Lipakan </t>
  </si>
  <si>
    <t>JGCJ FUEL REFILLING STATION</t>
  </si>
  <si>
    <t>JOSEPH ALBON MAATA</t>
  </si>
  <si>
    <t>BRGY. LIPAKAN, ROXAS, ZAMBOANGA DEL NORTE</t>
  </si>
  <si>
    <t>Lituban Siocon</t>
  </si>
  <si>
    <t>AM GAS REFILLING STATION</t>
  </si>
  <si>
    <t>ANGELITO ORNATES CAMION</t>
  </si>
  <si>
    <t>BRGY. NEW LITUBAN, SIOCON, ZAMBOANGA DEL NORTE</t>
  </si>
  <si>
    <t>TANAKAMI GAS STATION</t>
  </si>
  <si>
    <t>WEDILYN ONRADA ROSALES</t>
  </si>
  <si>
    <t>BRGY. LOWER LANDING, DUMINGAG, ZAMBOANGA DEL SUR</t>
  </si>
  <si>
    <t>Lutiman Alicia</t>
  </si>
  <si>
    <t>B-PRO GASOLINE STATION</t>
  </si>
  <si>
    <t>DIVINE MAY SALAZAR BUSTILLOS</t>
  </si>
  <si>
    <t>MAHAYAG BULILIT</t>
  </si>
  <si>
    <t>E &amp; R  GAS REFILLING STATION</t>
  </si>
  <si>
    <t>ELVIE TALOCOD SALADAGA</t>
  </si>
  <si>
    <t>BRGY. POBLACION, MAHAYAG, ZAMBOANGA DEL SUR</t>
  </si>
  <si>
    <t>FUELGO GAS REFILLING STATION</t>
  </si>
  <si>
    <t>RODMAR VERTUDEZ FUEGO</t>
  </si>
  <si>
    <t>BRGY. MADALAG, JOSE DALMAN , ZAMBOANGA DEL NORTE</t>
  </si>
  <si>
    <t>Malala (San pedro)</t>
  </si>
  <si>
    <t>KL GAS REFILLING STATION</t>
  </si>
  <si>
    <t>MIKE JAPHET FERNANDEZ BARBASO</t>
  </si>
  <si>
    <t>BRGY. SAN PEDRO, POLANCO, ZAMBOANGA DEL NORTE</t>
  </si>
  <si>
    <t>JANUAORYZA MICRO GAS STATION</t>
  </si>
  <si>
    <t>RUFINO ANDUS MUKOD</t>
  </si>
  <si>
    <t>BRGY. MANDIH, SINDANGAN, ZAMBOANGA DEL NORTE</t>
  </si>
  <si>
    <t>GUNIX GAS STATION</t>
  </si>
  <si>
    <t>SEM UDTOHAN PANGASIAN</t>
  </si>
  <si>
    <t>BRGY. MARALAG, DUMINGAG, ZAMBOANGA DEL SUR</t>
  </si>
  <si>
    <t>MBB FUEL REFILLING STATION</t>
  </si>
  <si>
    <t>BRENDO BIASCA MALAHAY</t>
  </si>
  <si>
    <t>BRGY. POBLACION, SIAYAN, ZAMBONGA DEL NORTE</t>
  </si>
  <si>
    <t>Midsalip</t>
  </si>
  <si>
    <t>AA'S GAS REFILLING STATION</t>
  </si>
  <si>
    <t>ARNEL DELA CERNA CALEXTERIO</t>
  </si>
  <si>
    <t>BRGY. BIBILOP, MIDSALIP, ZAMBOANGA DEL SUR</t>
  </si>
  <si>
    <t>Milanid Talinga</t>
  </si>
  <si>
    <t>Misom Baliangao</t>
  </si>
  <si>
    <t>RIVAS GAS REFILLING STATION</t>
  </si>
  <si>
    <t>RIEL MONTEFALCON RIVAS</t>
  </si>
  <si>
    <t>BRGY. MOTIBOT, SINDANGAN, ZAMBOANGA DEL NORTE</t>
  </si>
  <si>
    <t>RM GASOLINE STATION</t>
  </si>
  <si>
    <t>HAMIR GUMANDOL JAAPAL</t>
  </si>
  <si>
    <t>BRGY. MUCAS, SALUG, ZAMBONGA DEL NORTE</t>
  </si>
  <si>
    <t>Mutia</t>
  </si>
  <si>
    <t>FREECOPE FUEL REFILLING STATION</t>
  </si>
  <si>
    <t>LERNIE SAMSON FREJOLEZ</t>
  </si>
  <si>
    <t>BRGY. POBLACION, MUTIA, ZAMBOANGA DEL NORTE</t>
  </si>
  <si>
    <t>FAME GAS REFILLING STATION</t>
  </si>
  <si>
    <t>FERNANDO DELA ROSA PARAN</t>
  </si>
  <si>
    <t>BRGY. NEW SICAYAB, POLANCO, ZAMBOANGA DEL NORTE</t>
  </si>
  <si>
    <t>Olingan</t>
  </si>
  <si>
    <t>ENZO'S GAS REFILLING STATION</t>
  </si>
  <si>
    <t>CLEMENTE COPE GUIO</t>
  </si>
  <si>
    <t>BRGY. OLINGAN, DIPOLOG CITY, ZAMBOANGA DEL NORTE</t>
  </si>
  <si>
    <t>AYA G MICRO GAS STATION</t>
  </si>
  <si>
    <t>ARTIUS TALADUA GALINDO</t>
  </si>
  <si>
    <t>BRGY. VILLAFLOR, OROQUIETA CITY, MISAMIS OCCIDENTAL</t>
  </si>
  <si>
    <t>Osukan Labason</t>
  </si>
  <si>
    <t>GD GASOLINE STATION</t>
  </si>
  <si>
    <t>BRGY. OSUKAN, LABASON, ZAMBOANGA DEL NORTE</t>
  </si>
  <si>
    <t>KJ FUEL REFILLING STATION</t>
  </si>
  <si>
    <t>MARCOS MABANSAG ARAGON</t>
  </si>
  <si>
    <t>BRGY. PALANDOK, LEON POSTIGO, ZAMBOANGA DEL NORTE</t>
  </si>
  <si>
    <t>C &amp; N GAS REFILLING STATION</t>
  </si>
  <si>
    <t>WILSON ENOJARDO PLANTERAS</t>
  </si>
  <si>
    <t>BRGY. PANGALALAN, SINDANGAN, ZAMBOANGA DEL NORTE</t>
  </si>
  <si>
    <t>CRILOUR FUEL REFILLING STATION</t>
  </si>
  <si>
    <t>ELSON ENRIQUEZ BASCO</t>
  </si>
  <si>
    <t>BRGY. PARUK, SIAY, ZAMBOANGA SIBUGAY</t>
  </si>
  <si>
    <t>Queenex B.</t>
  </si>
  <si>
    <t>QUEENEX M GAS STATION</t>
  </si>
  <si>
    <t xml:space="preserve">MYLO OLIDIANA QUINTO </t>
  </si>
  <si>
    <t>BRGY. BAGUMBANG, BONIFACIO, MISAMIS OCCIDENTAL</t>
  </si>
  <si>
    <t>CHUCK GAS REFILLING STATION</t>
  </si>
  <si>
    <t>MAREBEL VILLACURA HICALDE</t>
  </si>
  <si>
    <t>BRGY. TIMAN, LILOY, ZAMBOANGA DEL NORTE</t>
  </si>
  <si>
    <t>SR GAS STATION</t>
  </si>
  <si>
    <t>RADHATA SALBANI HAMBALI</t>
  </si>
  <si>
    <t>BRGY. RIZON, BACUNGAN, ZAMBOANGA DEL NORTE</t>
  </si>
  <si>
    <t>RM Bulilit</t>
  </si>
  <si>
    <t>DIALTEX GASOLINE STATION</t>
  </si>
  <si>
    <t>IVAN RHEE E. DIALO</t>
  </si>
  <si>
    <t>PUROK 1, RAMON MAGSAYSAY, SALUG, ZAMBOANGA DEL NORTE</t>
  </si>
  <si>
    <t>JMS FUEL REFILLING STATION</t>
  </si>
  <si>
    <t>JESSA CAMAC ACAYLAR</t>
  </si>
  <si>
    <t>BRGY. SAN ANTONIO, TITAY, ZAMBOANGA SIBUGAY</t>
  </si>
  <si>
    <t>San Jose (Mahayag)</t>
  </si>
  <si>
    <t>LOLOY GAS REFILLING STATION</t>
  </si>
  <si>
    <t>TEOTIMO NAMUAG ACLON JR.</t>
  </si>
  <si>
    <t>BRGY. SAN JOSE, MAHAYAG, ZAMBOANGA DEL SUR</t>
  </si>
  <si>
    <t>TAMPARONG GAS STATION</t>
  </si>
  <si>
    <t>ROMNICK DEBUYAN TAMPARONG</t>
  </si>
  <si>
    <t>BRGY. SAN JUAN, SERGIO OSMEÑA, ZAMBOANGA DEL NORTE</t>
  </si>
  <si>
    <t>JANA'S FUEL STATION</t>
  </si>
  <si>
    <t>TOM JERRY TIMBOL SAGARIO</t>
  </si>
  <si>
    <t>BRGY. SAN PEDRO, DAPITAN,  ZAMBOANGA DEL NORTE</t>
  </si>
  <si>
    <t>Sawang Sibutad</t>
  </si>
  <si>
    <t>ROADSIDE GAS REFILLING STATION</t>
  </si>
  <si>
    <t>LORINE LEGADOS SANGUAL</t>
  </si>
  <si>
    <t>BRGY. SAWANG, SIBUTAD, ZAMBOANGA DEL NORTE</t>
  </si>
  <si>
    <t>GAZ-N-GO FUEL STATION</t>
  </si>
  <si>
    <t xml:space="preserve">GESELLE GLORIAN BAYAWA </t>
  </si>
  <si>
    <t>BRGY. SIARI, SINDANGAN, ZAMBOANGA DEL NORTE</t>
  </si>
  <si>
    <t>RHOIE GAS STATION</t>
  </si>
  <si>
    <t>LEROY CAYASAN EGONIA</t>
  </si>
  <si>
    <t>BRGY. SAGASAN, SAN PABLO, ZAMBOANGA DEL SUR</t>
  </si>
  <si>
    <t>Siay Siocon</t>
  </si>
  <si>
    <t>RASHMAN'S MICRO GAS STATION</t>
  </si>
  <si>
    <t>HALAD BUA MINDOON</t>
  </si>
  <si>
    <t>BRGY. SIAY, SIOCON, ZAMBOANGA DEL NORTE</t>
  </si>
  <si>
    <t>Sicpao</t>
  </si>
  <si>
    <t>RRA GAS REFILLING STATION</t>
  </si>
  <si>
    <t>REYNALDO DANAOTO HILOT</t>
  </si>
  <si>
    <t>BRGY. SICPAO, MAHAYAG, ZAMBOANGA DEL SUR</t>
  </si>
  <si>
    <t>Don Vic Sikal</t>
  </si>
  <si>
    <t>4J'S &amp; MW GAS STATION</t>
  </si>
  <si>
    <t>WILMA PELAYO SIKAL</t>
  </si>
  <si>
    <t>ED-ZEL FUEL REFILLING STATION</t>
  </si>
  <si>
    <t>HAZEL NAMIT CABOVERDE</t>
  </si>
  <si>
    <t>BRGY. SINGARAN, LA LIBERTAD, ZAMBOANGA DEL NORTE</t>
  </si>
  <si>
    <t xml:space="preserve">GAS DISTRIBUTION SERVICES D-BROTHERS GASOLINAHAN </t>
  </si>
  <si>
    <t>DEMOSTHENES SIARON CASTILLON SR.</t>
  </si>
  <si>
    <t>BRGY. SINUYAK, KATIPUNAN, ZAMBOANGA DEL NORTE</t>
  </si>
  <si>
    <t>Siparok</t>
  </si>
  <si>
    <t>LMR GAS REFILLING STATION</t>
  </si>
  <si>
    <t>MARIA CARA CHRISTY JATICO RECOSOSA</t>
  </si>
  <si>
    <t>BRGY. SIPAROK, JOSE DALMAN, ZAMBONGA DEL NORTE</t>
  </si>
  <si>
    <t>Suguilon Siayan</t>
  </si>
  <si>
    <t>RG'S GASOLINE STATION</t>
  </si>
  <si>
    <t>GRETCHEN RONQUILLO ALIMPONG</t>
  </si>
  <si>
    <t>BRGY. SUGUILON, SIAYAN, ZAMBOANGA DEL NORTE</t>
  </si>
  <si>
    <t>JC GAS REFILLING STATION</t>
  </si>
  <si>
    <t>JESRELL SYBECO CANOY</t>
  </si>
  <si>
    <t>BRGY. TABON, JOSE DALMAN, ZAMBOANGA DEL NORTE</t>
  </si>
  <si>
    <t>Tamil</t>
  </si>
  <si>
    <t>LAV'S GAS REFILLING STATION</t>
  </si>
  <si>
    <t>ARSENIO BAYAWA REGENCIA</t>
  </si>
  <si>
    <t>BRGY. TAMIL, JOSE DALMAN, ZAMBOANGA DEL NORTE</t>
  </si>
  <si>
    <t>San Miguel Sur</t>
  </si>
  <si>
    <t>JANE GAS STATION</t>
  </si>
  <si>
    <t>EMILY RUBIO HERNANE</t>
  </si>
  <si>
    <t>BRGY. LIMONAN, SAN MIGUEL, ZAMBOANGA DEL SUR</t>
  </si>
  <si>
    <t xml:space="preserve">Tigbao Norte </t>
  </si>
  <si>
    <t>JOHNSMARF GAS REFILLING STATION</t>
  </si>
  <si>
    <t>JONARD DIALO LAJERA</t>
  </si>
  <si>
    <t>BRGY. TIGBAO, SINDANGAN, ZAMBOANGA DEL NORTE</t>
  </si>
  <si>
    <t>Tigbao Sur (Oilers)</t>
  </si>
  <si>
    <t>OILERS FUEL STATION</t>
  </si>
  <si>
    <t>KIMBERLY MONG SABAL</t>
  </si>
  <si>
    <t>BRGY. BEGONG, TIGBAO, ZAMBOANGA DEL SUR</t>
  </si>
  <si>
    <t>RJ-CEL FUEL STATION</t>
  </si>
  <si>
    <t>REY JEVIER GAÑOLON CELERINOS</t>
  </si>
  <si>
    <t>PUROK 3, BRGY. UPPER INUMAN, SINDANGAN, ZAMBOANGA DEL NORTE</t>
  </si>
  <si>
    <t>GWEN FUEL STATION</t>
  </si>
  <si>
    <t>ROBELYN LENIS ABO ABO</t>
  </si>
  <si>
    <t>BRGY. POBLACION, TIGBAO ZAMBOANGA DEL SUR</t>
  </si>
  <si>
    <t>CMT' FUEL STATION</t>
  </si>
  <si>
    <t>FEBRA PACALIOGA ENANORIA</t>
  </si>
  <si>
    <t>BRGY. VALENCIA, DUMINGAG, ZAMBOANGA DEL SUR</t>
  </si>
  <si>
    <t>CM-POWER FUEL REFILLING STATION</t>
  </si>
  <si>
    <t>CHARLENE ESTRADA MANDANTES</t>
  </si>
  <si>
    <t>BRGY. VILLAHERMOSA, POLANCO, ZAMBOANGA DEL NORTE</t>
  </si>
  <si>
    <t>Villarico</t>
  </si>
  <si>
    <t>TRIPLE Z GAS STATION</t>
  </si>
  <si>
    <t>ANNIE ATIS JUMAWAN</t>
  </si>
  <si>
    <t>BRGY. VILLARICO, PIÑAN, ZAMBOANGA DEL NORTE</t>
  </si>
  <si>
    <t>MG'S FUEL REFILLING STATION</t>
  </si>
  <si>
    <t>NORMITA DELA CERNA</t>
  </si>
  <si>
    <t>BRGY. DIPILI, BAYOG, ZAMBOANGA DEL SUR</t>
  </si>
  <si>
    <t>ACE</t>
  </si>
  <si>
    <t>ACE MEDICAL CENTER</t>
  </si>
  <si>
    <t>Margos sa Tubig / Guipos Vistal</t>
  </si>
  <si>
    <t>VISTAL-MICRO GAS STATION</t>
  </si>
  <si>
    <t>CHRIS JOHN PARMIS VISTAL</t>
  </si>
  <si>
    <t>BRGY. CANUNAN, GUIPOS, ZAMBOANGA DEL SUR</t>
  </si>
  <si>
    <t>ZAHRA'S GAS REFILLING STATION</t>
  </si>
  <si>
    <t>ZAHRA KATE MENDIOLA</t>
  </si>
  <si>
    <t>BRGY. POBLACION, LAPUYAN, ZAMBOANGA DEL SUR</t>
  </si>
  <si>
    <t>Guipos-Jr</t>
  </si>
  <si>
    <t>JR FUEL STATION</t>
  </si>
  <si>
    <t>ALVIN RAMIREZ LAMOSA JR.</t>
  </si>
  <si>
    <t>BRGY. POBLACION, GUIPOS, ZAMBOANGA DEL SUR</t>
  </si>
  <si>
    <t>JOEF GAS STATION</t>
  </si>
  <si>
    <t>JONATHAN BOTER MEDICO</t>
  </si>
  <si>
    <t>BRGY. PANTAD, SAN PABLO, ZAMBOANGA DEL SUR</t>
  </si>
  <si>
    <t>Guipos SDJ</t>
  </si>
  <si>
    <t>SDJ 77 GAS STATION</t>
  </si>
  <si>
    <t>JAYSON BAJAO URBINA</t>
  </si>
  <si>
    <t>BRGY. BALONGATING, GUIPOS, ZAMBOANGA DEL SUR</t>
  </si>
  <si>
    <t>TONY GAS REFILLING STATION</t>
  </si>
  <si>
    <t>ANTONIO VALLECER GONZALES</t>
  </si>
  <si>
    <t>PUROK MADASIGON, DOHINOB, ROXAS, ZAMBOANGA DEL SUR</t>
  </si>
  <si>
    <t>JERELYN MONTEZA AWA</t>
  </si>
  <si>
    <t>CNR-Gcash</t>
  </si>
  <si>
    <t>CLYDE N. REBOLLOS</t>
  </si>
  <si>
    <t>KRD MICRO GAS STATION</t>
  </si>
  <si>
    <t>KELVIN ENOT DULA</t>
  </si>
  <si>
    <t>BRGY. LEGARDA 1, DINAS, ZAMBOANGA DEL SUR</t>
  </si>
  <si>
    <t>JANUA-ORYZA GAS REFILLING STATION</t>
  </si>
  <si>
    <t>GIAN'S FUEL STATION</t>
  </si>
  <si>
    <t>HELGREG LINGO TINNAE</t>
  </si>
  <si>
    <t>BRGY. NAPO, DAPITAN CITY, ZAMBONGA DEL NORTE</t>
  </si>
  <si>
    <t>R &amp; R FUEL STATION</t>
  </si>
  <si>
    <t>RUBEN SARAJENA YURONG JR.</t>
  </si>
  <si>
    <t>CLARITA'S FUEL  STATION</t>
  </si>
  <si>
    <t>HEINZ  BERNHARD  YUMOL MANREZ</t>
  </si>
  <si>
    <t>BRGY. TIPOLO,  PLARIDEL, MISAMIS OCCIDENTAL</t>
  </si>
  <si>
    <t>SUERTE GAS STATION</t>
  </si>
  <si>
    <t>SLP-Rizal</t>
  </si>
  <si>
    <t>LARMINN &amp; COASTAL GAS REFILLING  STATION</t>
  </si>
  <si>
    <t>SANA ANDUS  BAJAMUNDE</t>
  </si>
  <si>
    <t>BRGY. NANGCAAN, RIZAL, ZAMBOANGA DEL NORTE</t>
  </si>
  <si>
    <t>LEN GASOLINE STATION</t>
  </si>
  <si>
    <t>ARLENE EDIOS UBA</t>
  </si>
  <si>
    <t>San Miguel Aishi</t>
  </si>
  <si>
    <t>AISHI'S FUEL STATION</t>
  </si>
  <si>
    <t>NOELAINE SALAGUSTE BATINGAL</t>
  </si>
  <si>
    <t>BRGY. POBLACION, SAN MIGUEL, ZAMBOANGA DEL SUR</t>
  </si>
  <si>
    <t>Tudela G-max</t>
  </si>
  <si>
    <t>G-MAX GASOLINE STATION</t>
  </si>
  <si>
    <t>RUFINO MAINE III OCAPAN GONZALEZ</t>
  </si>
  <si>
    <t>BRGY. BASIRANG, TUDELA, MISAMIS OCCIDENTAL</t>
  </si>
  <si>
    <t>Bongon Sirawai</t>
  </si>
  <si>
    <t>MIRAN MADDA</t>
  </si>
  <si>
    <t>BRGY. BONGON, SIRAWAI, ZAMBOANGA DEL NORTE</t>
  </si>
  <si>
    <t>O'S FUEL REFILLING STATION</t>
  </si>
  <si>
    <t>OGIE S. SAGBED</t>
  </si>
  <si>
    <t>BRGY.  BOGABONGAN, LEON B. POSTIGO</t>
  </si>
  <si>
    <t>JRM FUEL REFILLING STATION</t>
  </si>
  <si>
    <t>MELVA MACAPAZ NICOLAS</t>
  </si>
  <si>
    <t>K.M. GAS REFILLING STATION</t>
  </si>
  <si>
    <t>MANUEL LUCANAS DELOS SANTOS JR.</t>
  </si>
  <si>
    <t>BRGY. COMPRA, LILOY, ZAMBOANGA DEL NORTE</t>
  </si>
  <si>
    <t>CHIVI GAS STATION</t>
  </si>
  <si>
    <t>DARYL JAY TIZON VILLARIN</t>
  </si>
  <si>
    <t>ABES-LILOY</t>
  </si>
  <si>
    <t>ABES GAS REFILLING STATION</t>
  </si>
  <si>
    <t>KRISTINE JOY DOMOGHO ABES</t>
  </si>
  <si>
    <t>BRGY. COMMUNAL, LILOY, ZAMBOANGA DEL NORTE</t>
  </si>
  <si>
    <t>PANTALAN</t>
  </si>
  <si>
    <t>J-POWER GAS STATION</t>
  </si>
  <si>
    <t>JUNEL MANGOMPIT BAGALANON</t>
  </si>
  <si>
    <t>JOHN BILLY CONCHE</t>
  </si>
  <si>
    <t>BRGY. STA.ISABEL, DIPOLOG CITY</t>
  </si>
  <si>
    <t>SHELLA MAGLASANG</t>
  </si>
  <si>
    <t>BRGY. POBLACION, SOMINOT, ZAMBOANGA DEL SUR</t>
  </si>
  <si>
    <t xml:space="preserve">CLYDE N. REBOLLOS </t>
  </si>
  <si>
    <t>MUTIA RANGERS FUEL RETAILING</t>
  </si>
  <si>
    <t>JULIE ANN CONING MUTIA</t>
  </si>
  <si>
    <t>BRGY. DOLIPOS, BAJO, OROQUIETA CITY</t>
  </si>
  <si>
    <t>TM'S GAS REFILLING STATION</t>
  </si>
  <si>
    <t>ISABELO A. VILLANUEVA III</t>
  </si>
  <si>
    <t>BRGY. SOUTHWESTERN POBLACION, CALAMBA, MISAMIS OCCIDENTAL</t>
  </si>
  <si>
    <t>MEM TRADING AND HAULING SERVICES INC.</t>
  </si>
  <si>
    <t>EMMANUEL TAN</t>
  </si>
  <si>
    <t>CALAMBA FUEL REFILLING STATION</t>
  </si>
  <si>
    <t>RONAN CASTILLON</t>
  </si>
  <si>
    <t>BRGY. MAGCAMIGUING, CALAMBA, ZAMBOANGA DEL NORTE</t>
  </si>
  <si>
    <t>BRGY. GALAS, DIPOLOG CITY</t>
  </si>
  <si>
    <t>VIZPA GAS STATION</t>
  </si>
  <si>
    <t>BRGY. BARCELONA, DAPITAN CITY</t>
  </si>
  <si>
    <t>PHIL GAMZ GAS REFILLING STATION</t>
  </si>
  <si>
    <t>CRYSTALL MAE PAUNDOG</t>
  </si>
  <si>
    <t>BRGY. GUINABUT, SAPANGDALAGA, MISAMIS OCCIDENTAL</t>
  </si>
  <si>
    <t>DJ GAS STATION</t>
  </si>
  <si>
    <t>ROLAND MARTINEZ</t>
  </si>
  <si>
    <t>PNP MULTI-PURPOSE COOPERATIVE</t>
  </si>
  <si>
    <t>BRGY. MARCEDEZ, ZAMBOANGA  CITY</t>
  </si>
  <si>
    <t>MP POWER GAS STATION</t>
  </si>
  <si>
    <t>BIENVENIDO MATUTE</t>
  </si>
  <si>
    <t>BRGY. POBLACION, SEGIO OSMEÑA, ZAMBOANGA DEL NORTE</t>
  </si>
  <si>
    <t>SARA GAS STATION</t>
  </si>
  <si>
    <t>SARA NELLES</t>
  </si>
  <si>
    <t>BRGY. RABA, SALUG, ZAMBOANGA DEL NORTE</t>
  </si>
  <si>
    <t>ERMIE BAGATUA</t>
  </si>
  <si>
    <t>BRGY. STA. ISABEL, DIPOLOG CITY</t>
  </si>
  <si>
    <t>BP GASOLINE STATION</t>
  </si>
  <si>
    <t>LYNDELLE P. REQUINA</t>
  </si>
  <si>
    <t>BRGY. DULOP, DUMINGAG, ZAMBOANGA DEL SUR</t>
  </si>
  <si>
    <t>BRYANT MILLING MARKETING</t>
  </si>
  <si>
    <t>BRANT T. SEE</t>
  </si>
  <si>
    <t>OZAMIS CITY</t>
  </si>
  <si>
    <t>A R C GAS STATION</t>
  </si>
  <si>
    <t>ADRIANO ROLAN CHUA</t>
  </si>
  <si>
    <t>BRGY. POBLACION, SIOCON, ZAMBOANGA DEL NORTE</t>
  </si>
  <si>
    <t>ETHAN MICRO GAS STATION</t>
  </si>
  <si>
    <t>MELODY G. ATEZ</t>
  </si>
  <si>
    <t>BRGY. DIPAAN, SINDANGAN, ZAMBOANGA DEL NORTE</t>
  </si>
  <si>
    <t>RC FUEL GAS STATION</t>
  </si>
  <si>
    <t>CHERRYLOU  ELLOREN</t>
  </si>
  <si>
    <t>BRGY. ISIS, POLANCO, ZAMBOANGA DEL NORTE</t>
  </si>
  <si>
    <t>NELSIE QUIRANTE</t>
  </si>
  <si>
    <t>BRGY. BALUC, SINDANGAN, ZAMBOANGA DEL NORTE</t>
  </si>
  <si>
    <t>GENDES FUEL STATION</t>
  </si>
  <si>
    <t>JOSEFINA TAN</t>
  </si>
  <si>
    <t>BRGY. PUNTA, DIPOLOG CITY</t>
  </si>
  <si>
    <t>DIRECTORY</t>
  </si>
  <si>
    <t>CODING</t>
  </si>
  <si>
    <t>1. Fuel Products</t>
  </si>
  <si>
    <t>Fuel</t>
  </si>
  <si>
    <t>Gasoline</t>
  </si>
  <si>
    <t>Premium (RON95)</t>
  </si>
  <si>
    <t>Regular (RON 91)</t>
  </si>
  <si>
    <t>Diesel</t>
  </si>
  <si>
    <t>Diesel ( Krudo )</t>
  </si>
  <si>
    <t>Jet Fuel</t>
  </si>
  <si>
    <t>LPG</t>
  </si>
  <si>
    <t>Kerosene</t>
  </si>
  <si>
    <t>2. Storage &amp; Handling Equipment</t>
  </si>
  <si>
    <t>CATEGORY</t>
  </si>
  <si>
    <t>Tanks &amp; Containers</t>
  </si>
  <si>
    <t>Storage tanks</t>
  </si>
  <si>
    <t>Barrels / Drums</t>
  </si>
  <si>
    <t>Dispensing Equipment</t>
  </si>
  <si>
    <t>2.2.1</t>
  </si>
  <si>
    <t>Fuel Dispensers</t>
  </si>
  <si>
    <t>1.5 KL TSRO Standard Machine</t>
  </si>
  <si>
    <t>MFS</t>
  </si>
  <si>
    <t>1.5 KL TSRO Standing Machine</t>
  </si>
  <si>
    <t>2.0 KL TSRO Standard Machine</t>
  </si>
  <si>
    <t>2.0 KL TSRO Standing Machine</t>
  </si>
  <si>
    <t>3.0 KL TSRO Standard Machine</t>
  </si>
  <si>
    <t>3.0 KL TSRO Standing Machine</t>
  </si>
  <si>
    <t>5.0 KL TSRO Standard Machine</t>
  </si>
  <si>
    <t>5.0 KL TSRO Standing Machine</t>
  </si>
  <si>
    <t>6.0 KL TSRO Standard Machine</t>
  </si>
  <si>
    <t>6.0 KL TSRO Standing Machine</t>
  </si>
  <si>
    <t>2.2.2</t>
  </si>
  <si>
    <t>Fuel Dispenser Parts</t>
  </si>
  <si>
    <t>Transfer Pump</t>
  </si>
  <si>
    <t>Hose</t>
  </si>
  <si>
    <t>Nozzle</t>
  </si>
  <si>
    <t>Keypad</t>
  </si>
  <si>
    <t>Display</t>
  </si>
  <si>
    <t>Pulser</t>
  </si>
  <si>
    <t>Encoder</t>
  </si>
  <si>
    <t>Solenoid Valves</t>
  </si>
  <si>
    <t>CPU</t>
  </si>
  <si>
    <t>2.2.3</t>
  </si>
  <si>
    <t>Underground Tank (UGT)</t>
  </si>
  <si>
    <t>UGT</t>
  </si>
  <si>
    <t>Calibration &amp; Measurement</t>
  </si>
  <si>
    <t>IES</t>
  </si>
  <si>
    <t>2.3.1</t>
  </si>
  <si>
    <t>Fuel Calibration buckets</t>
  </si>
  <si>
    <t>Stainless Calibration Bucket</t>
  </si>
  <si>
    <t>Galvanize Calibration Bucket</t>
  </si>
  <si>
    <t>Other Calibration Buckets</t>
  </si>
  <si>
    <t>2.3.2</t>
  </si>
  <si>
    <t>Fuel dipsticks</t>
  </si>
  <si>
    <t>Dipstick ( Foldable )</t>
  </si>
  <si>
    <t>Dipstick ( Others )</t>
  </si>
  <si>
    <t>2.3.3</t>
  </si>
  <si>
    <t>Flow meters / gauges</t>
  </si>
  <si>
    <t>Flow Meter</t>
  </si>
  <si>
    <t>3. Fuel Maintenance &amp; Additives</t>
  </si>
  <si>
    <t>Fuel filters</t>
  </si>
  <si>
    <t>Fuel Filter</t>
  </si>
  <si>
    <t>Fuel stabilizers</t>
  </si>
  <si>
    <t>Stabilizer</t>
  </si>
  <si>
    <t>Tank cleaning chemicals</t>
  </si>
  <si>
    <t>Tank Cleaning Chemicals</t>
  </si>
  <si>
    <t>4. Safety &amp; PPE</t>
  </si>
  <si>
    <t>Gloves</t>
  </si>
  <si>
    <t>Goggles</t>
  </si>
  <si>
    <t>Suits</t>
  </si>
  <si>
    <t>Fire extinguishers</t>
  </si>
  <si>
    <t>Fire Extinguisher 5 lbs</t>
  </si>
  <si>
    <t>Fire Extinguisher 10 lbs</t>
  </si>
  <si>
    <t>Fire Extinguisher 15 lbs</t>
  </si>
  <si>
    <t>Fire Extinguisher 20 lbs</t>
  </si>
  <si>
    <t>Fire Extinguisher 25 lbs</t>
  </si>
  <si>
    <t>Spill kits</t>
  </si>
  <si>
    <t>Spill Kits</t>
  </si>
  <si>
    <t>Thermal Papers</t>
  </si>
  <si>
    <t>Thermal Paper</t>
  </si>
  <si>
    <t>5. Tools &amp; Accessories</t>
  </si>
  <si>
    <t>Funnels</t>
  </si>
  <si>
    <t>Clamps</t>
  </si>
  <si>
    <t>Hand tools for fuel systems</t>
  </si>
  <si>
    <t>Tools</t>
  </si>
  <si>
    <t>6. Electrical &amp; Power Backup Equipment</t>
  </si>
  <si>
    <t>6.1 Batteries</t>
  </si>
  <si>
    <t>- Lead-acid batteries</t>
  </si>
  <si>
    <t>Lead - Acid Batteries</t>
  </si>
  <si>
    <t>- Lithium-ion batteries</t>
  </si>
  <si>
    <t>Lithium -ion Batteries</t>
  </si>
  <si>
    <t>6.2 Inverters / UPS</t>
  </si>
  <si>
    <t>- Standalone inverters</t>
  </si>
  <si>
    <t>Inverter 12 V</t>
  </si>
  <si>
    <t>- Combined inverter/charger systems</t>
  </si>
  <si>
    <t>6.3 Generators (if you have backup fuel generators)</t>
  </si>
  <si>
    <t>- Diesel generators</t>
  </si>
  <si>
    <t>- Gasoline generators</t>
  </si>
  <si>
    <t>7. OPS and Other Services</t>
  </si>
  <si>
    <t>Lubricants</t>
  </si>
  <si>
    <t>National</t>
  </si>
  <si>
    <t>Sea-Oil</t>
  </si>
  <si>
    <t>Job Orders</t>
  </si>
  <si>
    <t>Job Order</t>
  </si>
  <si>
    <t>Other OPS ( Pls. Specify )</t>
  </si>
  <si>
    <t>Due from STPC ( Pls. Specify )</t>
  </si>
  <si>
    <t>Other Services ( Pls. Specify )</t>
  </si>
  <si>
    <t>Others ( Pls. Specify )</t>
  </si>
  <si>
    <t>8. Spare Parts for Machinery</t>
  </si>
  <si>
    <t>BANKS</t>
  </si>
  <si>
    <t>BDO NETWORK - CHECKING</t>
  </si>
  <si>
    <t>CHINA BANK - SAVINGS</t>
  </si>
  <si>
    <t>EASTWEST-CHECKING</t>
  </si>
  <si>
    <t>FIRST VALLEY -CHECKING</t>
  </si>
  <si>
    <t>KATIPUNAN BANK-SAVINGS</t>
  </si>
  <si>
    <t>METROBANK-CHECKING</t>
  </si>
  <si>
    <t>PNB - CHECKING</t>
  </si>
  <si>
    <t>PSBC - CHECKING</t>
  </si>
  <si>
    <t>PSBC- SAVINGS</t>
  </si>
  <si>
    <t>RCBC -SAVINGS</t>
  </si>
  <si>
    <t>COH</t>
  </si>
  <si>
    <t>CASH/CHECK ON HAND</t>
  </si>
  <si>
    <t>PNB - OPEX</t>
  </si>
  <si>
    <t>A/Receivables - CNR</t>
  </si>
  <si>
    <t>ACCOUNT TITLES</t>
  </si>
  <si>
    <t>CLASSIFICATION</t>
  </si>
  <si>
    <t>Sub-Accounts</t>
  </si>
  <si>
    <t>Major Accounts</t>
  </si>
  <si>
    <t>Petty Cash Fund</t>
  </si>
  <si>
    <t>Cash &amp; Cash in Bank</t>
  </si>
  <si>
    <t>Petty Cash</t>
  </si>
  <si>
    <t>Current Assets</t>
  </si>
  <si>
    <t>Asset</t>
  </si>
  <si>
    <t>Cash on Hand-DHPP</t>
  </si>
  <si>
    <t>Cash on Hand</t>
  </si>
  <si>
    <t>Cash on Hand-DMIE</t>
  </si>
  <si>
    <t>Cash on Hand-OPS</t>
  </si>
  <si>
    <t>Due from Other Bank_EW-DHPP</t>
  </si>
  <si>
    <t>Due From Other Bank</t>
  </si>
  <si>
    <t>Due from Banks</t>
  </si>
  <si>
    <t>Due from Other Bank_EW-DMIE</t>
  </si>
  <si>
    <t>Due from Other Bank_EW-OPS</t>
  </si>
  <si>
    <t>Cash in Bank_1VB-DHPP</t>
  </si>
  <si>
    <t>Cash in Bank</t>
  </si>
  <si>
    <t>Cash in Bank_1VB-DMIE</t>
  </si>
  <si>
    <t>Cash in Bank_1VB-OPS</t>
  </si>
  <si>
    <t>Cash in Bank_PNB-DHPP</t>
  </si>
  <si>
    <t>Cash in Bank_PNB-DMIE</t>
  </si>
  <si>
    <t>Cash in Bank_PNB-OPS</t>
  </si>
  <si>
    <t>Cash in Bank_PSBC-DHPP</t>
  </si>
  <si>
    <t>Cash in Bank_PSBC-DMIE</t>
  </si>
  <si>
    <t>Cash in Bank_PSBC-OPS</t>
  </si>
  <si>
    <t>Cash in Bank_KB-DHPP</t>
  </si>
  <si>
    <t>Cash in Bank_KB-DMIE</t>
  </si>
  <si>
    <t>Cash in Bank_KB-OPS</t>
  </si>
  <si>
    <t>Cash in Bank_BDO Unibank-DHPP</t>
  </si>
  <si>
    <t>Cash in Bank_BDO Unibank-DMIE</t>
  </si>
  <si>
    <t>Cash in Bank_BDO Unibank-OPS</t>
  </si>
  <si>
    <t>Cash in Bank_MBTC-DHPP</t>
  </si>
  <si>
    <t>Cash in Bank_MBTC-DMIE</t>
  </si>
  <si>
    <t>Cash in Bank_MBTC-OPS</t>
  </si>
  <si>
    <t>Cash in Bank_RCBC-DHPP</t>
  </si>
  <si>
    <t>Cash in Bank_RCBC-DMIE</t>
  </si>
  <si>
    <t>Cash in Bank_RCBC-OPS</t>
  </si>
  <si>
    <t>Cash in Bank_ChinaBank-DHPP</t>
  </si>
  <si>
    <t>Cash in Bank_ChinaBank-DMIE</t>
  </si>
  <si>
    <t>Cash in Bank_ChinaBank-OPS</t>
  </si>
  <si>
    <t>Cash in Bank_PSBC Checking-DHPP</t>
  </si>
  <si>
    <t>Cash in Bank_PSBC Checking-DMIE</t>
  </si>
  <si>
    <t>Cash in Bank_PSBC Checking-OPS</t>
  </si>
  <si>
    <t>A/Receivables - Installment-DHPP</t>
  </si>
  <si>
    <t>Trade Receivables</t>
  </si>
  <si>
    <t>Accounts Receivable</t>
  </si>
  <si>
    <t>A/Receivables - Installment-DMIE</t>
  </si>
  <si>
    <t>A/Receivables - Installment-OPS</t>
  </si>
  <si>
    <t>A/Receivables - Other Current-DHPP</t>
  </si>
  <si>
    <t>A/Receivables - Other Current-DMIE</t>
  </si>
  <si>
    <t>A/Receivables - Other Current-OPS</t>
  </si>
  <si>
    <t>A/Receivables - Fuel Clients</t>
  </si>
  <si>
    <t>Advances to Suppliers - DHPP</t>
  </si>
  <si>
    <t>Advances to Suppliers</t>
  </si>
  <si>
    <t>Advances to Suppliers - DMIE</t>
  </si>
  <si>
    <t>Advances to Suppliers - OPS</t>
  </si>
  <si>
    <t>A/Receivables - Consignment</t>
  </si>
  <si>
    <t>Non-Trade Receivables</t>
  </si>
  <si>
    <t>Other Receivables</t>
  </si>
  <si>
    <t>Advances to Employees - DHPP</t>
  </si>
  <si>
    <t>Employees Receivable</t>
  </si>
  <si>
    <t>Advances to Employees - DMIE</t>
  </si>
  <si>
    <t>Advances to Employees - OPS</t>
  </si>
  <si>
    <t>Accrued Income - DHPP</t>
  </si>
  <si>
    <t>Accrued Income</t>
  </si>
  <si>
    <t>Accrued Income - DMIE</t>
  </si>
  <si>
    <t>Accrued Income - OPS</t>
  </si>
  <si>
    <t>Due from STPC - DHPP</t>
  </si>
  <si>
    <t>Due from Related Party</t>
  </si>
  <si>
    <t>Due from Other Cos. - DHPP</t>
  </si>
  <si>
    <t>Due from Other Cos. - DMIE</t>
  </si>
  <si>
    <t>Due from Other Cos. - OPS</t>
  </si>
  <si>
    <t>Advances to Contractors_Current - DHPP</t>
  </si>
  <si>
    <t>Advances to Contractors</t>
  </si>
  <si>
    <t>Advances to Contractors_Current - DMIE</t>
  </si>
  <si>
    <t>Advances to Contractors_Current - OPS</t>
  </si>
  <si>
    <t>Fuel Inventory</t>
  </si>
  <si>
    <t>Trade Assets</t>
  </si>
  <si>
    <t>Inventory</t>
  </si>
  <si>
    <t>Fuel Inventory at Dohinob</t>
  </si>
  <si>
    <t>Fuel Inventory at San Pedro</t>
  </si>
  <si>
    <t>Fuel Inventory at Office</t>
  </si>
  <si>
    <t>Spare Parts for Vehicle</t>
  </si>
  <si>
    <t>Lubricants for Consumption</t>
  </si>
  <si>
    <t>Spare Parts for Machinery</t>
  </si>
  <si>
    <t>Lubricants for Sale</t>
  </si>
  <si>
    <t>Industrial Equipment</t>
  </si>
  <si>
    <t>Tires</t>
  </si>
  <si>
    <t>Machinery (TSRO)</t>
  </si>
  <si>
    <t>Prepaid Rent-DHPP</t>
  </si>
  <si>
    <t>Non-Trade Assets</t>
  </si>
  <si>
    <t>Prepaid Expense</t>
  </si>
  <si>
    <t>Prepaid Rent-DMIE</t>
  </si>
  <si>
    <t>Prepaid Insurance - DHPP</t>
  </si>
  <si>
    <t>Prepaid Insurance - DMIE</t>
  </si>
  <si>
    <t>Prepaid Subscription - DHPP</t>
  </si>
  <si>
    <t>Prepaid Subscription - DMIE</t>
  </si>
  <si>
    <t>Prepaid Taxes - DHPP</t>
  </si>
  <si>
    <t>Prepaid Taxes - DMIE</t>
  </si>
  <si>
    <t>Prepaid Taxes - OPS</t>
  </si>
  <si>
    <t>Prepaid Utilities - DHPP</t>
  </si>
  <si>
    <t>Prepaid Utilities - DMIE</t>
  </si>
  <si>
    <t>Prepaid Utilities - OPS</t>
  </si>
  <si>
    <t>Prepaid - Others - DHPP</t>
  </si>
  <si>
    <t>Prepaid - Others - DMIE</t>
  </si>
  <si>
    <t>Prepaid - Others - OPS</t>
  </si>
  <si>
    <t>Other Current Assets - DHPP</t>
  </si>
  <si>
    <t>Other Current Assets - DMIE</t>
  </si>
  <si>
    <t>Other Current Assets - OPS</t>
  </si>
  <si>
    <t>Tanker Cab and Chassis</t>
  </si>
  <si>
    <t>Fixed Assets</t>
  </si>
  <si>
    <t>Vehicles/Specialized /Heavy Equipments</t>
  </si>
  <si>
    <t>Non-Current Assets</t>
  </si>
  <si>
    <t>Fuel Tankers</t>
  </si>
  <si>
    <t>Boom Trucks</t>
  </si>
  <si>
    <t>Office Vehicles</t>
  </si>
  <si>
    <t>Other Vehicle/Specialized/Heavy Equip.</t>
  </si>
  <si>
    <t>Container Van</t>
  </si>
  <si>
    <t>Building and Improvements</t>
  </si>
  <si>
    <t>Motorpool</t>
  </si>
  <si>
    <t>Office Building Improvements</t>
  </si>
  <si>
    <t>Building and Others</t>
  </si>
  <si>
    <t>Furniture and Fixtures</t>
  </si>
  <si>
    <t>Air Conditioners</t>
  </si>
  <si>
    <t>Office Equipment</t>
  </si>
  <si>
    <t>Printers</t>
  </si>
  <si>
    <t>Television</t>
  </si>
  <si>
    <t>Computer Monitor</t>
  </si>
  <si>
    <t>Personal Computer</t>
  </si>
  <si>
    <t>Air Compressor</t>
  </si>
  <si>
    <t>Other Office Equip. - DHPP</t>
  </si>
  <si>
    <t>Other Office Equip. - DMIE</t>
  </si>
  <si>
    <t>Other Office Equip. - OPS</t>
  </si>
  <si>
    <t>Advances to Contractors_NC - DHPP</t>
  </si>
  <si>
    <t>Advances to Contractors_NC - DMIE</t>
  </si>
  <si>
    <t>Advances to Contractors_NC - OPS</t>
  </si>
  <si>
    <t>A/Payables - Current - DHPP</t>
  </si>
  <si>
    <t>Trade Payables</t>
  </si>
  <si>
    <t>Accounts Payable</t>
  </si>
  <si>
    <t>Current Liability</t>
  </si>
  <si>
    <t>Liability</t>
  </si>
  <si>
    <t>A/Payables - Current - DMIE</t>
  </si>
  <si>
    <t>A/Payables - Current - OPS</t>
  </si>
  <si>
    <t>Unearned Revenue - DHPP</t>
  </si>
  <si>
    <t>Deferred Revenue</t>
  </si>
  <si>
    <t>Unearned Revenue - DMIE</t>
  </si>
  <si>
    <t>Unearned Revenue - OPS</t>
  </si>
  <si>
    <t>A/Payables - Other Current - DHPP</t>
  </si>
  <si>
    <t>Non-Trade Payables</t>
  </si>
  <si>
    <t>A/Payables - Other Current - DMIE</t>
  </si>
  <si>
    <t>A/Payables - Other Current - OPS</t>
  </si>
  <si>
    <t>Accrued Expenses - Others - DHPP</t>
  </si>
  <si>
    <t>Accrued Expenses</t>
  </si>
  <si>
    <t>Accrued Expenses - Others - DMIE</t>
  </si>
  <si>
    <t>Accrued Expenses - Others - OPS</t>
  </si>
  <si>
    <t>Accrued Utilities Expenses -DHPP</t>
  </si>
  <si>
    <t>Accrued Utilities Expenses -DMIE</t>
  </si>
  <si>
    <t>Accrued Utilities Expenses -OPS</t>
  </si>
  <si>
    <t>Accrued Salaries and Benefits - DHPP</t>
  </si>
  <si>
    <t>Accrued Salaries and Benefits - DMIE</t>
  </si>
  <si>
    <t>Accrued Salaries and Benefits - OPS</t>
  </si>
  <si>
    <t>SSS Payable - DHPP</t>
  </si>
  <si>
    <t>Govt. Mandatory Contribution Payable</t>
  </si>
  <si>
    <t>SSS Payable - DMIE</t>
  </si>
  <si>
    <t>SSS Payable - OPS</t>
  </si>
  <si>
    <t>PHIC Payable - DHPP</t>
  </si>
  <si>
    <t>PHIC Payable - DMIE</t>
  </si>
  <si>
    <t>PHIC Payable - OPS</t>
  </si>
  <si>
    <t>HDMF Payable - DHPP</t>
  </si>
  <si>
    <t>HDMF Payable - DMIE</t>
  </si>
  <si>
    <t>HDMF Payable - OPS</t>
  </si>
  <si>
    <t>ER SSS Payable - DHPP</t>
  </si>
  <si>
    <t>ER SSS Payable - DMIE</t>
  </si>
  <si>
    <t>ER SSS Payable - OPS</t>
  </si>
  <si>
    <t>ER PHIC Payable - DHPP</t>
  </si>
  <si>
    <t>ER PHIC Payable - DMIE</t>
  </si>
  <si>
    <t>ER PHIC Payable - OPS</t>
  </si>
  <si>
    <t>ER HDMF Payable - DHPP</t>
  </si>
  <si>
    <t>ER HDMF Payable - DMIE</t>
  </si>
  <si>
    <t>ER HDMF Payable - OPS</t>
  </si>
  <si>
    <t>Loans Payable _Current - DHPP</t>
  </si>
  <si>
    <t>Loans Payable</t>
  </si>
  <si>
    <t>Loans Payable _Current - DMIE</t>
  </si>
  <si>
    <t>Loans Payable _Current - OPS</t>
  </si>
  <si>
    <t>Interest Payable _Current - DHPP</t>
  </si>
  <si>
    <t>Interest Payable _Current - DMIE</t>
  </si>
  <si>
    <t>Interest Payable _Current - OPS</t>
  </si>
  <si>
    <t>Other Payables - Leitourgos</t>
  </si>
  <si>
    <t>Due to Other Cos.</t>
  </si>
  <si>
    <t>Other Payables_Current - DHPP</t>
  </si>
  <si>
    <t>Other Payables - Current</t>
  </si>
  <si>
    <t>Other Payables_Current - DMIE</t>
  </si>
  <si>
    <t>Other Payables_Current - OPS</t>
  </si>
  <si>
    <t>Reimbursements Payable - DHPP</t>
  </si>
  <si>
    <t>Due to Officers</t>
  </si>
  <si>
    <t>Reimbursements Payable - DMIE</t>
  </si>
  <si>
    <t>Reimbursements Payable - OPS</t>
  </si>
  <si>
    <t>Loans Payable _NC - DHPP</t>
  </si>
  <si>
    <t>Loans Payable - NC</t>
  </si>
  <si>
    <t>Non-Current Liability</t>
  </si>
  <si>
    <t>Loans Payable _NC - DMIE</t>
  </si>
  <si>
    <t>Loans Payable _NC - OPS</t>
  </si>
  <si>
    <t>Interest Payable _NC - DHPP</t>
  </si>
  <si>
    <t>Interest Payable _NC - DMIE</t>
  </si>
  <si>
    <t>Interest Payable _NC - OPS</t>
  </si>
  <si>
    <t>Payables to Officers - DHPP</t>
  </si>
  <si>
    <t>Other Payables - NC</t>
  </si>
  <si>
    <t>Payables to Officers - DMIE</t>
  </si>
  <si>
    <t>Payables to Officers - OPS</t>
  </si>
  <si>
    <t>Other Noncurrent Payables - DHPP</t>
  </si>
  <si>
    <t>Other Noncurrent Payables - DMIE</t>
  </si>
  <si>
    <t>Other Noncurrent Payables - OPS</t>
  </si>
  <si>
    <t>E.Bagatua Capital - DHPP</t>
  </si>
  <si>
    <t>E.Bagatua, Capital</t>
  </si>
  <si>
    <t>Equity</t>
  </si>
  <si>
    <t>E.Bagatua Capital - DMIE</t>
  </si>
  <si>
    <t>E.Bagatua Capital - OPS</t>
  </si>
  <si>
    <t>E.Bagatua, Drawings - DHPP</t>
  </si>
  <si>
    <t>E.Bagatua, Drawings</t>
  </si>
  <si>
    <t>E.Bagatua, Drawings - DMIE</t>
  </si>
  <si>
    <t>E.Bagatua, Drawings - OPS</t>
  </si>
  <si>
    <t>Sales -Fuel Hauling</t>
  </si>
  <si>
    <t>Trade Income</t>
  </si>
  <si>
    <t>Sales</t>
  </si>
  <si>
    <t>Revenue</t>
  </si>
  <si>
    <t>Sales Discount - Hauling</t>
  </si>
  <si>
    <t>Sales Discount</t>
  </si>
  <si>
    <t>Sales - DMIE</t>
  </si>
  <si>
    <t>Sales Discount - DMIE</t>
  </si>
  <si>
    <t>Sales - OPS</t>
  </si>
  <si>
    <t>Sales Discount - OPS</t>
  </si>
  <si>
    <t>Gain on Freebies</t>
  </si>
  <si>
    <t>Other Income</t>
  </si>
  <si>
    <t>Service Income</t>
  </si>
  <si>
    <t>Reversal of Gain on Freebies</t>
  </si>
  <si>
    <t>Miscellaneous Income - OPS</t>
  </si>
  <si>
    <t>Miscellaneous Income - DMIE</t>
  </si>
  <si>
    <t>Miscellaneous Income - DHPP</t>
  </si>
  <si>
    <t>Income from Disposal - DHPP</t>
  </si>
  <si>
    <t>Non-Trade Income</t>
  </si>
  <si>
    <t>Income from Disposal - DMIE</t>
  </si>
  <si>
    <t>Income from Disposal - OPS</t>
  </si>
  <si>
    <t>Interest Income - DHPP</t>
  </si>
  <si>
    <t>Interest Income - DMIE</t>
  </si>
  <si>
    <t>Interest Income - OPS</t>
  </si>
  <si>
    <t>COGS - Fuel Purchase</t>
  </si>
  <si>
    <t>Trade Expense</t>
  </si>
  <si>
    <t>Cost of Sales</t>
  </si>
  <si>
    <t>COGS - Fuel Purchase Discount</t>
  </si>
  <si>
    <t>COGS - Gasoline Expenses_DHPP</t>
  </si>
  <si>
    <t>COGS - Trip Wages</t>
  </si>
  <si>
    <t>COGS - Operational Staff_DHPP</t>
  </si>
  <si>
    <t>COGS - Labor Cost_DHPP</t>
  </si>
  <si>
    <t>COGS - Repairs and Maintenance_DHPP</t>
  </si>
  <si>
    <t>COGS - Cartrack Subscription Fees</t>
  </si>
  <si>
    <t>COGS - Storage and Handling Cost_DHPP</t>
  </si>
  <si>
    <t>COGS - Toll Fees_DHPP</t>
  </si>
  <si>
    <t>COGS - Other Direct Fees_DHPP</t>
  </si>
  <si>
    <t>COGS - Depreciation of Fuel Tankers_DHPP</t>
  </si>
  <si>
    <t>COGS - Calibration Bucket</t>
  </si>
  <si>
    <t>COGS - Gasoline Expenses_DMIE</t>
  </si>
  <si>
    <t>COGS - Inverter</t>
  </si>
  <si>
    <t>COGS - Lubricants for Consumption</t>
  </si>
  <si>
    <t>COGS - Machinery (TSRO)</t>
  </si>
  <si>
    <t>COGS - Operational Staff_DMIE</t>
  </si>
  <si>
    <t>COGS - Labor Cost_DMIE</t>
  </si>
  <si>
    <t>COGS - Other Charges (TSRO)</t>
  </si>
  <si>
    <t>COGS - Other Direct Fees_DMIE</t>
  </si>
  <si>
    <t>COGS - Other Industrial Equipment</t>
  </si>
  <si>
    <t>COGS - Reconditioning Expenses</t>
  </si>
  <si>
    <t>COGS - Repairs and Maintenance_DMIE</t>
  </si>
  <si>
    <t>COGS - Shipping Fees (TSRO)</t>
  </si>
  <si>
    <t>COGS - Storage and Handling Cost_DMIE</t>
  </si>
  <si>
    <t>COGS - Toll Fees_DMIE</t>
  </si>
  <si>
    <t>COGS - Transfer Pump</t>
  </si>
  <si>
    <t>COGS - Other DMIE</t>
  </si>
  <si>
    <t>COGS - Depreciation of DMIE Vehicles</t>
  </si>
  <si>
    <t>COGS - Lubricants for Sale</t>
  </si>
  <si>
    <t>COGS - Repairs and Maintenance_OPS</t>
  </si>
  <si>
    <t>COGS - Operational Staff_OPS</t>
  </si>
  <si>
    <t>COGS - Labor Cost_OPS</t>
  </si>
  <si>
    <t>COGS - Other OPS</t>
  </si>
  <si>
    <t>Hotel Accomodation / Lodging / Resthouse_DHPP</t>
  </si>
  <si>
    <t>Non-Trade Expense</t>
  </si>
  <si>
    <t>Accommodation Fees</t>
  </si>
  <si>
    <t>Operating Expense</t>
  </si>
  <si>
    <t>Hotel Accomodation / Lodging / Resthouse_DMIE</t>
  </si>
  <si>
    <t>Hotel Accomodation / Lodging / Resthouse_OPS</t>
  </si>
  <si>
    <t>Bad Debts Expense_DHPP</t>
  </si>
  <si>
    <t>Bad Debts</t>
  </si>
  <si>
    <t>Bad Debts Expense_DMIE</t>
  </si>
  <si>
    <t>Bad Debts Expense_OPS</t>
  </si>
  <si>
    <t>Bank/Service Charges_DHPP</t>
  </si>
  <si>
    <t>Bank Fees</t>
  </si>
  <si>
    <t>Bank/Service Charges_DMIE</t>
  </si>
  <si>
    <t>Bank/Service Charges_OPS</t>
  </si>
  <si>
    <t>Depreciation Expense_DHPP</t>
  </si>
  <si>
    <t>Depreciation Expense</t>
  </si>
  <si>
    <t>Depreciation Expense_DMIE</t>
  </si>
  <si>
    <t>Depreciation Expense_OPS</t>
  </si>
  <si>
    <t>Government ER Shares_DHPP</t>
  </si>
  <si>
    <t>Employer Mandatory Contribution</t>
  </si>
  <si>
    <t>Government ER Share_DMIE</t>
  </si>
  <si>
    <t>Government ER Share_OPS</t>
  </si>
  <si>
    <t>Impairment Loss_DHPP</t>
  </si>
  <si>
    <t>Impairment of Assets</t>
  </si>
  <si>
    <t>Impairment Loss_DMIE</t>
  </si>
  <si>
    <t>Insurance Expense_DHPP</t>
  </si>
  <si>
    <t>Insurances Fees</t>
  </si>
  <si>
    <t>Insurance Expense_DMIE</t>
  </si>
  <si>
    <t>Insurance Expense_OPS</t>
  </si>
  <si>
    <t>Interest Expense_DHPP</t>
  </si>
  <si>
    <t>Interest Expenses</t>
  </si>
  <si>
    <t>Interest Expense_DMIE</t>
  </si>
  <si>
    <t>Attorney's Fee_DHPP</t>
  </si>
  <si>
    <t>Legal and Professional Fees</t>
  </si>
  <si>
    <t>Attorney's Fee_DMIE</t>
  </si>
  <si>
    <t>Attorney's Fee_OPS</t>
  </si>
  <si>
    <t>Consultant's Fees_DHPP</t>
  </si>
  <si>
    <t>Consultant's Fees_DMIE</t>
  </si>
  <si>
    <t>Consultant's Fees_OPS</t>
  </si>
  <si>
    <t>Documentation Fees_DHPP</t>
  </si>
  <si>
    <t>Documentation Fees_DMIE</t>
  </si>
  <si>
    <t>Documentation Fees_OPS</t>
  </si>
  <si>
    <t>Notarial Fees_DHPP</t>
  </si>
  <si>
    <t>Notarial Fees_DMIE</t>
  </si>
  <si>
    <t>Notarial Fees_OPS</t>
  </si>
  <si>
    <t>Retainers Fee_DHPP</t>
  </si>
  <si>
    <t>Retainers Fee_DMIE</t>
  </si>
  <si>
    <t>Retainers Fee_OPS</t>
  </si>
  <si>
    <t>Stipend_DHPP</t>
  </si>
  <si>
    <t>Stipend_DMIE</t>
  </si>
  <si>
    <t>Stipend_OPS</t>
  </si>
  <si>
    <t>Loan-Related Expenses_DHPP</t>
  </si>
  <si>
    <t>Loan Related Expenses</t>
  </si>
  <si>
    <t>Loan-Related Expenses_DMIE</t>
  </si>
  <si>
    <t>Loan-Related Expenses_OPS</t>
  </si>
  <si>
    <t>Office Supplies_DHPP</t>
  </si>
  <si>
    <t>Office Supplies Expenses</t>
  </si>
  <si>
    <t>Office Supplies_DMIE</t>
  </si>
  <si>
    <t>Office Supplies_OPS</t>
  </si>
  <si>
    <t>Other Fees/Charges_DHPP</t>
  </si>
  <si>
    <t>Other Operating Expenses</t>
  </si>
  <si>
    <t>Other Fees/Charges_DMIE</t>
  </si>
  <si>
    <t>Other Operating Expenses_DHPP</t>
  </si>
  <si>
    <t>Other Operating Expenses_DMIE</t>
  </si>
  <si>
    <t>Other Operating Expenses_OPS</t>
  </si>
  <si>
    <t>Other Professional Fees_DHPP</t>
  </si>
  <si>
    <t>Other Professional Fees_DMIE</t>
  </si>
  <si>
    <t>Other Professional Fees_OPS</t>
  </si>
  <si>
    <t>Other Repairs &amp; Maintenance_DHPP</t>
  </si>
  <si>
    <t>Other Repairs &amp; Maintenance_DMIE</t>
  </si>
  <si>
    <t>Other Repairs &amp; Maintenance_OPS</t>
  </si>
  <si>
    <t>Other Toll Fees / Parking fees_DHPP</t>
  </si>
  <si>
    <t>Other Toll Fees / Parking fees_DMIE</t>
  </si>
  <si>
    <t>Other Toll Fees / Parking fees_OPS</t>
  </si>
  <si>
    <t>Pantry Supplies_DHPP</t>
  </si>
  <si>
    <t>Pantry Supplies_DMIE</t>
  </si>
  <si>
    <t>Pantry Supplies_OPS</t>
  </si>
  <si>
    <t>Truck &amp; Tanker Supplies_DHPP</t>
  </si>
  <si>
    <t>Truck &amp; Tanker Supplies_DMIE</t>
  </si>
  <si>
    <t>Truck &amp; Tanker Supplies_OPS</t>
  </si>
  <si>
    <t>13th Month Pay_DHPP</t>
  </si>
  <si>
    <t>Salary and Company Benefits</t>
  </si>
  <si>
    <t>13th Month Pay_DMIE</t>
  </si>
  <si>
    <t>13th Month Pay_OPS</t>
  </si>
  <si>
    <t>14th Month Pay_DHPP</t>
  </si>
  <si>
    <t>14th Month Pay_DMIE</t>
  </si>
  <si>
    <t>14th Month Pay_OPS</t>
  </si>
  <si>
    <t>Commission Fee_DHPP</t>
  </si>
  <si>
    <t>Commission Fee_DMIE</t>
  </si>
  <si>
    <t>Commission Fee_OPS</t>
  </si>
  <si>
    <t>Load Allowance_DHPP</t>
  </si>
  <si>
    <t>Load Allowance_DMIE</t>
  </si>
  <si>
    <t>Load Allowance_OPS</t>
  </si>
  <si>
    <t>Meals Allowance_DHPP</t>
  </si>
  <si>
    <t>Meals Allowance_DMIE</t>
  </si>
  <si>
    <t>Meals Allowance_OPS</t>
  </si>
  <si>
    <t>Other Allowances_DHPP</t>
  </si>
  <si>
    <t>Other Allowances_DMIE</t>
  </si>
  <si>
    <t>Other Allowances_OPS</t>
  </si>
  <si>
    <t>Other Company Bonuses_DHPP</t>
  </si>
  <si>
    <t>Other Company Bonuses_DMIE</t>
  </si>
  <si>
    <t>Other Company Bonuses_OPS</t>
  </si>
  <si>
    <t xml:space="preserve">Salaries and Benefits - OT Pay_DHPP </t>
  </si>
  <si>
    <t>Salaries and Benefits - OT Pay_DMIE</t>
  </si>
  <si>
    <t>Salaries and Benefits - OT Pay_OPS</t>
  </si>
  <si>
    <t>Salaries and Benefits-Dept. Head_DHPP</t>
  </si>
  <si>
    <t>Salaries and Benefits-Dept. Head_DMIE</t>
  </si>
  <si>
    <t>Salaries and Benefits-Dept. Head_OPS</t>
  </si>
  <si>
    <t>Salaries and Benefits-Executive_DHPP</t>
  </si>
  <si>
    <t>Salaries and Benefits-Executive_DMIE</t>
  </si>
  <si>
    <t>Salaries and Benefits-Executive_OPS</t>
  </si>
  <si>
    <t>Salaries and Benefits-R&amp;F_DHPP</t>
  </si>
  <si>
    <t>Salaries and Benefits-R&amp;F_DMIE</t>
  </si>
  <si>
    <t>Salaries and Benefits-R&amp;F_OPS</t>
  </si>
  <si>
    <t>Salaries and Benefits-Supervisor_DHPP</t>
  </si>
  <si>
    <t>Salaries and Benefits-Supervisor_DMIE</t>
  </si>
  <si>
    <t>Salaries and Benefits-Supervisor_OPS</t>
  </si>
  <si>
    <t>Welfare Fund_DHPP</t>
  </si>
  <si>
    <t>Welfare Fund_DMIE</t>
  </si>
  <si>
    <t>Welfare Fund_OPS</t>
  </si>
  <si>
    <t>Business Registration Fees_DHPP</t>
  </si>
  <si>
    <t>Taxes, Licenses, Penalties</t>
  </si>
  <si>
    <t>Business Registration Fees_DMIE</t>
  </si>
  <si>
    <t>Business Registration Fees_OPS</t>
  </si>
  <si>
    <t>Documentary Stamp Tax (DST)_DHPP</t>
  </si>
  <si>
    <t>Documentary Stamp Tax (DST)_DMIE</t>
  </si>
  <si>
    <t>Documentary Stamp Tax (DST)_OPS</t>
  </si>
  <si>
    <t>Taxes, Licenses, Penalties_DHPP</t>
  </si>
  <si>
    <t>Taxes, Licenses, Penalties_DMIE</t>
  </si>
  <si>
    <t>Taxes, Licenses, Penalties_OPS</t>
  </si>
  <si>
    <t>Fuel &amp; Oil_DHPP</t>
  </si>
  <si>
    <t>Travel Related Expenses</t>
  </si>
  <si>
    <t>Fuel &amp; Oil_DMIE</t>
  </si>
  <si>
    <t>Fuel &amp; Oil_OPS</t>
  </si>
  <si>
    <t>Travel Allowance_DHPP</t>
  </si>
  <si>
    <t>Travel Allowance_DMIE</t>
  </si>
  <si>
    <t>Travel Allowance_OPS</t>
  </si>
  <si>
    <t>Utilities Expenses_DHPP</t>
  </si>
  <si>
    <t>Utilities Expenses</t>
  </si>
  <si>
    <t>Utilities Expenses_DMIE</t>
  </si>
  <si>
    <t>Utilities Expenses_OPS</t>
  </si>
  <si>
    <t>Withholding Tax-Compensation_DHPP</t>
  </si>
  <si>
    <t>Withholding Taxes</t>
  </si>
  <si>
    <t>Withholding Tax-Compensation_DMIE</t>
  </si>
  <si>
    <t>Withholding Tax-Compensation_OPS</t>
  </si>
  <si>
    <t>Withholding Tax-Expanded_DHPP</t>
  </si>
  <si>
    <t>Withholding Tax-Expanded_DMIE</t>
  </si>
  <si>
    <t>Withholding Tax-Expanded_OPS</t>
  </si>
  <si>
    <t>Withholding Tax-Final_DHPP</t>
  </si>
  <si>
    <t>Withholding Tax-Final_DMIE</t>
  </si>
  <si>
    <t>Withholding Tax-Final_OPS</t>
  </si>
  <si>
    <t>Income Tax_DHPP</t>
  </si>
  <si>
    <t>Income Taxes</t>
  </si>
  <si>
    <t>Income Tax_DMIE</t>
  </si>
  <si>
    <t>Income Tax_OPS</t>
  </si>
  <si>
    <t>Miscellaneous Expenses_DHPP</t>
  </si>
  <si>
    <t>Other Expenses</t>
  </si>
  <si>
    <t>Non-Operating Expense</t>
  </si>
  <si>
    <t>Miscellaneous Expenses_DMIE</t>
  </si>
  <si>
    <t>Miscellaneous Expenses_OPS</t>
  </si>
  <si>
    <t>Other Gen. and Admin. Expenses_DHPP</t>
  </si>
  <si>
    <t>Gen. and Admin. Expenses</t>
  </si>
  <si>
    <t>Other Gen. and Admin. Expenses_DMIE</t>
  </si>
  <si>
    <t>Other Gen. and Admin. Expenses_OPS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</si>
</sst>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ahoma"/>
      <family val="2"/>
    </font>
    <font>
      <sz val="12"/>
      <name val="Tahoma"/>
      <family val="2"/>
    </font>
    <font>
      <sz val="12"/>
      <color theme="1"/>
      <name val="Tahoma"/>
      <family val="2"/>
    </font>
    <font>
      <sz val="9"/>
      <name val="Tahoma"/>
      <family val="2"/>
    </font>
    <font>
      <sz val="12"/>
      <color rgb="FF000000"/>
      <name val="Tahoma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  <charset val="134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FC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D1FF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Alignment="0"/>
  </cellStyleXfs>
  <cellXfs count="40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43" fontId="0" fillId="0" borderId="0" xfId="1" applyNumberFormat="1" applyFont="1" applyAlignment="1">
      <alignment horizontal="right"/>
    </xf>
    <xf numFmtId="43" fontId="2" fillId="0" borderId="0" xfId="1" applyNumberFormat="1" applyFont="1" applyAlignment="1">
      <alignment horizontal="righ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7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7" fillId="0" borderId="1" xfId="2" applyFont="1" applyBorder="1" applyAlignment="1"/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8" fillId="0" borderId="0" xfId="0" applyFont="1"/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2" fillId="8" borderId="0" xfId="0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0" borderId="4" xfId="0" applyBorder="1"/>
    <xf numFmtId="0" fontId="2" fillId="3" borderId="3" xfId="0" applyFont="1" applyFill="1" applyBorder="1" applyAlignment="1">
      <alignment horizontal="center" vertical="center" wrapText="1"/>
    </xf>
    <xf numFmtId="164" fontId="0" fillId="9" borderId="10" xfId="1" applyFont="1" applyFill="1" applyBorder="1" applyAlignment="1">
      <alignment horizontal="center"/>
    </xf>
    <xf numFmtId="164" fontId="0" fillId="9" borderId="11" xfId="1" applyFont="1" applyFill="1" applyBorder="1" applyAlignment="1">
      <alignment horizontal="center"/>
    </xf>
    <xf numFmtId="0" fontId="0" fillId="10" borderId="4" xfId="0" applyFill="1" applyBorder="1"/>
    <xf numFmtId="0" fontId="0" fillId="10" borderId="1" xfId="0" applyFill="1" applyBorder="1"/>
    <xf numFmtId="0" fontId="0" fillId="10" borderId="7" xfId="0" applyFill="1" applyBorder="1"/>
    <xf numFmtId="0" fontId="2" fillId="2" borderId="3" xfId="0" applyFont="1" applyFill="1" applyBorder="1" applyAlignment="1">
      <alignment horizontal="center" vertical="center" wrapText="1"/>
    </xf>
    <xf numFmtId="0" fontId="0" fillId="0" borderId="11" xfId="0" applyBorder="1"/>
    <xf numFmtId="43" fontId="0" fillId="0" borderId="7" xfId="0" applyNumberFormat="1" applyBorder="1"/>
    <xf numFmtId="0" fontId="0" fillId="10" borderId="8" xfId="0" applyFill="1" applyBorder="1" applyAlignment="1">
      <alignment horizontal="left"/>
    </xf>
    <xf numFmtId="0" fontId="13" fillId="10" borderId="12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2" fillId="7" borderId="3" xfId="0" applyFont="1" applyFill="1" applyBorder="1" applyAlignment="1">
      <alignment horizontal="center" vertical="center"/>
    </xf>
    <xf numFmtId="0" fontId="0" fillId="0" borderId="12" xfId="0" applyBorder="1"/>
    <xf numFmtId="0" fontId="0" fillId="0" borderId="3" xfId="0" applyBorder="1"/>
    <xf numFmtId="0" fontId="0" fillId="11" borderId="0" xfId="0" applyFill="1" applyAlignment="1">
      <alignment horizontal="center"/>
    </xf>
    <xf numFmtId="0" fontId="0" fillId="11" borderId="7" xfId="0" applyFill="1" applyBorder="1"/>
    <xf numFmtId="0" fontId="0" fillId="11" borderId="8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1" borderId="1" xfId="0" applyFill="1" applyBorder="1"/>
    <xf numFmtId="0" fontId="0" fillId="11" borderId="1" xfId="0" applyFill="1" applyBorder="1" applyAlignment="1">
      <alignment horizontal="center" vertical="center" wrapText="1"/>
    </xf>
    <xf numFmtId="43" fontId="0" fillId="11" borderId="7" xfId="0" applyNumberFormat="1" applyFill="1" applyBorder="1"/>
    <xf numFmtId="0" fontId="15" fillId="11" borderId="12" xfId="0" applyFont="1" applyFill="1" applyBorder="1"/>
    <xf numFmtId="0" fontId="0" fillId="11" borderId="10" xfId="0" applyFill="1" applyBorder="1" applyAlignment="1">
      <alignment horizontal="center"/>
    </xf>
    <xf numFmtId="164" fontId="0" fillId="11" borderId="11" xfId="1" applyFont="1" applyFill="1" applyBorder="1" applyAlignment="1">
      <alignment horizontal="center"/>
    </xf>
    <xf numFmtId="0" fontId="0" fillId="11" borderId="4" xfId="0" applyFill="1" applyBorder="1"/>
    <xf numFmtId="0" fontId="0" fillId="11" borderId="11" xfId="0" applyFill="1" applyBorder="1"/>
    <xf numFmtId="0" fontId="0" fillId="11" borderId="0" xfId="0" applyFill="1"/>
    <xf numFmtId="0" fontId="15" fillId="11" borderId="12" xfId="0" applyFont="1" applyFill="1" applyBorder="1" applyAlignment="1">
      <alignment horizontal="left"/>
    </xf>
    <xf numFmtId="0" fontId="0" fillId="0" borderId="13" xfId="0" applyBorder="1"/>
    <xf numFmtId="0" fontId="0" fillId="0" borderId="13" xfId="0" applyBorder="1" applyAlignment="1">
      <alignment wrapText="1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wrapTex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12" borderId="0" xfId="0" applyFill="1"/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43" fontId="0" fillId="13" borderId="7" xfId="0" applyNumberFormat="1" applyFill="1" applyBorder="1"/>
    <xf numFmtId="0" fontId="0" fillId="13" borderId="0" xfId="0" applyFill="1" applyAlignment="1">
      <alignment horizontal="center"/>
    </xf>
    <xf numFmtId="0" fontId="13" fillId="13" borderId="12" xfId="0" applyFont="1" applyFill="1" applyBorder="1" applyAlignment="1">
      <alignment horizontal="left"/>
    </xf>
    <xf numFmtId="0" fontId="0" fillId="13" borderId="10" xfId="0" applyFill="1" applyBorder="1" applyAlignment="1">
      <alignment horizontal="center"/>
    </xf>
    <xf numFmtId="0" fontId="0" fillId="13" borderId="8" xfId="0" applyFill="1" applyBorder="1" applyAlignment="1">
      <alignment horizontal="left"/>
    </xf>
    <xf numFmtId="164" fontId="0" fillId="13" borderId="11" xfId="1" applyFont="1" applyFill="1" applyBorder="1" applyAlignment="1">
      <alignment horizontal="center" wrapText="1"/>
    </xf>
    <xf numFmtId="0" fontId="0" fillId="13" borderId="4" xfId="0" applyFill="1" applyBorder="1"/>
    <xf numFmtId="0" fontId="0" fillId="13" borderId="7" xfId="0" applyFill="1" applyBorder="1"/>
    <xf numFmtId="0" fontId="0" fillId="13" borderId="11" xfId="0" applyFill="1" applyBorder="1"/>
    <xf numFmtId="0" fontId="0" fillId="13" borderId="0" xfId="0" applyFill="1"/>
    <xf numFmtId="164" fontId="0" fillId="13" borderId="11" xfId="1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3" fontId="0" fillId="2" borderId="7" xfId="0" applyNumberFormat="1" applyFill="1" applyBorder="1"/>
    <xf numFmtId="0" fontId="0" fillId="2" borderId="10" xfId="0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164" fontId="0" fillId="2" borderId="11" xfId="1" applyFont="1" applyFill="1" applyBorder="1" applyAlignment="1">
      <alignment horizontal="center"/>
    </xf>
    <xf numFmtId="0" fontId="0" fillId="2" borderId="4" xfId="0" applyFill="1" applyBorder="1"/>
    <xf numFmtId="0" fontId="0" fillId="2" borderId="7" xfId="0" applyFill="1" applyBorder="1"/>
    <xf numFmtId="0" fontId="0" fillId="2" borderId="11" xfId="0" applyFill="1" applyBorder="1"/>
    <xf numFmtId="0" fontId="8" fillId="0" borderId="0" xfId="0" applyFont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14" fontId="0" fillId="13" borderId="1" xfId="0" quotePrefix="1" applyNumberForma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13" borderId="11" xfId="0" applyFill="1" applyBorder="1" applyAlignment="1">
      <alignment horizontal="center"/>
    </xf>
    <xf numFmtId="164" fontId="1" fillId="13" borderId="1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13" borderId="1" xfId="0" quotePrefix="1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0" fontId="13" fillId="11" borderId="12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3" borderId="1" xfId="0" quotePrefix="1" applyFont="1" applyFill="1" applyBorder="1" applyAlignment="1">
      <alignment horizontal="center"/>
    </xf>
    <xf numFmtId="0" fontId="0" fillId="13" borderId="4" xfId="0" applyFont="1" applyFill="1" applyBorder="1"/>
    <xf numFmtId="0" fontId="0" fillId="13" borderId="1" xfId="0" applyFont="1" applyFill="1" applyBorder="1"/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/>
    </xf>
    <xf numFmtId="43" fontId="0" fillId="14" borderId="7" xfId="0" applyNumberFormat="1" applyFill="1" applyBorder="1"/>
    <xf numFmtId="0" fontId="0" fillId="14" borderId="0" xfId="0" applyFill="1" applyAlignment="1">
      <alignment horizontal="center"/>
    </xf>
    <xf numFmtId="0" fontId="13" fillId="14" borderId="12" xfId="0" applyFont="1" applyFill="1" applyBorder="1" applyAlignment="1">
      <alignment horizontal="left"/>
    </xf>
    <xf numFmtId="0" fontId="0" fillId="14" borderId="10" xfId="0" applyFill="1" applyBorder="1" applyAlignment="1">
      <alignment horizontal="center"/>
    </xf>
    <xf numFmtId="0" fontId="0" fillId="14" borderId="8" xfId="0" applyFill="1" applyBorder="1" applyAlignment="1">
      <alignment horizontal="left"/>
    </xf>
    <xf numFmtId="164" fontId="0" fillId="14" borderId="11" xfId="1" applyFont="1" applyFill="1" applyBorder="1" applyAlignment="1">
      <alignment horizontal="center"/>
    </xf>
    <xf numFmtId="0" fontId="0" fillId="14" borderId="4" xfId="0" applyFill="1" applyBorder="1"/>
    <xf numFmtId="0" fontId="0" fillId="14" borderId="1" xfId="0" applyFill="1" applyBorder="1"/>
    <xf numFmtId="0" fontId="0" fillId="14" borderId="7" xfId="0" applyFill="1" applyBorder="1"/>
    <xf numFmtId="0" fontId="0" fillId="14" borderId="11" xfId="0" applyFill="1" applyBorder="1"/>
    <xf numFmtId="0" fontId="0" fillId="14" borderId="1" xfId="0" applyFont="1" applyFill="1" applyBorder="1"/>
    <xf numFmtId="0" fontId="0" fillId="14" borderId="1" xfId="0" applyFont="1" applyFill="1" applyBorder="1" applyAlignment="1">
      <alignment horizontal="center"/>
    </xf>
    <xf numFmtId="14" fontId="0" fillId="14" borderId="1" xfId="0" quotePrefix="1" applyNumberFormat="1" applyFont="1" applyFill="1" applyBorder="1" applyAlignment="1">
      <alignment horizontal="center"/>
    </xf>
    <xf numFmtId="0" fontId="0" fillId="14" borderId="0" xfId="0" applyFill="1"/>
    <xf numFmtId="14" fontId="0" fillId="14" borderId="1" xfId="0" quotePrefix="1" applyNumberFormat="1" applyFill="1" applyBorder="1" applyAlignment="1">
      <alignment horizontal="center"/>
    </xf>
    <xf numFmtId="164" fontId="0" fillId="14" borderId="11" xfId="1" applyFont="1" applyFill="1" applyBorder="1" applyAlignment="1">
      <alignment horizontal="center" wrapText="1"/>
    </xf>
    <xf numFmtId="0" fontId="0" fillId="14" borderId="1" xfId="0" quotePrefix="1" applyFill="1" applyBorder="1" applyAlignment="1">
      <alignment horizontal="center"/>
    </xf>
    <xf numFmtId="164" fontId="1" fillId="14" borderId="11" xfId="1" applyFont="1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43" fontId="0" fillId="14" borderId="7" xfId="0" applyNumberFormat="1" applyFont="1" applyFill="1" applyBorder="1"/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/>
    </xf>
    <xf numFmtId="0" fontId="0" fillId="13" borderId="1" xfId="0" applyFont="1" applyFill="1" applyBorder="1" applyAlignment="1">
      <alignment horizontal="center"/>
    </xf>
    <xf numFmtId="14" fontId="0" fillId="14" borderId="12" xfId="0" quotePrefix="1" applyNumberFormat="1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43" fontId="0" fillId="14" borderId="12" xfId="0" applyNumberFormat="1" applyFill="1" applyBorder="1"/>
    <xf numFmtId="0" fontId="0" fillId="14" borderId="12" xfId="0" applyFill="1" applyBorder="1" applyAlignment="1">
      <alignment horizontal="left"/>
    </xf>
    <xf numFmtId="164" fontId="0" fillId="14" borderId="12" xfId="1" applyFont="1" applyFill="1" applyBorder="1" applyAlignment="1">
      <alignment horizontal="center"/>
    </xf>
    <xf numFmtId="0" fontId="0" fillId="14" borderId="12" xfId="0" applyFill="1" applyBorder="1"/>
    <xf numFmtId="0" fontId="0" fillId="14" borderId="12" xfId="0" applyFont="1" applyFill="1" applyBorder="1" applyAlignment="1">
      <alignment horizontal="center"/>
    </xf>
    <xf numFmtId="0" fontId="0" fillId="14" borderId="8" xfId="0" applyFill="1" applyBorder="1"/>
    <xf numFmtId="14" fontId="0" fillId="14" borderId="3" xfId="0" quotePrefix="1" applyNumberFormat="1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43" fontId="0" fillId="14" borderId="15" xfId="0" applyNumberFormat="1" applyFill="1" applyBorder="1"/>
    <xf numFmtId="0" fontId="13" fillId="14" borderId="13" xfId="0" applyFont="1" applyFill="1" applyBorder="1" applyAlignment="1">
      <alignment horizontal="left"/>
    </xf>
    <xf numFmtId="0" fontId="0" fillId="14" borderId="16" xfId="0" applyFill="1" applyBorder="1" applyAlignment="1">
      <alignment horizontal="left"/>
    </xf>
    <xf numFmtId="0" fontId="0" fillId="14" borderId="6" xfId="0" applyFill="1" applyBorder="1"/>
    <xf numFmtId="0" fontId="0" fillId="14" borderId="3" xfId="0" applyFill="1" applyBorder="1"/>
    <xf numFmtId="0" fontId="0" fillId="14" borderId="15" xfId="0" applyFill="1" applyBorder="1"/>
    <xf numFmtId="0" fontId="0" fillId="14" borderId="3" xfId="0" applyFont="1" applyFill="1" applyBorder="1" applyAlignment="1">
      <alignment horizontal="center"/>
    </xf>
    <xf numFmtId="14" fontId="0" fillId="14" borderId="2" xfId="0" quotePrefix="1" applyNumberForma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43" fontId="0" fillId="14" borderId="17" xfId="0" applyNumberFormat="1" applyFill="1" applyBorder="1"/>
    <xf numFmtId="0" fontId="13" fillId="14" borderId="14" xfId="0" applyFont="1" applyFill="1" applyBorder="1" applyAlignment="1">
      <alignment horizontal="left"/>
    </xf>
    <xf numFmtId="0" fontId="0" fillId="14" borderId="18" xfId="0" applyFill="1" applyBorder="1" applyAlignment="1">
      <alignment horizontal="left"/>
    </xf>
    <xf numFmtId="0" fontId="0" fillId="14" borderId="5" xfId="0" applyFill="1" applyBorder="1"/>
    <xf numFmtId="0" fontId="0" fillId="14" borderId="2" xfId="0" applyFill="1" applyBorder="1"/>
    <xf numFmtId="0" fontId="0" fillId="14" borderId="17" xfId="0" applyFill="1" applyBorder="1"/>
    <xf numFmtId="0" fontId="0" fillId="14" borderId="0" xfId="0" applyFont="1" applyFill="1" applyAlignment="1">
      <alignment horizontal="center"/>
    </xf>
    <xf numFmtId="0" fontId="0" fillId="14" borderId="10" xfId="0" applyFont="1" applyFill="1" applyBorder="1" applyAlignment="1">
      <alignment horizontal="center"/>
    </xf>
    <xf numFmtId="0" fontId="0" fillId="14" borderId="8" xfId="0" applyFont="1" applyFill="1" applyBorder="1" applyAlignment="1">
      <alignment horizontal="left"/>
    </xf>
    <xf numFmtId="0" fontId="0" fillId="14" borderId="4" xfId="0" applyFont="1" applyFill="1" applyBorder="1"/>
    <xf numFmtId="0" fontId="0" fillId="14" borderId="7" xfId="0" applyFont="1" applyFill="1" applyBorder="1"/>
    <xf numFmtId="0" fontId="0" fillId="14" borderId="11" xfId="0" applyFont="1" applyFill="1" applyBorder="1"/>
    <xf numFmtId="0" fontId="0" fillId="14" borderId="1" xfId="0" applyFont="1" applyFill="1" applyBorder="1" applyAlignment="1">
      <alignment horizontal="left"/>
    </xf>
    <xf numFmtId="164" fontId="0" fillId="14" borderId="12" xfId="1" applyFont="1" applyFill="1" applyBorder="1" applyAlignment="1">
      <alignment horizontal="center" wrapText="1"/>
    </xf>
    <xf numFmtId="0" fontId="0" fillId="14" borderId="12" xfId="0" quotePrefix="1" applyFill="1" applyBorder="1" applyAlignment="1">
      <alignment horizontal="center"/>
    </xf>
    <xf numFmtId="0" fontId="0" fillId="0" borderId="12" xfId="0" applyBorder="1" applyAlignment="1">
      <alignment horizontal="center"/>
    </xf>
    <xf numFmtId="43" fontId="0" fillId="0" borderId="12" xfId="0" applyNumberFormat="1" applyBorder="1"/>
    <xf numFmtId="0" fontId="0" fillId="10" borderId="12" xfId="0" applyFill="1" applyBorder="1" applyAlignment="1">
      <alignment horizontal="left"/>
    </xf>
    <xf numFmtId="164" fontId="0" fillId="9" borderId="12" xfId="1" applyFont="1" applyFill="1" applyBorder="1" applyAlignment="1">
      <alignment horizontal="center"/>
    </xf>
    <xf numFmtId="0" fontId="0" fillId="10" borderId="12" xfId="0" applyFill="1" applyBorder="1"/>
    <xf numFmtId="0" fontId="0" fillId="13" borderId="12" xfId="0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14" fontId="0" fillId="13" borderId="3" xfId="0" quotePrefix="1" applyNumberFormat="1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43" fontId="0" fillId="13" borderId="15" xfId="0" applyNumberFormat="1" applyFill="1" applyBorder="1"/>
    <xf numFmtId="0" fontId="13" fillId="13" borderId="13" xfId="0" applyFont="1" applyFill="1" applyBorder="1" applyAlignment="1">
      <alignment horizontal="left"/>
    </xf>
    <xf numFmtId="0" fontId="0" fillId="13" borderId="16" xfId="0" applyFill="1" applyBorder="1" applyAlignment="1">
      <alignment horizontal="left"/>
    </xf>
    <xf numFmtId="0" fontId="0" fillId="13" borderId="6" xfId="0" applyFill="1" applyBorder="1"/>
    <xf numFmtId="0" fontId="0" fillId="13" borderId="3" xfId="0" applyFill="1" applyBorder="1"/>
    <xf numFmtId="0" fontId="0" fillId="13" borderId="15" xfId="0" applyFill="1" applyBorder="1"/>
    <xf numFmtId="0" fontId="0" fillId="13" borderId="3" xfId="0" quotePrefix="1" applyFill="1" applyBorder="1" applyAlignment="1">
      <alignment horizontal="center"/>
    </xf>
    <xf numFmtId="14" fontId="0" fillId="14" borderId="13" xfId="0" quotePrefix="1" applyNumberFormat="1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43" fontId="0" fillId="14" borderId="13" xfId="0" applyNumberFormat="1" applyFill="1" applyBorder="1"/>
    <xf numFmtId="0" fontId="0" fillId="14" borderId="13" xfId="0" applyFill="1" applyBorder="1" applyAlignment="1">
      <alignment horizontal="left"/>
    </xf>
    <xf numFmtId="164" fontId="0" fillId="14" borderId="13" xfId="1" applyFont="1" applyFill="1" applyBorder="1" applyAlignment="1">
      <alignment horizontal="center"/>
    </xf>
    <xf numFmtId="0" fontId="0" fillId="14" borderId="13" xfId="0" applyFill="1" applyBorder="1"/>
    <xf numFmtId="0" fontId="0" fillId="14" borderId="1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15" xfId="0" applyNumberFormat="1" applyBorder="1"/>
    <xf numFmtId="0" fontId="13" fillId="10" borderId="13" xfId="0" applyFont="1" applyFill="1" applyBorder="1" applyAlignment="1">
      <alignment horizontal="left"/>
    </xf>
    <xf numFmtId="0" fontId="0" fillId="10" borderId="16" xfId="0" applyFill="1" applyBorder="1" applyAlignment="1">
      <alignment horizontal="left"/>
    </xf>
    <xf numFmtId="0" fontId="0" fillId="10" borderId="6" xfId="0" applyFill="1" applyBorder="1"/>
    <xf numFmtId="0" fontId="0" fillId="10" borderId="3" xfId="0" applyFill="1" applyBorder="1"/>
    <xf numFmtId="0" fontId="0" fillId="10" borderId="15" xfId="0" applyFill="1" applyBorder="1"/>
    <xf numFmtId="0" fontId="0" fillId="0" borderId="6" xfId="0" applyBorder="1"/>
    <xf numFmtId="0" fontId="2" fillId="0" borderId="3" xfId="0" applyFont="1" applyBorder="1" applyAlignment="1">
      <alignment horizontal="center"/>
    </xf>
    <xf numFmtId="14" fontId="0" fillId="13" borderId="11" xfId="0" quotePrefix="1" applyNumberFormat="1" applyFill="1" applyBorder="1" applyAlignment="1">
      <alignment horizontal="center"/>
    </xf>
    <xf numFmtId="43" fontId="0" fillId="13" borderId="19" xfId="0" applyNumberFormat="1" applyFill="1" applyBorder="1"/>
    <xf numFmtId="0" fontId="13" fillId="13" borderId="20" xfId="0" applyFont="1" applyFill="1" applyBorder="1" applyAlignment="1">
      <alignment horizontal="left"/>
    </xf>
    <xf numFmtId="0" fontId="0" fillId="13" borderId="0" xfId="0" applyFill="1" applyBorder="1" applyAlignment="1">
      <alignment horizontal="left"/>
    </xf>
    <xf numFmtId="0" fontId="0" fillId="13" borderId="10" xfId="0" applyFill="1" applyBorder="1"/>
    <xf numFmtId="0" fontId="0" fillId="13" borderId="19" xfId="0" applyFill="1" applyBorder="1"/>
    <xf numFmtId="0" fontId="0" fillId="13" borderId="11" xfId="0" quotePrefix="1" applyFill="1" applyBorder="1" applyAlignment="1">
      <alignment horizontal="center"/>
    </xf>
    <xf numFmtId="14" fontId="0" fillId="0" borderId="2" xfId="0" quotePrefix="1" applyNumberFormat="1" applyBorder="1" applyAlignment="1">
      <alignment horizontal="center"/>
    </xf>
    <xf numFmtId="43" fontId="0" fillId="0" borderId="17" xfId="0" applyNumberFormat="1" applyBorder="1"/>
    <xf numFmtId="0" fontId="13" fillId="11" borderId="14" xfId="0" applyFont="1" applyFill="1" applyBorder="1" applyAlignment="1">
      <alignment horizontal="left"/>
    </xf>
    <xf numFmtId="0" fontId="0" fillId="10" borderId="18" xfId="0" applyFill="1" applyBorder="1" applyAlignment="1">
      <alignment horizontal="left"/>
    </xf>
    <xf numFmtId="0" fontId="0" fillId="10" borderId="5" xfId="0" applyFill="1" applyBorder="1"/>
    <xf numFmtId="0" fontId="0" fillId="10" borderId="2" xfId="0" applyFill="1" applyBorder="1"/>
    <xf numFmtId="0" fontId="0" fillId="10" borderId="17" xfId="0" applyFill="1" applyBorder="1"/>
    <xf numFmtId="0" fontId="0" fillId="0" borderId="5" xfId="0" applyBorder="1"/>
    <xf numFmtId="14" fontId="0" fillId="0" borderId="12" xfId="0" quotePrefix="1" applyNumberFormat="1" applyBorder="1" applyAlignment="1">
      <alignment horizontal="center"/>
    </xf>
    <xf numFmtId="0" fontId="0" fillId="13" borderId="11" xfId="0" applyFont="1" applyFill="1" applyBorder="1" applyAlignment="1">
      <alignment horizontal="left"/>
    </xf>
    <xf numFmtId="0" fontId="0" fillId="14" borderId="12" xfId="0" applyFont="1" applyFill="1" applyBorder="1"/>
    <xf numFmtId="0" fontId="0" fillId="11" borderId="21" xfId="0" applyFill="1" applyBorder="1"/>
    <xf numFmtId="0" fontId="0" fillId="13" borderId="8" xfId="0" applyFill="1" applyBorder="1"/>
    <xf numFmtId="0" fontId="0" fillId="13" borderId="4" xfId="0" applyFont="1" applyFill="1" applyBorder="1" applyAlignment="1">
      <alignment horizontal="center"/>
    </xf>
    <xf numFmtId="0" fontId="0" fillId="13" borderId="2" xfId="0" applyFill="1" applyBorder="1"/>
    <xf numFmtId="0" fontId="13" fillId="10" borderId="14" xfId="0" applyFont="1" applyFill="1" applyBorder="1" applyAlignment="1">
      <alignment horizontal="left"/>
    </xf>
    <xf numFmtId="0" fontId="0" fillId="10" borderId="14" xfId="0" applyFill="1" applyBorder="1" applyAlignment="1">
      <alignment horizontal="left"/>
    </xf>
    <xf numFmtId="0" fontId="0" fillId="11" borderId="1" xfId="0" applyFont="1" applyFill="1" applyBorder="1" applyAlignment="1">
      <alignment horizontal="left"/>
    </xf>
    <xf numFmtId="164" fontId="0" fillId="9" borderId="12" xfId="1" applyFont="1" applyFill="1" applyBorder="1" applyAlignment="1">
      <alignment horizontal="center" wrapText="1"/>
    </xf>
    <xf numFmtId="14" fontId="0" fillId="0" borderId="12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43" fontId="0" fillId="0" borderId="13" xfId="0" applyNumberFormat="1" applyBorder="1"/>
    <xf numFmtId="0" fontId="0" fillId="0" borderId="1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10" borderId="13" xfId="0" applyFill="1" applyBorder="1" applyAlignment="1">
      <alignment horizontal="left"/>
    </xf>
    <xf numFmtId="164" fontId="0" fillId="9" borderId="13" xfId="1" applyFont="1" applyFill="1" applyBorder="1" applyAlignment="1">
      <alignment horizontal="center" wrapText="1"/>
    </xf>
    <xf numFmtId="0" fontId="0" fillId="10" borderId="13" xfId="0" applyFill="1" applyBorder="1"/>
    <xf numFmtId="0" fontId="0" fillId="0" borderId="25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43" fontId="0" fillId="0" borderId="12" xfId="0" applyNumberFormat="1" applyFont="1" applyBorder="1"/>
    <xf numFmtId="14" fontId="0" fillId="0" borderId="13" xfId="0" quotePrefix="1" applyNumberFormat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3" xfId="0" applyFont="1" applyBorder="1" applyAlignment="1">
      <alignment horizontal="center"/>
    </xf>
    <xf numFmtId="164" fontId="0" fillId="9" borderId="13" xfId="1" applyFont="1" applyFill="1" applyBorder="1" applyAlignment="1">
      <alignment horizontal="center"/>
    </xf>
    <xf numFmtId="0" fontId="0" fillId="15" borderId="12" xfId="0" applyFill="1" applyBorder="1"/>
    <xf numFmtId="0" fontId="0" fillId="15" borderId="12" xfId="0" applyFill="1" applyBorder="1" applyAlignment="1">
      <alignment wrapText="1"/>
    </xf>
    <xf numFmtId="0" fontId="0" fillId="0" borderId="13" xfId="0" applyBorder="1" applyAlignment="1">
      <alignment horizontal="left"/>
    </xf>
    <xf numFmtId="0" fontId="16" fillId="0" borderId="13" xfId="0" applyFont="1" applyBorder="1"/>
    <xf numFmtId="0" fontId="2" fillId="0" borderId="2" xfId="0" applyFont="1" applyBorder="1" applyAlignment="1">
      <alignment horizontal="center"/>
    </xf>
    <xf numFmtId="0" fontId="0" fillId="0" borderId="12" xfId="0" quotePrefix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43" fontId="0" fillId="0" borderId="12" xfId="0" applyNumberFormat="1" applyFill="1" applyBorder="1"/>
    <xf numFmtId="0" fontId="0" fillId="0" borderId="12" xfId="0" applyFill="1" applyBorder="1" applyAlignment="1">
      <alignment horizontal="center"/>
    </xf>
    <xf numFmtId="0" fontId="13" fillId="0" borderId="12" xfId="0" applyFont="1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164" fontId="0" fillId="0" borderId="12" xfId="1" applyFont="1" applyFill="1" applyBorder="1" applyAlignment="1">
      <alignment horizontal="center"/>
    </xf>
    <xf numFmtId="0" fontId="0" fillId="0" borderId="12" xfId="0" applyFill="1" applyBorder="1"/>
    <xf numFmtId="0" fontId="0" fillId="0" borderId="0" xfId="0" applyFill="1"/>
    <xf numFmtId="0" fontId="0" fillId="0" borderId="20" xfId="0" quotePrefix="1" applyBorder="1" applyAlignment="1">
      <alignment horizontal="center"/>
    </xf>
    <xf numFmtId="43" fontId="0" fillId="0" borderId="26" xfId="0" applyNumberFormat="1" applyBorder="1"/>
    <xf numFmtId="0" fontId="0" fillId="0" borderId="20" xfId="0" applyBorder="1" applyAlignment="1">
      <alignment horizontal="center"/>
    </xf>
    <xf numFmtId="43" fontId="0" fillId="0" borderId="12" xfId="0" applyNumberFormat="1" applyFont="1" applyFill="1" applyBorder="1"/>
    <xf numFmtId="0" fontId="0" fillId="10" borderId="12" xfId="0" applyFont="1" applyFill="1" applyBorder="1" applyAlignment="1">
      <alignment horizontal="left"/>
    </xf>
    <xf numFmtId="0" fontId="0" fillId="10" borderId="13" xfId="0" applyFont="1" applyFill="1" applyBorder="1" applyAlignment="1">
      <alignment horizontal="left"/>
    </xf>
    <xf numFmtId="14" fontId="0" fillId="16" borderId="1" xfId="0" applyNumberForma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43" fontId="0" fillId="16" borderId="7" xfId="0" applyNumberFormat="1" applyFill="1" applyBorder="1"/>
    <xf numFmtId="0" fontId="0" fillId="16" borderId="0" xfId="0" applyFill="1" applyAlignment="1">
      <alignment horizontal="center"/>
    </xf>
    <xf numFmtId="0" fontId="15" fillId="16" borderId="12" xfId="0" applyFont="1" applyFill="1" applyBorder="1" applyAlignment="1">
      <alignment horizontal="left"/>
    </xf>
    <xf numFmtId="0" fontId="0" fillId="16" borderId="10" xfId="0" applyFill="1" applyBorder="1" applyAlignment="1">
      <alignment horizontal="center"/>
    </xf>
    <xf numFmtId="0" fontId="0" fillId="16" borderId="8" xfId="0" applyFill="1" applyBorder="1" applyAlignment="1">
      <alignment horizontal="left"/>
    </xf>
    <xf numFmtId="164" fontId="0" fillId="16" borderId="11" xfId="1" applyFont="1" applyFill="1" applyBorder="1" applyAlignment="1">
      <alignment horizontal="center"/>
    </xf>
    <xf numFmtId="0" fontId="0" fillId="16" borderId="4" xfId="0" applyFill="1" applyBorder="1"/>
    <xf numFmtId="0" fontId="0" fillId="16" borderId="1" xfId="0" applyFill="1" applyBorder="1"/>
    <xf numFmtId="0" fontId="0" fillId="16" borderId="7" xfId="0" applyFill="1" applyBorder="1"/>
    <xf numFmtId="0" fontId="0" fillId="16" borderId="11" xfId="0" applyFill="1" applyBorder="1"/>
    <xf numFmtId="0" fontId="0" fillId="16" borderId="0" xfId="0" applyFill="1"/>
    <xf numFmtId="0" fontId="0" fillId="16" borderId="1" xfId="0" applyFill="1" applyBorder="1" applyAlignment="1">
      <alignment horizontal="left"/>
    </xf>
    <xf numFmtId="0" fontId="0" fillId="16" borderId="11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164" fontId="0" fillId="16" borderId="11" xfId="1" applyFont="1" applyFill="1" applyBorder="1" applyAlignment="1">
      <alignment horizontal="center" wrapText="1"/>
    </xf>
    <xf numFmtId="0" fontId="0" fillId="16" borderId="4" xfId="0" applyFill="1" applyBorder="1" applyAlignment="1">
      <alignment horizontal="left"/>
    </xf>
    <xf numFmtId="0" fontId="15" fillId="11" borderId="14" xfId="0" applyFont="1" applyFill="1" applyBorder="1" applyAlignment="1">
      <alignment horizontal="left"/>
    </xf>
    <xf numFmtId="0" fontId="0" fillId="11" borderId="1" xfId="0" applyFill="1" applyBorder="1" applyAlignment="1">
      <alignment horizontal="left" wrapText="1"/>
    </xf>
    <xf numFmtId="0" fontId="15" fillId="11" borderId="13" xfId="0" applyFont="1" applyFill="1" applyBorder="1" applyAlignment="1">
      <alignment horizontal="left"/>
    </xf>
    <xf numFmtId="0" fontId="0" fillId="16" borderId="1" xfId="0" applyFill="1" applyBorder="1" applyAlignment="1">
      <alignment horizontal="center" vertical="center" wrapText="1"/>
    </xf>
    <xf numFmtId="0" fontId="13" fillId="16" borderId="12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left"/>
    </xf>
    <xf numFmtId="0" fontId="0" fillId="15" borderId="1" xfId="0" applyFill="1" applyBorder="1"/>
    <xf numFmtId="43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13" xfId="0" applyBorder="1" applyAlignment="1"/>
    <xf numFmtId="14" fontId="0" fillId="0" borderId="3" xfId="0" quotePrefix="1" applyNumberFormat="1" applyBorder="1" applyAlignment="1">
      <alignment horizontal="center"/>
    </xf>
    <xf numFmtId="14" fontId="0" fillId="13" borderId="1" xfId="0" quotePrefix="1" applyNumberFormat="1" applyFont="1" applyFill="1" applyBorder="1" applyAlignment="1">
      <alignment horizontal="center"/>
    </xf>
    <xf numFmtId="0" fontId="0" fillId="13" borderId="1" xfId="0" applyFont="1" applyFill="1" applyBorder="1" applyAlignment="1">
      <alignment horizontal="center" vertical="center" wrapText="1"/>
    </xf>
    <xf numFmtId="43" fontId="0" fillId="13" borderId="7" xfId="0" applyNumberFormat="1" applyFont="1" applyFill="1" applyBorder="1"/>
    <xf numFmtId="0" fontId="0" fillId="13" borderId="0" xfId="0" applyFont="1" applyFill="1" applyAlignment="1">
      <alignment horizontal="center"/>
    </xf>
    <xf numFmtId="0" fontId="0" fillId="13" borderId="10" xfId="0" applyFont="1" applyFill="1" applyBorder="1" applyAlignment="1">
      <alignment horizontal="center"/>
    </xf>
    <xf numFmtId="0" fontId="0" fillId="13" borderId="8" xfId="0" applyFont="1" applyFill="1" applyBorder="1" applyAlignment="1">
      <alignment horizontal="left"/>
    </xf>
    <xf numFmtId="0" fontId="0" fillId="13" borderId="7" xfId="0" applyFont="1" applyFill="1" applyBorder="1"/>
    <xf numFmtId="0" fontId="0" fillId="13" borderId="11" xfId="0" applyFont="1" applyFill="1" applyBorder="1"/>
    <xf numFmtId="0" fontId="0" fillId="13" borderId="1" xfId="0" applyFont="1" applyFill="1" applyBorder="1" applyAlignment="1">
      <alignment horizontal="left"/>
    </xf>
    <xf numFmtId="14" fontId="0" fillId="16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wrapText="1"/>
    </xf>
    <xf numFmtId="14" fontId="0" fillId="13" borderId="1" xfId="0" applyNumberFormat="1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wrapText="1"/>
    </xf>
    <xf numFmtId="14" fontId="0" fillId="14" borderId="3" xfId="0" applyNumberFormat="1" applyFont="1" applyFill="1" applyBorder="1" applyAlignment="1">
      <alignment horizontal="center" wrapText="1"/>
    </xf>
    <xf numFmtId="14" fontId="0" fillId="14" borderId="13" xfId="0" applyNumberFormat="1" applyFont="1" applyFill="1" applyBorder="1" applyAlignment="1">
      <alignment horizontal="center" wrapText="1"/>
    </xf>
    <xf numFmtId="14" fontId="0" fillId="14" borderId="1" xfId="0" quotePrefix="1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6" borderId="1" xfId="0" quotePrefix="1" applyFill="1" applyBorder="1" applyAlignment="1">
      <alignment horizontal="center" vertical="center" wrapText="1"/>
    </xf>
    <xf numFmtId="0" fontId="0" fillId="13" borderId="1" xfId="0" quotePrefix="1" applyFill="1" applyBorder="1" applyAlignment="1">
      <alignment horizontal="center" wrapText="1"/>
    </xf>
    <xf numFmtId="14" fontId="0" fillId="13" borderId="1" xfId="0" applyNumberFormat="1" applyFont="1" applyFill="1" applyBorder="1" applyAlignment="1">
      <alignment horizontal="center" wrapText="1"/>
    </xf>
    <xf numFmtId="0" fontId="0" fillId="1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4" fontId="0" fillId="14" borderId="1" xfId="0" quotePrefix="1" applyNumberFormat="1" applyFill="1" applyBorder="1" applyAlignment="1">
      <alignment horizontal="center" wrapText="1"/>
    </xf>
    <xf numFmtId="0" fontId="0" fillId="13" borderId="3" xfId="0" applyFill="1" applyBorder="1" applyAlignment="1">
      <alignment horizontal="center" wrapText="1"/>
    </xf>
    <xf numFmtId="0" fontId="0" fillId="14" borderId="12" xfId="0" applyFill="1" applyBorder="1" applyAlignment="1">
      <alignment horizontal="center" wrapText="1"/>
    </xf>
    <xf numFmtId="0" fontId="0" fillId="13" borderId="11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13" borderId="1" xfId="0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14" fontId="0" fillId="0" borderId="12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2" xfId="0" applyFill="1" applyBorder="1" applyAlignment="1">
      <alignment horizontal="center" wrapText="1"/>
    </xf>
    <xf numFmtId="14" fontId="0" fillId="17" borderId="1" xfId="0" quotePrefix="1" applyNumberFormat="1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43" fontId="0" fillId="17" borderId="7" xfId="0" applyNumberFormat="1" applyFill="1" applyBorder="1"/>
    <xf numFmtId="0" fontId="0" fillId="17" borderId="0" xfId="0" applyFill="1" applyAlignment="1">
      <alignment horizontal="center"/>
    </xf>
    <xf numFmtId="0" fontId="13" fillId="17" borderId="12" xfId="0" applyFont="1" applyFill="1" applyBorder="1" applyAlignment="1">
      <alignment horizontal="left"/>
    </xf>
    <xf numFmtId="0" fontId="0" fillId="17" borderId="10" xfId="0" applyFill="1" applyBorder="1" applyAlignment="1">
      <alignment horizontal="center"/>
    </xf>
    <xf numFmtId="0" fontId="0" fillId="17" borderId="12" xfId="0" applyFill="1" applyBorder="1" applyAlignment="1">
      <alignment horizontal="left"/>
    </xf>
    <xf numFmtId="164" fontId="0" fillId="17" borderId="11" xfId="1" applyFont="1" applyFill="1" applyBorder="1" applyAlignment="1">
      <alignment horizontal="center"/>
    </xf>
    <xf numFmtId="0" fontId="0" fillId="17" borderId="4" xfId="0" applyFill="1" applyBorder="1"/>
    <xf numFmtId="0" fontId="0" fillId="17" borderId="1" xfId="0" applyFill="1" applyBorder="1"/>
    <xf numFmtId="0" fontId="0" fillId="17" borderId="7" xfId="0" applyFill="1" applyBorder="1"/>
    <xf numFmtId="0" fontId="0" fillId="17" borderId="11" xfId="0" applyFill="1" applyBorder="1"/>
    <xf numFmtId="0" fontId="0" fillId="17" borderId="1" xfId="0" applyFill="1" applyBorder="1" applyAlignment="1">
      <alignment horizontal="center" wrapText="1"/>
    </xf>
    <xf numFmtId="0" fontId="0" fillId="17" borderId="1" xfId="0" applyFill="1" applyBorder="1" applyAlignment="1">
      <alignment horizontal="center"/>
    </xf>
    <xf numFmtId="0" fontId="0" fillId="17" borderId="0" xfId="0" applyFill="1"/>
    <xf numFmtId="164" fontId="0" fillId="17" borderId="10" xfId="1" applyFont="1" applyFill="1" applyBorder="1" applyAlignment="1">
      <alignment horizontal="center"/>
    </xf>
    <xf numFmtId="0" fontId="0" fillId="17" borderId="12" xfId="0" applyFill="1" applyBorder="1"/>
    <xf numFmtId="0" fontId="0" fillId="17" borderId="12" xfId="0" applyFont="1" applyFill="1" applyBorder="1" applyAlignment="1">
      <alignment horizontal="center"/>
    </xf>
    <xf numFmtId="0" fontId="0" fillId="17" borderId="1" xfId="0" applyFont="1" applyFill="1" applyBorder="1"/>
    <xf numFmtId="14" fontId="0" fillId="17" borderId="1" xfId="0" applyNumberFormat="1" applyFill="1" applyBorder="1" applyAlignment="1">
      <alignment horizontal="center" wrapText="1"/>
    </xf>
    <xf numFmtId="164" fontId="0" fillId="17" borderId="0" xfId="1" applyFont="1" applyFill="1" applyBorder="1" applyAlignment="1">
      <alignment horizontal="center"/>
    </xf>
    <xf numFmtId="14" fontId="0" fillId="17" borderId="12" xfId="0" quotePrefix="1" applyNumberFormat="1" applyFill="1" applyBorder="1" applyAlignment="1">
      <alignment horizontal="center"/>
    </xf>
    <xf numFmtId="0" fontId="0" fillId="17" borderId="1" xfId="0" applyFill="1" applyBorder="1" applyAlignment="1">
      <alignment horizontal="left"/>
    </xf>
    <xf numFmtId="164" fontId="0" fillId="17" borderId="0" xfId="1" applyFont="1" applyFill="1" applyBorder="1" applyAlignment="1">
      <alignment horizontal="center" wrapText="1"/>
    </xf>
    <xf numFmtId="0" fontId="0" fillId="17" borderId="11" xfId="0" applyFill="1" applyBorder="1" applyAlignment="1">
      <alignment horizontal="center"/>
    </xf>
    <xf numFmtId="43" fontId="0" fillId="17" borderId="15" xfId="0" applyNumberFormat="1" applyFill="1" applyBorder="1"/>
    <xf numFmtId="0" fontId="13" fillId="17" borderId="13" xfId="0" applyFont="1" applyFill="1" applyBorder="1" applyAlignment="1">
      <alignment horizontal="left"/>
    </xf>
    <xf numFmtId="0" fontId="0" fillId="17" borderId="3" xfId="0" applyFill="1" applyBorder="1" applyAlignment="1">
      <alignment horizontal="left"/>
    </xf>
    <xf numFmtId="0" fontId="0" fillId="17" borderId="3" xfId="0" applyFill="1" applyBorder="1"/>
    <xf numFmtId="0" fontId="0" fillId="17" borderId="15" xfId="0" applyFill="1" applyBorder="1"/>
    <xf numFmtId="0" fontId="0" fillId="17" borderId="6" xfId="0" applyFill="1" applyBorder="1"/>
    <xf numFmtId="0" fontId="0" fillId="17" borderId="3" xfId="0" applyFill="1" applyBorder="1" applyAlignment="1">
      <alignment horizontal="center" wrapText="1"/>
    </xf>
    <xf numFmtId="0" fontId="0" fillId="17" borderId="3" xfId="0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43" fontId="0" fillId="17" borderId="12" xfId="0" applyNumberFormat="1" applyFill="1" applyBorder="1"/>
    <xf numFmtId="164" fontId="0" fillId="17" borderId="12" xfId="1" applyFont="1" applyFill="1" applyBorder="1" applyAlignment="1">
      <alignment horizontal="center" wrapText="1"/>
    </xf>
    <xf numFmtId="0" fontId="0" fillId="17" borderId="12" xfId="0" applyFill="1" applyBorder="1" applyAlignment="1">
      <alignment horizontal="center" wrapText="1"/>
    </xf>
    <xf numFmtId="0" fontId="0" fillId="17" borderId="12" xfId="0" applyFill="1" applyBorder="1" applyAlignment="1">
      <alignment wrapText="1"/>
    </xf>
    <xf numFmtId="0" fontId="0" fillId="0" borderId="14" xfId="0" quotePrefix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10" borderId="14" xfId="0" applyFont="1" applyFill="1" applyBorder="1" applyAlignment="1">
      <alignment horizontal="left"/>
    </xf>
    <xf numFmtId="164" fontId="0" fillId="9" borderId="14" xfId="1" applyFont="1" applyFill="1" applyBorder="1" applyAlignment="1">
      <alignment horizontal="center"/>
    </xf>
    <xf numFmtId="0" fontId="0" fillId="10" borderId="14" xfId="0" applyFill="1" applyBorder="1"/>
    <xf numFmtId="0" fontId="0" fillId="10" borderId="20" xfId="0" applyFill="1" applyBorder="1"/>
    <xf numFmtId="14" fontId="0" fillId="14" borderId="2" xfId="0" applyNumberFormat="1" applyFill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3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12" fillId="6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4" fontId="0" fillId="14" borderId="3" xfId="0" applyNumberFormat="1" applyFill="1" applyBorder="1" applyAlignment="1">
      <alignment horizontal="center"/>
    </xf>
    <xf numFmtId="14" fontId="0" fillId="14" borderId="2" xfId="0" applyNumberFormat="1" applyFill="1" applyBorder="1" applyAlignment="1">
      <alignment horizontal="center"/>
    </xf>
    <xf numFmtId="14" fontId="0" fillId="14" borderId="3" xfId="0" applyNumberFormat="1" applyFill="1" applyBorder="1" applyAlignment="1">
      <alignment horizontal="center" wrapText="1"/>
    </xf>
    <xf numFmtId="14" fontId="0" fillId="14" borderId="2" xfId="0" applyNumberForma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Style 1" xfId="2" xr:uid="{444725C5-4CBB-4EE8-AB5D-9E3FD9408B47}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D1FF"/>
      <color rgb="FFC0FCF1"/>
      <color rgb="FFA56AF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650AA-02FF-4D05-AE64-FF7CEFC37789}" name="Table1" displayName="Table1" ref="B1:C14" totalsRowShown="0" headerRowDxfId="19" headerRowBorderDxfId="17" tableBorderDxfId="18">
  <autoFilter ref="B1:C14" xr:uid="{8EF650AA-02FF-4D05-AE64-FF7CEFC37789}"/>
  <tableColumns count="2">
    <tableColumn id="1" xr3:uid="{7C6F0E50-848B-4183-A9A6-2D74F465B490}" name="CODING" dataDxfId="16"/>
    <tableColumn id="2" xr3:uid="{0CD87D3D-AB94-4805-BE87-288958809D3B}" name="BANKS" dataDxf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047121"/>
  <sheetViews>
    <sheetView tabSelected="1" topLeftCell="A108" zoomScale="85" zoomScaleNormal="85" workbookViewId="0">
      <selection activeCell="B245" sqref="B245"/>
    </sheetView>
  </sheetViews>
  <sheetFormatPr defaultRowHeight="15" customHeight="1"/>
  <cols>
    <col min="1" max="2" width="13.140625" style="6" customWidth="1"/>
    <col min="3" max="3" width="16.7109375" style="1" customWidth="1"/>
    <col min="4" max="4" width="20.140625" customWidth="1"/>
    <col min="5" max="5" width="12.28515625" style="6" customWidth="1"/>
    <col min="6" max="6" width="22.140625" customWidth="1"/>
    <col min="7" max="7" width="15.28515625" style="6" customWidth="1"/>
    <col min="8" max="8" width="34.5703125" style="6" customWidth="1"/>
    <col min="9" max="9" width="20.85546875" style="4" customWidth="1"/>
    <col min="10" max="10" width="52.7109375" customWidth="1"/>
    <col min="11" max="11" width="36.5703125" customWidth="1"/>
    <col min="12" max="12" width="63.85546875" customWidth="1"/>
    <col min="13" max="13" width="15" style="6" customWidth="1"/>
    <col min="14" max="14" width="27.7109375" customWidth="1"/>
    <col min="15" max="15" width="9.28515625" customWidth="1"/>
    <col min="16" max="16" width="35" customWidth="1"/>
    <col min="17" max="17" width="94.5703125" customWidth="1"/>
    <col min="18" max="18" width="14" customWidth="1"/>
    <col min="19" max="19" width="13.140625" customWidth="1"/>
    <col min="20" max="20" width="14.7109375" style="319" customWidth="1"/>
    <col min="21" max="21" width="13.5703125" style="6" customWidth="1"/>
  </cols>
  <sheetData>
    <row r="1" spans="1:21" ht="15" customHeight="1">
      <c r="A1" s="103" t="s">
        <v>0</v>
      </c>
      <c r="B1" s="113"/>
      <c r="D1" s="26"/>
      <c r="I1" s="5"/>
    </row>
    <row r="2" spans="1:21" ht="15" customHeight="1">
      <c r="A2" s="104" t="s">
        <v>1</v>
      </c>
      <c r="B2" s="382"/>
      <c r="D2" s="24"/>
    </row>
    <row r="3" spans="1:21">
      <c r="A3" s="105" t="s">
        <v>2</v>
      </c>
      <c r="B3" s="98"/>
      <c r="D3" s="25"/>
      <c r="I3" s="5"/>
    </row>
    <row r="4" spans="1:21">
      <c r="A4" s="98"/>
      <c r="B4" s="98"/>
      <c r="D4" s="25"/>
      <c r="I4" s="5"/>
    </row>
    <row r="5" spans="1:21" ht="11.25" customHeight="1">
      <c r="D5" s="5">
        <f>SUM(D8:D1048576)</f>
        <v>5478579.9199999999</v>
      </c>
      <c r="F5" s="6"/>
      <c r="I5" s="386"/>
      <c r="J5" s="387"/>
      <c r="K5" s="387"/>
      <c r="L5" s="387"/>
    </row>
    <row r="6" spans="1:21" ht="24.6" customHeight="1">
      <c r="A6" s="389" t="s">
        <v>3</v>
      </c>
      <c r="B6" s="392" t="s">
        <v>4</v>
      </c>
      <c r="C6" s="393" t="s">
        <v>5</v>
      </c>
      <c r="D6" s="391" t="s">
        <v>6</v>
      </c>
      <c r="E6" s="388" t="s">
        <v>7</v>
      </c>
      <c r="F6" s="388"/>
      <c r="G6" s="388"/>
      <c r="H6" s="388"/>
      <c r="I6" s="383" t="s">
        <v>8</v>
      </c>
      <c r="J6" s="384"/>
      <c r="K6" s="384"/>
      <c r="L6" s="385"/>
      <c r="M6" s="399" t="s">
        <v>9</v>
      </c>
      <c r="N6" s="400"/>
      <c r="O6" s="400"/>
      <c r="P6" s="400"/>
      <c r="Q6" s="401"/>
      <c r="R6" s="402" t="s">
        <v>10</v>
      </c>
      <c r="S6" s="389" t="s">
        <v>11</v>
      </c>
      <c r="T6" s="389" t="s">
        <v>12</v>
      </c>
      <c r="U6" s="389" t="s">
        <v>13</v>
      </c>
    </row>
    <row r="7" spans="1:21" ht="24" customHeight="1">
      <c r="A7" s="390"/>
      <c r="B7" s="392"/>
      <c r="C7" s="394"/>
      <c r="D7" s="391"/>
      <c r="E7" s="40" t="s">
        <v>14</v>
      </c>
      <c r="F7" s="52" t="s">
        <v>15</v>
      </c>
      <c r="G7" s="40" t="s">
        <v>16</v>
      </c>
      <c r="H7" s="32" t="s">
        <v>17</v>
      </c>
      <c r="I7" s="40" t="s">
        <v>14</v>
      </c>
      <c r="J7" s="381" t="s">
        <v>18</v>
      </c>
      <c r="K7" s="381" t="s">
        <v>19</v>
      </c>
      <c r="L7" s="381" t="s">
        <v>20</v>
      </c>
      <c r="M7" s="28" t="s">
        <v>14</v>
      </c>
      <c r="N7" s="27" t="s">
        <v>21</v>
      </c>
      <c r="O7" s="46" t="s">
        <v>22</v>
      </c>
      <c r="P7" s="27" t="s">
        <v>23</v>
      </c>
      <c r="Q7" s="27" t="s">
        <v>24</v>
      </c>
      <c r="R7" s="403"/>
      <c r="S7" s="390"/>
      <c r="T7" s="390"/>
      <c r="U7" s="390"/>
    </row>
    <row r="8" spans="1:21" s="283" customFormat="1" ht="15" customHeight="1">
      <c r="A8" s="271">
        <v>46091</v>
      </c>
      <c r="B8" s="272">
        <v>632</v>
      </c>
      <c r="C8" s="272" t="s">
        <v>25</v>
      </c>
      <c r="D8" s="273">
        <v>2850</v>
      </c>
      <c r="E8" s="274" t="s">
        <v>26</v>
      </c>
      <c r="F8" s="275" t="str">
        <f>IF(E8&lt;&gt;"",VLOOKUP(E8,CODE!$B$2:$C$11,2,0),"")</f>
        <v>RCBC -SAVINGS</v>
      </c>
      <c r="G8" s="276">
        <v>43016</v>
      </c>
      <c r="H8" s="277" t="str">
        <f>IF(G8&lt;&gt;"",VLOOKUP(G8,COA!$A$3:$G$1048576,2,0),"")</f>
        <v>Job Orders</v>
      </c>
      <c r="I8" s="278" t="s">
        <v>27</v>
      </c>
      <c r="J8" s="279" t="str">
        <f>IF(I8&lt;&gt;"",VLOOKUP(I8,'CUSTOMER LISTS'!$B$3:$E$1048576,2,0),"")</f>
        <v>RJM GASOLINAHAN PETROCHEMICAL PRODUCTS TRADING</v>
      </c>
      <c r="K8" s="280" t="str">
        <f>IF(I8&lt;&gt;"",VLOOKUP(I8,'CUSTOMER LISTS'!$B$3:$E$1048576,3,0),"")</f>
        <v>FELICISIMA PANTORILLA ORILLAN</v>
      </c>
      <c r="L8" s="280" t="str">
        <f>IF(I8&lt;&gt;"",VLOOKUP(I8,'CUSTOMER LISTS'!$B$3:$E$1048576,4,0),"")</f>
        <v>BRGY. BASAGAN, KATIPUNAN, ZAMBOANGA DEL NORTE</v>
      </c>
      <c r="M8" s="274">
        <v>721</v>
      </c>
      <c r="N8" s="281" t="str">
        <f>IF(M8&lt;&gt;"",VLOOKUP(M8,'PRODUCT &amp; SERVICES'!$O:$P,2,0),"")</f>
        <v>Job Order</v>
      </c>
      <c r="O8" s="282"/>
      <c r="P8" s="279"/>
      <c r="Q8" s="280" t="s">
        <v>28</v>
      </c>
      <c r="R8" s="272" t="s">
        <v>29</v>
      </c>
      <c r="S8" s="272" t="s">
        <v>30</v>
      </c>
      <c r="T8" s="312" t="s">
        <v>30</v>
      </c>
      <c r="U8" s="272"/>
    </row>
    <row r="9" spans="1:21" s="283" customFormat="1" ht="15" customHeight="1">
      <c r="A9" s="271">
        <v>46091</v>
      </c>
      <c r="B9" s="272">
        <v>632</v>
      </c>
      <c r="C9" s="272" t="s">
        <v>25</v>
      </c>
      <c r="D9" s="273">
        <v>500</v>
      </c>
      <c r="E9" s="274" t="s">
        <v>31</v>
      </c>
      <c r="F9" s="275" t="str">
        <f>IF(E9&lt;&gt;"",VLOOKUP(E9,CODE!$B$2:$C$11,2,0),"")</f>
        <v>PSBC- SAVINGS</v>
      </c>
      <c r="G9" s="276">
        <v>21016</v>
      </c>
      <c r="H9" s="277" t="str">
        <f>IF(G9&lt;&gt;"",VLOOKUP(G9,COA!$A$3:$G$1048576,2,0),"")</f>
        <v>Unearned Revenue - OPS</v>
      </c>
      <c r="I9" s="278" t="s">
        <v>27</v>
      </c>
      <c r="J9" s="279" t="str">
        <f>IF(I9&lt;&gt;"",VLOOKUP(I9,'CUSTOMER LISTS'!$B$3:$E$1048576,2,0),"")</f>
        <v>RJM GASOLINAHAN PETROCHEMICAL PRODUCTS TRADING</v>
      </c>
      <c r="K9" s="280" t="str">
        <f>IF(I9&lt;&gt;"",VLOOKUP(I9,'CUSTOMER LISTS'!$B$3:$E$1048576,3,0),"")</f>
        <v>FELICISIMA PANTORILLA ORILLAN</v>
      </c>
      <c r="L9" s="280" t="str">
        <f>IF(I9&lt;&gt;"",VLOOKUP(I9,'CUSTOMER LISTS'!$B$3:$E$1048576,4,0),"")</f>
        <v>BRGY. BASAGAN, KATIPUNAN, ZAMBOANGA DEL NORTE</v>
      </c>
      <c r="M9" s="274">
        <v>731</v>
      </c>
      <c r="N9" s="281" t="str">
        <f>IF(M9&lt;&gt;"",VLOOKUP(M9,'PRODUCT &amp; SERVICES'!$O:$P,2,0),"")</f>
        <v>Other OPS ( Pls. Specify )</v>
      </c>
      <c r="O9" s="282"/>
      <c r="P9" s="279"/>
      <c r="Q9" s="284" t="s">
        <v>32</v>
      </c>
      <c r="R9" s="272"/>
      <c r="S9" s="280"/>
      <c r="T9" s="312"/>
      <c r="U9" s="272"/>
    </row>
    <row r="10" spans="1:21" s="283" customFormat="1" ht="15" customHeight="1">
      <c r="A10" s="271">
        <v>46091</v>
      </c>
      <c r="B10" s="272">
        <v>633</v>
      </c>
      <c r="C10" s="272" t="s">
        <v>33</v>
      </c>
      <c r="D10" s="273">
        <v>1300</v>
      </c>
      <c r="E10" s="274" t="s">
        <v>31</v>
      </c>
      <c r="F10" s="275" t="str">
        <f>IF(E10&lt;&gt;"",VLOOKUP(E10,CODE!$B$2:$C$11,2,0),"")</f>
        <v>PSBC- SAVINGS</v>
      </c>
      <c r="G10" s="276">
        <v>21016</v>
      </c>
      <c r="H10" s="277" t="str">
        <f>IF(G10&lt;&gt;"",VLOOKUP(G10,COA!$A$3:$G$1048576,2,0),"")</f>
        <v>Unearned Revenue - OPS</v>
      </c>
      <c r="I10" s="278" t="s">
        <v>34</v>
      </c>
      <c r="J10" s="279" t="str">
        <f>IF(I10&lt;&gt;"",VLOOKUP(I10,'CUSTOMER LISTS'!$B$3:$E$1048576,2,0),"")</f>
        <v>ED-ZEL FUEL REFILLING STATION</v>
      </c>
      <c r="K10" s="280" t="str">
        <f>IF(I10&lt;&gt;"",VLOOKUP(I10,'CUSTOMER LISTS'!$B$3:$E$1048576,3,0),"")</f>
        <v>HAZEL NAMIT CABOVERDE</v>
      </c>
      <c r="L10" s="280" t="str">
        <f>IF(I10&lt;&gt;"",VLOOKUP(I10,'CUSTOMER LISTS'!$B$3:$E$1048576,4,0),"")</f>
        <v>BRGY. SINGARAN, LA LIBERTAD, ZAMBOANGA DEL NORTE</v>
      </c>
      <c r="M10" s="274">
        <v>731</v>
      </c>
      <c r="N10" s="281" t="str">
        <f>IF(M10&lt;&gt;"",VLOOKUP(M10,'PRODUCT &amp; SERVICES'!$O:$P,2,0),"")</f>
        <v>Other OPS ( Pls. Specify )</v>
      </c>
      <c r="O10" s="282"/>
      <c r="P10" s="279"/>
      <c r="Q10" s="284" t="s">
        <v>35</v>
      </c>
      <c r="R10" s="272" t="s">
        <v>29</v>
      </c>
      <c r="S10" s="280" t="s">
        <v>36</v>
      </c>
      <c r="T10" s="312"/>
      <c r="U10" s="272"/>
    </row>
    <row r="11" spans="1:21" s="283" customFormat="1" ht="15" customHeight="1">
      <c r="A11" s="271">
        <v>46092</v>
      </c>
      <c r="B11" s="272">
        <v>634</v>
      </c>
      <c r="C11" s="272" t="s">
        <v>37</v>
      </c>
      <c r="D11" s="273">
        <v>2350</v>
      </c>
      <c r="E11" s="274" t="s">
        <v>31</v>
      </c>
      <c r="F11" s="275" t="str">
        <f>IF(E11&lt;&gt;"",VLOOKUP(E11,CODE!$B$2:$C$11,2,0),"")</f>
        <v>PSBC- SAVINGS</v>
      </c>
      <c r="G11" s="276">
        <v>21016</v>
      </c>
      <c r="H11" s="277" t="str">
        <f>IF(G11&lt;&gt;"",VLOOKUP(G11,COA!$A$3:$G$1048576,2,0),"")</f>
        <v>Unearned Revenue - OPS</v>
      </c>
      <c r="I11" s="278" t="s">
        <v>38</v>
      </c>
      <c r="J11" s="279" t="str">
        <f>IF(I11&lt;&gt;"",VLOOKUP(I11,'CUSTOMER LISTS'!$B$3:$E$1048576,2,0),"")</f>
        <v>ARQUIZA FUEL REFILLING STATION</v>
      </c>
      <c r="K11" s="280" t="str">
        <f>IF(I11&lt;&gt;"",VLOOKUP(I11,'CUSTOMER LISTS'!$B$3:$E$1048576,3,0),"")</f>
        <v>ANTONIO MANINGO ARQUIZA</v>
      </c>
      <c r="L11" s="280" t="str">
        <f>IF(I11&lt;&gt;"",VLOOKUP(I11,'CUSTOMER LISTS'!$B$3:$E$1048576,4,0),"")</f>
        <v>BRGY. LINGASAD, POLANCO, ZAMBOANGA DEL NORTE</v>
      </c>
      <c r="M11" s="274">
        <v>711</v>
      </c>
      <c r="N11" s="281" t="str">
        <f>IF(M11&lt;&gt;"",VLOOKUP(M11,'PRODUCT &amp; SERVICES'!$O:$P,2,0),"")</f>
        <v>National</v>
      </c>
      <c r="O11" s="285" t="s">
        <v>39</v>
      </c>
      <c r="P11" s="286" t="s">
        <v>40</v>
      </c>
      <c r="Q11" s="284" t="s">
        <v>41</v>
      </c>
      <c r="R11" s="272" t="s">
        <v>29</v>
      </c>
      <c r="S11" s="272" t="s">
        <v>42</v>
      </c>
      <c r="T11" s="310">
        <v>46093</v>
      </c>
      <c r="U11" s="272"/>
    </row>
    <row r="12" spans="1:21" s="283" customFormat="1" ht="15" customHeight="1">
      <c r="A12" s="271">
        <v>46093</v>
      </c>
      <c r="B12" s="272">
        <v>635</v>
      </c>
      <c r="C12" s="272" t="s">
        <v>43</v>
      </c>
      <c r="D12" s="273">
        <v>20050</v>
      </c>
      <c r="E12" s="274" t="s">
        <v>44</v>
      </c>
      <c r="F12" s="275" t="str">
        <f>IF(E12&lt;&gt;"",VLOOKUP(E12,CODE!$B$2:$C$11,2,0),"")</f>
        <v>PNB - CHECKING</v>
      </c>
      <c r="G12" s="276">
        <v>65000</v>
      </c>
      <c r="H12" s="277" t="str">
        <f>IF(G12&lt;&gt;"",VLOOKUP(G12,COA!$A$3:$G$1048576,2,0),"")</f>
        <v>Miscellaneous Expenses_DHPP</v>
      </c>
      <c r="I12" s="287" t="s">
        <v>45</v>
      </c>
      <c r="J12" s="279" t="str">
        <f>IF(I12&lt;&gt;"",VLOOKUP(I12,'CUSTOMER LISTS'!$B$3:$E$1048576,2,0),"")</f>
        <v>JOHN BILLY CONCHE</v>
      </c>
      <c r="K12" s="280" t="str">
        <f>IF(I12&lt;&gt;"",VLOOKUP(I12,'CUSTOMER LISTS'!$B$3:$E$1048576,3,0),"")</f>
        <v>JOHN BILLY CONCHE</v>
      </c>
      <c r="L12" s="280" t="str">
        <f>IF(I12&lt;&gt;"",VLOOKUP(I12,'CUSTOMER LISTS'!$B$3:$E$1048576,4,0),"")</f>
        <v>BRGY. STA.ISABEL, DIPOLOG CITY</v>
      </c>
      <c r="M12" s="274">
        <v>761</v>
      </c>
      <c r="N12" s="281" t="str">
        <f>IF(M12&lt;&gt;"",VLOOKUP(M12,'PRODUCT &amp; SERVICES'!$O:$P,2,0),"")</f>
        <v>Others ( Pls. Specify )</v>
      </c>
      <c r="O12" s="282"/>
      <c r="P12" s="279"/>
      <c r="Q12" s="288" t="s">
        <v>46</v>
      </c>
      <c r="R12" s="280"/>
      <c r="S12" s="280"/>
      <c r="T12" s="292"/>
      <c r="U12" s="272"/>
    </row>
    <row r="13" spans="1:21" s="67" customFormat="1" ht="15" customHeight="1">
      <c r="A13" s="100">
        <v>46093</v>
      </c>
      <c r="B13" s="114">
        <v>636</v>
      </c>
      <c r="C13" s="60" t="s">
        <v>47</v>
      </c>
      <c r="D13" s="61">
        <v>457200</v>
      </c>
      <c r="E13" s="55" t="s">
        <v>48</v>
      </c>
      <c r="F13" s="68" t="str">
        <f>IF(E13&lt;&gt;"",VLOOKUP(E13,CODE!$B$2:$C$11,2,0),"")</f>
        <v>EASTWEST-CHECKING</v>
      </c>
      <c r="G13" s="63"/>
      <c r="H13" s="57" t="str">
        <f>IF(G13&lt;&gt;"",VLOOKUP(G13,COA!$A$3:$G$1048576,2,0),"")</f>
        <v/>
      </c>
      <c r="I13" s="64"/>
      <c r="J13" s="65" t="str">
        <f>IF(I13&lt;&gt;"",VLOOKUP(I13,'CUSTOMER LISTS'!$B$3:$E$1048576,2,0),"")</f>
        <v/>
      </c>
      <c r="K13" s="59" t="str">
        <f>IF(I13&lt;&gt;"",VLOOKUP(I13,'CUSTOMER LISTS'!$B$3:$E$1048576,3,0),"")</f>
        <v/>
      </c>
      <c r="L13" s="59" t="str">
        <f>IF(I13&lt;&gt;"",VLOOKUP(I13,'CUSTOMER LISTS'!$B$3:$E$1048576,4,0),"")</f>
        <v/>
      </c>
      <c r="M13" s="55">
        <v>761</v>
      </c>
      <c r="N13" s="56" t="str">
        <f>IF(M13&lt;&gt;"",VLOOKUP(M13,'PRODUCT &amp; SERVICES'!$O:$P,2,0),"")</f>
        <v>Others ( Pls. Specify )</v>
      </c>
      <c r="O13" s="66"/>
      <c r="P13" s="65"/>
      <c r="Q13" s="58" t="s">
        <v>49</v>
      </c>
      <c r="R13" s="59"/>
      <c r="S13" s="59"/>
      <c r="T13" s="60"/>
      <c r="U13" s="114"/>
    </row>
    <row r="14" spans="1:21" s="67" customFormat="1" ht="15" customHeight="1">
      <c r="A14" s="100">
        <v>46094</v>
      </c>
      <c r="B14" s="114">
        <v>637</v>
      </c>
      <c r="C14" s="60" t="s">
        <v>50</v>
      </c>
      <c r="D14" s="61">
        <v>8000</v>
      </c>
      <c r="E14" s="55" t="s">
        <v>51</v>
      </c>
      <c r="F14" s="291" t="str">
        <f>IF(E14&lt;&gt;"",VLOOKUP(E14,CODE!$B$2:$C$11,2,0),"")</f>
        <v>METROBANK-CHECKING</v>
      </c>
      <c r="G14" s="63">
        <v>12070</v>
      </c>
      <c r="H14" s="57" t="str">
        <f>IF(G14&lt;&gt;"",VLOOKUP(G14,COA!$A$3:$G$1048576,2,0),"")</f>
        <v>Advances to Employees - DHPP</v>
      </c>
      <c r="I14" s="64" t="s">
        <v>52</v>
      </c>
      <c r="J14" s="65" t="str">
        <f>IF(I14&lt;&gt;"",VLOOKUP(I14,'CUSTOMER LISTS'!$B$3:$E$1048576,2,0),"")</f>
        <v xml:space="preserve">CLYDE N. REBOLLOS </v>
      </c>
      <c r="K14" s="59" t="str">
        <f>IF(I14&lt;&gt;"",VLOOKUP(I14,'CUSTOMER LISTS'!$B$3:$E$1048576,3,0),"")</f>
        <v xml:space="preserve">CLYDE N. REBOLLOS </v>
      </c>
      <c r="L14" s="59" t="str">
        <f>IF(I14&lt;&gt;"",VLOOKUP(I14,'CUSTOMER LISTS'!$B$3:$E$1048576,4,0),"")</f>
        <v>BRGY. STA.ISABEL, DIPOLOG CITY</v>
      </c>
      <c r="M14" s="55">
        <v>761</v>
      </c>
      <c r="N14" s="56" t="str">
        <f>IF(M14&lt;&gt;"",VLOOKUP(M14,'PRODUCT &amp; SERVICES'!$O:$P,2,0),"")</f>
        <v>Others ( Pls. Specify )</v>
      </c>
      <c r="O14" s="66"/>
      <c r="P14" s="65"/>
      <c r="Q14" s="58" t="s">
        <v>53</v>
      </c>
      <c r="R14" s="59"/>
      <c r="S14" s="59"/>
      <c r="T14" s="60"/>
      <c r="U14" s="114"/>
    </row>
    <row r="15" spans="1:21" s="67" customFormat="1" ht="15" customHeight="1">
      <c r="A15" s="100">
        <v>46094</v>
      </c>
      <c r="B15" s="114">
        <v>638</v>
      </c>
      <c r="C15" s="60" t="s">
        <v>54</v>
      </c>
      <c r="D15" s="61">
        <v>425</v>
      </c>
      <c r="E15" s="55" t="s">
        <v>51</v>
      </c>
      <c r="F15" s="62" t="str">
        <f>IF(E15&lt;&gt;"",VLOOKUP(E15,CODE!$B$2:$C$11,2,0),"")</f>
        <v>METROBANK-CHECKING</v>
      </c>
      <c r="G15" s="63">
        <v>20000</v>
      </c>
      <c r="H15" s="57" t="str">
        <f>IF(G15&lt;&gt;"",VLOOKUP(G15,COA!$A$3:$G$1048576,2,0),"")</f>
        <v>A/Payables - Current - DHPP</v>
      </c>
      <c r="I15" s="64"/>
      <c r="J15" s="65" t="str">
        <f>IF(I15&lt;&gt;"",VLOOKUP(I15,'CUSTOMER LISTS'!$B$3:$E$1048576,2,0),"")</f>
        <v/>
      </c>
      <c r="K15" s="59" t="str">
        <f>IF(I15&lt;&gt;"",VLOOKUP(I15,'CUSTOMER LISTS'!$B$3:$E$1048576,3,0),"")</f>
        <v/>
      </c>
      <c r="L15" s="59" t="str">
        <f>IF(I15&lt;&gt;"",VLOOKUP(I15,'CUSTOMER LISTS'!$B$3:$E$1048576,4,0),"")</f>
        <v/>
      </c>
      <c r="M15" s="55">
        <v>761</v>
      </c>
      <c r="N15" s="56" t="str">
        <f>IF(M15&lt;&gt;"",VLOOKUP(M15,'PRODUCT &amp; SERVICES'!$O:$P,2,0),"")</f>
        <v>Others ( Pls. Specify )</v>
      </c>
      <c r="O15" s="66"/>
      <c r="P15" s="65"/>
      <c r="Q15" s="58" t="s">
        <v>49</v>
      </c>
      <c r="R15" s="59"/>
      <c r="S15" s="59"/>
      <c r="T15" s="60"/>
      <c r="U15" s="114"/>
    </row>
    <row r="16" spans="1:21" s="67" customFormat="1" ht="15" customHeight="1">
      <c r="A16" s="100">
        <v>46094</v>
      </c>
      <c r="B16" s="114">
        <v>639</v>
      </c>
      <c r="C16" s="60" t="s">
        <v>55</v>
      </c>
      <c r="D16" s="61">
        <v>30378.29</v>
      </c>
      <c r="E16" s="55" t="s">
        <v>44</v>
      </c>
      <c r="F16" s="289" t="str">
        <f>IF(E16&lt;&gt;"",VLOOKUP(E16,CODE!$B$2:$C$11,2,0),"")</f>
        <v>PNB - CHECKING</v>
      </c>
      <c r="G16" s="63">
        <v>15000</v>
      </c>
      <c r="H16" s="57" t="str">
        <f>IF(G16&lt;&gt;"",VLOOKUP(G16,COA!$A$3:$G$1048576,2,0),"")</f>
        <v>Due from STPC - DHPP</v>
      </c>
      <c r="I16" s="64" t="s">
        <v>56</v>
      </c>
      <c r="J16" s="65" t="str">
        <f>IF(I16&lt;&gt;"",VLOOKUP(I16,'CUSTOMER LISTS'!$B$3:$E$1048576,2,0),"")</f>
        <v>SEVEN-TRENT PETROLEUM CORP.</v>
      </c>
      <c r="K16" s="59" t="str">
        <f>IF(I16&lt;&gt;"",VLOOKUP(I16,'CUSTOMER LISTS'!$B$3:$E$1048576,3,0),"")</f>
        <v>SEVEN-TRENT PETROLEUM CORP.</v>
      </c>
      <c r="L16" s="59" t="str">
        <f>IF(I16&lt;&gt;"",VLOOKUP(I16,'CUSTOMER LISTS'!$B$3:$E$1048576,4,0),"")</f>
        <v>BRGY. SAN PEDRO, DAPITAN,  ZAMBOANGA DEL NORTE</v>
      </c>
      <c r="M16" s="55">
        <v>761</v>
      </c>
      <c r="N16" s="56" t="str">
        <f>IF(M16&lt;&gt;"",VLOOKUP(M16,'PRODUCT &amp; SERVICES'!$O:$P,2,0),"")</f>
        <v>Others ( Pls. Specify )</v>
      </c>
      <c r="O16" s="66"/>
      <c r="P16" s="65"/>
      <c r="Q16" s="290" t="s">
        <v>57</v>
      </c>
      <c r="R16" s="59"/>
      <c r="S16" s="59"/>
      <c r="T16" s="60"/>
      <c r="U16" s="114"/>
    </row>
    <row r="17" spans="1:21" s="67" customFormat="1" ht="15" customHeight="1">
      <c r="A17" s="100">
        <v>46094</v>
      </c>
      <c r="B17" s="114">
        <v>640</v>
      </c>
      <c r="C17" s="60" t="s">
        <v>58</v>
      </c>
      <c r="D17" s="61">
        <v>500000</v>
      </c>
      <c r="E17" s="55" t="s">
        <v>48</v>
      </c>
      <c r="F17" s="68" t="str">
        <f>IF(E17&lt;&gt;"",VLOOKUP(E17,CODE!$B$2:$C$11,2,0),"")</f>
        <v>EASTWEST-CHECKING</v>
      </c>
      <c r="G17" s="63">
        <v>25500</v>
      </c>
      <c r="H17" s="57" t="str">
        <f>IF(G17&lt;&gt;"",VLOOKUP(G17,COA!$A$3:$G$1048576,2,0),"")</f>
        <v>Other Payables_Current - DHPP</v>
      </c>
      <c r="I17" s="64" t="s">
        <v>56</v>
      </c>
      <c r="J17" s="65" t="str">
        <f>IF(I17&lt;&gt;"",VLOOKUP(I17,'CUSTOMER LISTS'!$B$3:$E$1048576,2,0),"")</f>
        <v>SEVEN-TRENT PETROLEUM CORP.</v>
      </c>
      <c r="K17" s="59" t="str">
        <f>IF(I17&lt;&gt;"",VLOOKUP(I17,'CUSTOMER LISTS'!$B$3:$E$1048576,3,0),"")</f>
        <v>SEVEN-TRENT PETROLEUM CORP.</v>
      </c>
      <c r="L17" s="59" t="str">
        <f>IF(I17&lt;&gt;"",VLOOKUP(I17,'CUSTOMER LISTS'!$B$3:$E$1048576,4,0),"")</f>
        <v>BRGY. SAN PEDRO, DAPITAN,  ZAMBOANGA DEL NORTE</v>
      </c>
      <c r="M17" s="55">
        <v>761</v>
      </c>
      <c r="N17" s="56" t="str">
        <f>IF(M17&lt;&gt;"",VLOOKUP(M17,'PRODUCT &amp; SERVICES'!$O:$P,2,0),"")</f>
        <v>Others ( Pls. Specify )</v>
      </c>
      <c r="O17" s="66"/>
      <c r="P17" s="65"/>
      <c r="Q17" s="58" t="s">
        <v>59</v>
      </c>
      <c r="R17" s="59"/>
      <c r="S17" s="59"/>
      <c r="T17" s="60"/>
      <c r="U17" s="114"/>
    </row>
    <row r="18" spans="1:21" s="283" customFormat="1" ht="15" customHeight="1">
      <c r="A18" s="271">
        <v>46095</v>
      </c>
      <c r="B18" s="272">
        <v>641</v>
      </c>
      <c r="C18" s="292" t="s">
        <v>60</v>
      </c>
      <c r="D18" s="273">
        <v>400000</v>
      </c>
      <c r="E18" s="274" t="s">
        <v>48</v>
      </c>
      <c r="F18" s="275" t="str">
        <f>IF(E18&lt;&gt;"",VLOOKUP(E18,CODE!$B$2:$C$11,2,0),"")</f>
        <v>EASTWEST-CHECKING</v>
      </c>
      <c r="G18" s="276">
        <v>21023</v>
      </c>
      <c r="H18" s="277" t="str">
        <f>IF(G18&lt;&gt;"",VLOOKUP(G18,COA!$A$3:$G$1048576,2,0),"")</f>
        <v>Unearned Revenue - DMIE</v>
      </c>
      <c r="I18" s="278" t="s">
        <v>61</v>
      </c>
      <c r="J18" s="279" t="str">
        <f>IF(I18&lt;&gt;"",VLOOKUP(I18,'CUSTOMER LISTS'!$B$3:$E$1048576,2,0),"")</f>
        <v>TM'S GAS REFILLING STATION</v>
      </c>
      <c r="K18" s="280" t="str">
        <f>IF(I18&lt;&gt;"",VLOOKUP(I18,'CUSTOMER LISTS'!$B$3:$E$1048576,3,0),"")</f>
        <v>ISABELO A. VILLANUEVA III</v>
      </c>
      <c r="L18" s="280" t="str">
        <f>IF(I18&lt;&gt;"",VLOOKUP(I18,'CUSTOMER LISTS'!$B$3:$E$1048576,4,0),"")</f>
        <v>BRGY. SOUTHWESTERN POBLACION, CALAMBA, MISAMIS OCCIDENTAL</v>
      </c>
      <c r="M18" s="274">
        <v>2217</v>
      </c>
      <c r="N18" s="281" t="str">
        <f>IF(M18&lt;&gt;"",VLOOKUP(M18,'PRODUCT &amp; SERVICES'!$O:$P,2,0),"")</f>
        <v>5.0 KL TSRO Standard Machine</v>
      </c>
      <c r="O18" s="282"/>
      <c r="P18" s="279"/>
      <c r="Q18" s="280" t="s">
        <v>62</v>
      </c>
      <c r="R18" s="280"/>
      <c r="S18" s="280"/>
      <c r="T18" s="292"/>
      <c r="U18" s="272"/>
    </row>
    <row r="19" spans="1:21" s="283" customFormat="1" ht="15" customHeight="1">
      <c r="A19" s="271">
        <v>46097</v>
      </c>
      <c r="B19" s="272">
        <v>642</v>
      </c>
      <c r="C19" s="292" t="s">
        <v>63</v>
      </c>
      <c r="D19" s="273">
        <v>250</v>
      </c>
      <c r="E19" s="274" t="s">
        <v>31</v>
      </c>
      <c r="F19" s="293" t="str">
        <f>IF(E19&lt;&gt;"",VLOOKUP(E19,CODE!$B$2:$C$11,2,0),"")</f>
        <v>PSBC- SAVINGS</v>
      </c>
      <c r="G19" s="276">
        <v>21016</v>
      </c>
      <c r="H19" s="277" t="str">
        <f>IF(G19&lt;&gt;"",VLOOKUP(G19,COA!$A$3:$G$1048576,2,0),"")</f>
        <v>Unearned Revenue - OPS</v>
      </c>
      <c r="I19" s="278" t="s">
        <v>34</v>
      </c>
      <c r="J19" s="279" t="str">
        <f>IF(I19&lt;&gt;"",VLOOKUP(I19,'CUSTOMER LISTS'!$B$3:$E$1048576,2,0),"")</f>
        <v>ED-ZEL FUEL REFILLING STATION</v>
      </c>
      <c r="K19" s="280" t="str">
        <f>IF(I19&lt;&gt;"",VLOOKUP(I19,'CUSTOMER LISTS'!$B$3:$E$1048576,3,0),"")</f>
        <v>HAZEL NAMIT CABOVERDE</v>
      </c>
      <c r="L19" s="280" t="str">
        <f>IF(I19&lt;&gt;"",VLOOKUP(I19,'CUSTOMER LISTS'!$B$3:$E$1048576,4,0),"")</f>
        <v>BRGY. SINGARAN, LA LIBERTAD, ZAMBOANGA DEL NORTE</v>
      </c>
      <c r="M19" s="274">
        <v>731</v>
      </c>
      <c r="N19" s="281" t="str">
        <f>IF(M19&lt;&gt;"",VLOOKUP(M19,'PRODUCT &amp; SERVICES'!$O:$P,2,0),"")</f>
        <v>Other OPS ( Pls. Specify )</v>
      </c>
      <c r="O19" s="282"/>
      <c r="P19" s="279"/>
      <c r="Q19" s="280" t="s">
        <v>64</v>
      </c>
      <c r="R19" s="280"/>
      <c r="S19" s="280"/>
      <c r="T19" s="292"/>
      <c r="U19" s="272"/>
    </row>
    <row r="20" spans="1:21" s="35" customFormat="1" ht="15" customHeight="1">
      <c r="A20" s="99">
        <v>46097</v>
      </c>
      <c r="B20" s="90">
        <v>643</v>
      </c>
      <c r="C20" s="294" t="s">
        <v>65</v>
      </c>
      <c r="D20" s="91">
        <v>12647</v>
      </c>
      <c r="E20" s="74" t="s">
        <v>48</v>
      </c>
      <c r="F20" s="295" t="str">
        <f>IF(E20&lt;&gt;"",VLOOKUP(E20,CODE!$B$2:$C$11,2,0),"")</f>
        <v>EASTWEST-CHECKING</v>
      </c>
      <c r="G20" s="92">
        <v>25506</v>
      </c>
      <c r="H20" s="93" t="str">
        <f>IF(G20&lt;&gt;"",VLOOKUP(G20,COA!$A$3:$G$1048576,2,0),"")</f>
        <v>Other Payables_Current - OPS</v>
      </c>
      <c r="I20" s="94" t="s">
        <v>56</v>
      </c>
      <c r="J20" s="95" t="str">
        <f>IF(I20&lt;&gt;"",VLOOKUP(I20,'CUSTOMER LISTS'!$B$3:$E$1048576,2,0),"")</f>
        <v>SEVEN-TRENT PETROLEUM CORP.</v>
      </c>
      <c r="K20" s="89" t="str">
        <f>IF(I20&lt;&gt;"",VLOOKUP(I20,'CUSTOMER LISTS'!$B$3:$E$1048576,3,0),"")</f>
        <v>SEVEN-TRENT PETROLEUM CORP.</v>
      </c>
      <c r="L20" s="89" t="str">
        <f>IF(I20&lt;&gt;"",VLOOKUP(I20,'CUSTOMER LISTS'!$B$3:$E$1048576,4,0),"")</f>
        <v>BRGY. SAN PEDRO, DAPITAN,  ZAMBOANGA DEL NORTE</v>
      </c>
      <c r="M20" s="74">
        <v>761</v>
      </c>
      <c r="N20" s="96" t="str">
        <f>IF(M20&lt;&gt;"",VLOOKUP(M20,'PRODUCT &amp; SERVICES'!$O:$P,2,0),"")</f>
        <v>Others ( Pls. Specify )</v>
      </c>
      <c r="O20" s="97"/>
      <c r="P20" s="95"/>
      <c r="Q20" s="89" t="s">
        <v>66</v>
      </c>
      <c r="R20" s="89"/>
      <c r="S20" s="89"/>
      <c r="T20" s="294"/>
      <c r="U20" s="90"/>
    </row>
    <row r="21" spans="1:21" s="283" customFormat="1" ht="15" customHeight="1">
      <c r="A21" s="271">
        <v>46100</v>
      </c>
      <c r="B21" s="272">
        <v>644</v>
      </c>
      <c r="C21" s="292" t="s">
        <v>67</v>
      </c>
      <c r="D21" s="273">
        <v>4260</v>
      </c>
      <c r="E21" s="274" t="s">
        <v>31</v>
      </c>
      <c r="F21" s="293" t="str">
        <f>IF(E21&lt;&gt;"",VLOOKUP(E21,CODE!$B$2:$C$11,2,0),"")</f>
        <v>PSBC- SAVINGS</v>
      </c>
      <c r="G21" s="276">
        <v>21016</v>
      </c>
      <c r="H21" s="277" t="str">
        <f>IF(G21&lt;&gt;"",VLOOKUP(G21,COA!$A$3:$G$1048576,2,0),"")</f>
        <v>Unearned Revenue - OPS</v>
      </c>
      <c r="I21" s="278" t="s">
        <v>68</v>
      </c>
      <c r="J21" s="279" t="str">
        <f>IF(I21&lt;&gt;"",VLOOKUP(I21,'CUSTOMER LISTS'!$B$3:$E$1048576,2,0),"")</f>
        <v>MJ FUEL REFILLING STATION</v>
      </c>
      <c r="K21" s="280" t="str">
        <f>IF(I21&lt;&gt;"",VLOOKUP(I21,'CUSTOMER LISTS'!$B$3:$E$1048576,3,0),"")</f>
        <v>JERELYN MONTEZA AWA</v>
      </c>
      <c r="L21" s="280" t="str">
        <f>IF(I21&lt;&gt;"",VLOOKUP(I21,'CUSTOMER LISTS'!$B$3:$E$1048576,4,0),"")</f>
        <v>BRGY. DANSULLAN, POLANCO, ZAMBOANGA DEL NORTE</v>
      </c>
      <c r="M21" s="274">
        <v>731</v>
      </c>
      <c r="N21" s="281" t="str">
        <f>IF(M21&lt;&gt;"",VLOOKUP(M21,'PRODUCT &amp; SERVICES'!$O:$P,2,0),"")</f>
        <v>Other OPS ( Pls. Specify )</v>
      </c>
      <c r="O21" s="282" t="s">
        <v>39</v>
      </c>
      <c r="P21" s="279" t="s">
        <v>69</v>
      </c>
      <c r="Q21" s="284" t="s">
        <v>41</v>
      </c>
      <c r="R21" s="272" t="s">
        <v>29</v>
      </c>
      <c r="S21" s="272" t="s">
        <v>70</v>
      </c>
      <c r="T21" s="310">
        <v>46100</v>
      </c>
      <c r="U21" s="272"/>
    </row>
    <row r="22" spans="1:21" s="35" customFormat="1" ht="15" customHeight="1">
      <c r="A22" s="99">
        <v>46100</v>
      </c>
      <c r="B22" s="90">
        <v>645</v>
      </c>
      <c r="C22" s="294" t="s">
        <v>71</v>
      </c>
      <c r="D22" s="91">
        <v>48653.97</v>
      </c>
      <c r="E22" s="74" t="s">
        <v>44</v>
      </c>
      <c r="F22" s="295" t="str">
        <f>IF(E22&lt;&gt;"",VLOOKUP(E22,CODE!$B$2:$C$11,2,0),"")</f>
        <v>PNB - CHECKING</v>
      </c>
      <c r="G22" s="92">
        <v>15000</v>
      </c>
      <c r="H22" s="93" t="str">
        <f>IF(G22&lt;&gt;"",VLOOKUP(G22,COA!$A$3:$G$1048576,2,0),"")</f>
        <v>Due from STPC - DHPP</v>
      </c>
      <c r="I22" s="94" t="s">
        <v>56</v>
      </c>
      <c r="J22" s="95" t="str">
        <f>IF(I22&lt;&gt;"",VLOOKUP(I22,'CUSTOMER LISTS'!$B$3:$E$1048576,2,0),"")</f>
        <v>SEVEN-TRENT PETROLEUM CORP.</v>
      </c>
      <c r="K22" s="89" t="str">
        <f>IF(I22&lt;&gt;"",VLOOKUP(I22,'CUSTOMER LISTS'!$B$3:$E$1048576,3,0),"")</f>
        <v>SEVEN-TRENT PETROLEUM CORP.</v>
      </c>
      <c r="L22" s="89" t="str">
        <f>IF(I22&lt;&gt;"",VLOOKUP(I22,'CUSTOMER LISTS'!$B$3:$E$1048576,4,0),"")</f>
        <v>BRGY. SAN PEDRO, DAPITAN,  ZAMBOANGA DEL NORTE</v>
      </c>
      <c r="M22" s="74">
        <v>761</v>
      </c>
      <c r="N22" s="96" t="str">
        <f>IF(M22&lt;&gt;"",VLOOKUP(M22,'PRODUCT &amp; SERVICES'!$O:$P,2,0),"")</f>
        <v>Others ( Pls. Specify )</v>
      </c>
      <c r="O22" s="97"/>
      <c r="P22" s="95"/>
      <c r="Q22" s="89" t="s">
        <v>72</v>
      </c>
      <c r="R22" s="89"/>
      <c r="S22" s="89"/>
      <c r="T22" s="294"/>
      <c r="U22" s="90"/>
    </row>
    <row r="23" spans="1:21" s="283" customFormat="1" ht="15" customHeight="1">
      <c r="A23" s="271">
        <v>46100</v>
      </c>
      <c r="B23" s="272">
        <v>646</v>
      </c>
      <c r="C23" s="292" t="s">
        <v>73</v>
      </c>
      <c r="D23" s="273">
        <v>18890</v>
      </c>
      <c r="E23" s="274" t="s">
        <v>74</v>
      </c>
      <c r="F23" s="293" t="str">
        <f>IF(E23&lt;&gt;"",VLOOKUP(E23,CODE!$B$2:$C$11,2,0),"")</f>
        <v>FIRST VALLEY -CHECKING</v>
      </c>
      <c r="G23" s="276">
        <v>43026</v>
      </c>
      <c r="H23" s="277" t="str">
        <f>IF(G23&lt;&gt;"",VLOOKUP(G23,COA!$A$3:$G$1048576,2,0),"")</f>
        <v>Service Income</v>
      </c>
      <c r="I23" s="278" t="s">
        <v>75</v>
      </c>
      <c r="J23" s="279" t="str">
        <f>IF(I23&lt;&gt;"",VLOOKUP(I23,'CUSTOMER LISTS'!$B$3:$E$1048576,2,0),"")</f>
        <v>SUERTE GAS STATION</v>
      </c>
      <c r="K23" s="280" t="str">
        <f>IF(I23&lt;&gt;"",VLOOKUP(I23,'CUSTOMER LISTS'!$B$3:$E$1048576,3,0),"")</f>
        <v>ALJUN LATA SUERTE</v>
      </c>
      <c r="L23" s="280" t="str">
        <f>IF(I23&lt;&gt;"",VLOOKUP(I23,'CUSTOMER LISTS'!$B$3:$E$1048576,4,0),"")</f>
        <v>BRGY. GUITRAN, DUMINGAG, ZAMBOANGA DEL SUR</v>
      </c>
      <c r="M23" s="274">
        <v>751</v>
      </c>
      <c r="N23" s="281" t="str">
        <f>IF(M23&lt;&gt;"",VLOOKUP(M23,'PRODUCT &amp; SERVICES'!$O:$P,2,0),"")</f>
        <v>Other Services ( Pls. Specify )</v>
      </c>
      <c r="O23" s="282"/>
      <c r="P23" s="279"/>
      <c r="Q23" s="280" t="s">
        <v>76</v>
      </c>
      <c r="R23" s="280"/>
      <c r="S23" s="280"/>
      <c r="T23" s="292"/>
      <c r="U23" s="272"/>
    </row>
    <row r="24" spans="1:21" s="283" customFormat="1" ht="15" customHeight="1">
      <c r="A24" s="271">
        <v>46101</v>
      </c>
      <c r="B24" s="272">
        <v>647</v>
      </c>
      <c r="C24" s="292" t="s">
        <v>77</v>
      </c>
      <c r="D24" s="273">
        <v>5300</v>
      </c>
      <c r="E24" s="274" t="s">
        <v>44</v>
      </c>
      <c r="F24" s="293" t="str">
        <f>IF(E24&lt;&gt;"",VLOOKUP(E24,CODE!$B$2:$C$11,2,0),"")</f>
        <v>PNB - CHECKING</v>
      </c>
      <c r="G24" s="276">
        <v>21023</v>
      </c>
      <c r="H24" s="277" t="str">
        <f>IF(G24&lt;&gt;"",VLOOKUP(G24,COA!$A$3:$G$1048576,2,0),"")</f>
        <v>Unearned Revenue - DMIE</v>
      </c>
      <c r="I24" s="278" t="s">
        <v>78</v>
      </c>
      <c r="J24" s="279" t="str">
        <f>IF(I24&lt;&gt;"",VLOOKUP(I24,'CUSTOMER LISTS'!$B$3:$E$1048576,2,0),"")</f>
        <v>MUTIA RANGERS FUEL RETAILING</v>
      </c>
      <c r="K24" s="280" t="str">
        <f>IF(I24&lt;&gt;"",VLOOKUP(I24,'CUSTOMER LISTS'!$B$3:$E$1048576,3,0),"")</f>
        <v>JULIE ANN CONING MUTIA</v>
      </c>
      <c r="L24" s="280" t="str">
        <f>IF(I24&lt;&gt;"",VLOOKUP(I24,'CUSTOMER LISTS'!$B$3:$E$1048576,4,0),"")</f>
        <v>BRGY. DOLIPOS, BAJO, OROQUIETA CITY</v>
      </c>
      <c r="M24" s="274">
        <v>731</v>
      </c>
      <c r="N24" s="281" t="str">
        <f>IF(M24&lt;&gt;"",VLOOKUP(M24,'PRODUCT &amp; SERVICES'!$O:$P,2,0),"")</f>
        <v>Other OPS ( Pls. Specify )</v>
      </c>
      <c r="O24" s="282"/>
      <c r="P24" s="279"/>
      <c r="Q24" s="280" t="s">
        <v>79</v>
      </c>
      <c r="R24" s="272" t="s">
        <v>29</v>
      </c>
      <c r="S24" s="280" t="s">
        <v>80</v>
      </c>
      <c r="T24" s="310">
        <v>46218</v>
      </c>
      <c r="U24" s="272"/>
    </row>
    <row r="25" spans="1:21" s="283" customFormat="1" ht="15" customHeight="1">
      <c r="A25" s="271">
        <v>46102</v>
      </c>
      <c r="B25" s="272">
        <v>648</v>
      </c>
      <c r="C25" s="292" t="s">
        <v>81</v>
      </c>
      <c r="D25" s="273">
        <v>200000</v>
      </c>
      <c r="E25" s="274" t="s">
        <v>51</v>
      </c>
      <c r="F25" s="293" t="str">
        <f>IF(E25&lt;&gt;"",VLOOKUP(E25,CODE!$B$2:$C$11,2,0),"")</f>
        <v>METROBANK-CHECKING</v>
      </c>
      <c r="G25" s="276">
        <v>21023</v>
      </c>
      <c r="H25" s="277" t="str">
        <f>IF(G25&lt;&gt;"",VLOOKUP(G25,COA!$A$3:$G$1048576,2,0),"")</f>
        <v>Unearned Revenue - DMIE</v>
      </c>
      <c r="I25" s="287" t="s">
        <v>82</v>
      </c>
      <c r="J25" s="279" t="str">
        <f>IF(I25&lt;&gt;"",VLOOKUP(I25,'CUSTOMER LISTS'!$B$3:$E$1048576,2,0),"")</f>
        <v>AYA G MICRO GAS STATION</v>
      </c>
      <c r="K25" s="280" t="str">
        <f>IF(I25&lt;&gt;"",VLOOKUP(I25,'CUSTOMER LISTS'!$B$3:$E$1048576,3,0),"")</f>
        <v>ARTIUS TALADUA GALINDO</v>
      </c>
      <c r="L25" s="280" t="str">
        <f>IF(I25&lt;&gt;"",VLOOKUP(I25,'CUSTOMER LISTS'!$B$3:$E$1048576,4,0),"")</f>
        <v>BRGY. VILLAFLOR, OROQUIETA CITY, MISAMIS OCCIDENTAL</v>
      </c>
      <c r="M25" s="274">
        <v>2218</v>
      </c>
      <c r="N25" s="281" t="str">
        <f>IF(M25&lt;&gt;"",VLOOKUP(M25,'PRODUCT &amp; SERVICES'!$O:$P,2,0),"")</f>
        <v>5.0 KL TSRO Standing Machine</v>
      </c>
      <c r="O25" s="282"/>
      <c r="P25" s="279"/>
      <c r="Q25" s="280" t="s">
        <v>83</v>
      </c>
      <c r="R25" s="280"/>
      <c r="S25" s="280" t="s">
        <v>84</v>
      </c>
      <c r="T25" s="320" t="s">
        <v>85</v>
      </c>
      <c r="U25" s="272"/>
    </row>
    <row r="26" spans="1:21" s="283" customFormat="1" ht="15" customHeight="1">
      <c r="A26" s="271">
        <v>46104</v>
      </c>
      <c r="B26" s="272">
        <v>649</v>
      </c>
      <c r="C26" s="292" t="s">
        <v>86</v>
      </c>
      <c r="D26" s="273">
        <v>2350</v>
      </c>
      <c r="E26" s="274" t="s">
        <v>44</v>
      </c>
      <c r="F26" s="293" t="str">
        <f>IF(E26&lt;&gt;"",VLOOKUP(E26,CODE!$B$2:$C$11,2,0),"")</f>
        <v>PNB - CHECKING</v>
      </c>
      <c r="G26" s="276">
        <v>21016</v>
      </c>
      <c r="H26" s="277" t="str">
        <f>IF(G26&lt;&gt;"",VLOOKUP(G26,COA!$A$3:$G$1048576,2,0),"")</f>
        <v>Unearned Revenue - OPS</v>
      </c>
      <c r="I26" s="278" t="s">
        <v>87</v>
      </c>
      <c r="J26" s="279" t="str">
        <f>IF(I26&lt;&gt;"",VLOOKUP(I26,'CUSTOMER LISTS'!$B$3:$E$1048576,2,0),"")</f>
        <v>BOY G FUEL REFILLING STATION</v>
      </c>
      <c r="K26" s="280" t="str">
        <f>IF(I26&lt;&gt;"",VLOOKUP(I26,'CUSTOMER LISTS'!$B$3:$E$1048576,3,0),"")</f>
        <v>EPIFRAS RUDAS GALLEPOSO</v>
      </c>
      <c r="L26" s="280" t="str">
        <f>IF(I26&lt;&gt;"",VLOOKUP(I26,'CUSTOMER LISTS'!$B$3:$E$1048576,4,0),"")</f>
        <v>BRGY. BINONI, SALUG, ZAMBOANGA DEL NORTE</v>
      </c>
      <c r="M26" s="274">
        <v>712</v>
      </c>
      <c r="N26" s="281" t="str">
        <f>IF(M26&lt;&gt;"",VLOOKUP(M26,'PRODUCT &amp; SERVICES'!$O:$P,2,0),"")</f>
        <v>Sea-Oil</v>
      </c>
      <c r="O26" s="282" t="s">
        <v>39</v>
      </c>
      <c r="P26" s="279" t="s">
        <v>40</v>
      </c>
      <c r="Q26" s="280" t="s">
        <v>41</v>
      </c>
      <c r="R26" s="280"/>
      <c r="S26" s="280" t="s">
        <v>88</v>
      </c>
      <c r="T26" s="320" t="s">
        <v>89</v>
      </c>
      <c r="U26" s="272"/>
    </row>
    <row r="27" spans="1:21" s="283" customFormat="1" ht="15" customHeight="1">
      <c r="A27" s="271">
        <v>46104</v>
      </c>
      <c r="B27" s="272">
        <v>650</v>
      </c>
      <c r="C27" s="292" t="s">
        <v>90</v>
      </c>
      <c r="D27" s="273">
        <v>173500</v>
      </c>
      <c r="E27" s="274" t="s">
        <v>51</v>
      </c>
      <c r="F27" s="293" t="str">
        <f>IF(E27&lt;&gt;"",VLOOKUP(E27,CODE!$B$2:$C$11,2,0),"")</f>
        <v>METROBANK-CHECKING</v>
      </c>
      <c r="G27" s="276">
        <v>21023</v>
      </c>
      <c r="H27" s="277" t="str">
        <f>IF(G27&lt;&gt;"",VLOOKUP(G27,COA!$A$3:$G$1048576,2,0),"")</f>
        <v>Unearned Revenue - DMIE</v>
      </c>
      <c r="I27" s="287" t="s">
        <v>82</v>
      </c>
      <c r="J27" s="279" t="str">
        <f>IF(I27&lt;&gt;"",VLOOKUP(I27,'CUSTOMER LISTS'!$B$3:$E$1048576,2,0),"")</f>
        <v>AYA G MICRO GAS STATION</v>
      </c>
      <c r="K27" s="280" t="str">
        <f>IF(I27&lt;&gt;"",VLOOKUP(I27,'CUSTOMER LISTS'!$B$3:$E$1048576,3,0),"")</f>
        <v>ARTIUS TALADUA GALINDO</v>
      </c>
      <c r="L27" s="280" t="str">
        <f>IF(I27&lt;&gt;"",VLOOKUP(I27,'CUSTOMER LISTS'!$B$3:$E$1048576,4,0),"")</f>
        <v>BRGY. VILLAFLOR, OROQUIETA CITY, MISAMIS OCCIDENTAL</v>
      </c>
      <c r="M27" s="274">
        <v>2218</v>
      </c>
      <c r="N27" s="281" t="str">
        <f>IF(M27&lt;&gt;"",VLOOKUP(M27,'PRODUCT &amp; SERVICES'!$O:$P,2,0),"")</f>
        <v>5.0 KL TSRO Standing Machine</v>
      </c>
      <c r="O27" s="282"/>
      <c r="P27" s="279"/>
      <c r="Q27" s="280" t="s">
        <v>91</v>
      </c>
      <c r="R27" s="280"/>
      <c r="S27" s="280" t="s">
        <v>84</v>
      </c>
      <c r="T27" s="320" t="s">
        <v>85</v>
      </c>
      <c r="U27" s="272"/>
    </row>
    <row r="28" spans="1:21" s="283" customFormat="1" ht="15" customHeight="1">
      <c r="A28" s="271">
        <v>46106</v>
      </c>
      <c r="B28" s="272">
        <v>651</v>
      </c>
      <c r="C28" s="292" t="s">
        <v>92</v>
      </c>
      <c r="D28" s="273">
        <v>2400</v>
      </c>
      <c r="E28" s="274" t="s">
        <v>93</v>
      </c>
      <c r="F28" s="293" t="str">
        <f>IF(E28&lt;&gt;"",VLOOKUP(E28,CODE!$B$2:$C$11,2,0),"")</f>
        <v>PSBC - CHECKING</v>
      </c>
      <c r="G28" s="276">
        <v>21016</v>
      </c>
      <c r="H28" s="277" t="str">
        <f>IF(G28&lt;&gt;"",VLOOKUP(G28,COA!$A$3:$G$1048576,2,0),"")</f>
        <v>Unearned Revenue - OPS</v>
      </c>
      <c r="I28" s="278" t="s">
        <v>68</v>
      </c>
      <c r="J28" s="279" t="str">
        <f>IF(I28&lt;&gt;"",VLOOKUP(I28,'CUSTOMER LISTS'!$B$3:$E$1048576,2,0),"")</f>
        <v>MJ FUEL REFILLING STATION</v>
      </c>
      <c r="K28" s="280" t="str">
        <f>IF(I28&lt;&gt;"",VLOOKUP(I28,'CUSTOMER LISTS'!$B$3:$E$1048576,3,0),"")</f>
        <v>JERELYN MONTEZA AWA</v>
      </c>
      <c r="L28" s="280" t="str">
        <f>IF(I28&lt;&gt;"",VLOOKUP(I28,'CUSTOMER LISTS'!$B$3:$E$1048576,4,0),"")</f>
        <v>BRGY. DANSULLAN, POLANCO, ZAMBOANGA DEL NORTE</v>
      </c>
      <c r="M28" s="274">
        <v>712</v>
      </c>
      <c r="N28" s="281" t="str">
        <f>IF(M28&lt;&gt;"",VLOOKUP(M28,'PRODUCT &amp; SERVICES'!$O:$P,2,0),"")</f>
        <v>Sea-Oil</v>
      </c>
      <c r="O28" s="282" t="s">
        <v>39</v>
      </c>
      <c r="P28" s="279" t="s">
        <v>40</v>
      </c>
      <c r="Q28" s="280" t="s">
        <v>41</v>
      </c>
      <c r="R28" s="280"/>
      <c r="S28" s="280" t="s">
        <v>94</v>
      </c>
      <c r="T28" s="310">
        <v>46106</v>
      </c>
      <c r="U28" s="272"/>
    </row>
    <row r="29" spans="1:21" s="87" customFormat="1" ht="15" customHeight="1">
      <c r="A29" s="102" t="s">
        <v>95</v>
      </c>
      <c r="B29" s="77">
        <v>652</v>
      </c>
      <c r="C29" s="118" t="s">
        <v>96</v>
      </c>
      <c r="D29" s="78">
        <v>1500</v>
      </c>
      <c r="E29" s="79" t="s">
        <v>26</v>
      </c>
      <c r="F29" s="80" t="str">
        <f>IF(E29&lt;&gt;"",VLOOKUP(E29,CODE!$B$2:$C$11,2,0),"")</f>
        <v>RCBC -SAVINGS</v>
      </c>
      <c r="G29" s="81">
        <v>43016</v>
      </c>
      <c r="H29" s="82" t="str">
        <f>IF(G29&lt;&gt;"",VLOOKUP(G29,COA!$A$3:$G$1048576,2,0),"")</f>
        <v>Job Orders</v>
      </c>
      <c r="I29" s="107" t="s">
        <v>97</v>
      </c>
      <c r="J29" s="84" t="str">
        <f>IF(I29&lt;&gt;"",VLOOKUP(I29,'CUSTOMER LISTS'!$B$3:$E$1048576,2,0),"")</f>
        <v>REDBAR GAS REFILLING STATION</v>
      </c>
      <c r="K29" s="76" t="str">
        <f>IF(I29&lt;&gt;"",VLOOKUP(I29,'CUSTOMER LISTS'!$B$3:$E$1048576,3,0),"")</f>
        <v>ARNEL GAJO ENTAG</v>
      </c>
      <c r="L29" s="76" t="str">
        <f>IF(I29&lt;&gt;"",VLOOKUP(I29,'CUSTOMER LISTS'!$B$3:$E$1048576,4,0),"")</f>
        <v>BRGY. BOBUAN, BAYOG, ZAMBOANGA DEL SUR</v>
      </c>
      <c r="M29" s="79">
        <v>721</v>
      </c>
      <c r="N29" s="85" t="str">
        <f>IF(M29&lt;&gt;"",VLOOKUP(M29,'PRODUCT &amp; SERVICES'!$O:$P,2,0),"")</f>
        <v>Job Order</v>
      </c>
      <c r="O29" s="86"/>
      <c r="P29" s="84"/>
      <c r="Q29" s="76" t="s">
        <v>98</v>
      </c>
      <c r="R29" s="76"/>
      <c r="S29" s="76"/>
      <c r="T29" s="118"/>
      <c r="U29" s="102" t="s">
        <v>95</v>
      </c>
    </row>
    <row r="30" spans="1:21" s="87" customFormat="1" ht="15" customHeight="1">
      <c r="A30" s="102" t="s">
        <v>95</v>
      </c>
      <c r="B30" s="77">
        <v>653</v>
      </c>
      <c r="C30" s="118" t="s">
        <v>99</v>
      </c>
      <c r="D30" s="78">
        <v>1500</v>
      </c>
      <c r="E30" s="79" t="s">
        <v>26</v>
      </c>
      <c r="F30" s="80" t="str">
        <f>IF(E30&lt;&gt;"",VLOOKUP(E30,CODE!$B$2:$C$11,2,0),"")</f>
        <v>RCBC -SAVINGS</v>
      </c>
      <c r="G30" s="81">
        <v>43016</v>
      </c>
      <c r="H30" s="82" t="str">
        <f>IF(G30&lt;&gt;"",VLOOKUP(G30,COA!$A$3:$G$1048576,2,0),"")</f>
        <v>Job Orders</v>
      </c>
      <c r="I30" s="107" t="s">
        <v>100</v>
      </c>
      <c r="J30" s="84" t="str">
        <f>IF(I30&lt;&gt;"",VLOOKUP(I30,'CUSTOMER LISTS'!$B$3:$E$1048576,2,0),"")</f>
        <v>KELTEX GAS REFILLING STATION</v>
      </c>
      <c r="K30" s="76" t="str">
        <f>IF(I30&lt;&gt;"",VLOOKUP(I30,'CUSTOMER LISTS'!$B$3:$E$1048576,3,0),"")</f>
        <v>LOVELY BERNARDO FABIANTES</v>
      </c>
      <c r="L30" s="76" t="str">
        <f>IF(I30&lt;&gt;"",VLOOKUP(I30,'CUSTOMER LISTS'!$B$3:$E$1048576,4,0),"")</f>
        <v>BRGY. LIBA, BAYOG, ZAMBOANGA DEL SUR</v>
      </c>
      <c r="M30" s="79">
        <v>721</v>
      </c>
      <c r="N30" s="85" t="str">
        <f>IF(M30&lt;&gt;"",VLOOKUP(M30,'PRODUCT &amp; SERVICES'!$O:$P,2,0),"")</f>
        <v>Job Order</v>
      </c>
      <c r="O30" s="86"/>
      <c r="P30" s="84"/>
      <c r="Q30" s="76" t="s">
        <v>98</v>
      </c>
      <c r="R30" s="76"/>
      <c r="S30" s="76"/>
      <c r="T30" s="118"/>
      <c r="U30" s="102" t="s">
        <v>95</v>
      </c>
    </row>
    <row r="31" spans="1:21" s="87" customFormat="1" ht="15" customHeight="1">
      <c r="A31" s="102" t="s">
        <v>95</v>
      </c>
      <c r="B31" s="77">
        <v>654</v>
      </c>
      <c r="C31" s="118" t="s">
        <v>101</v>
      </c>
      <c r="D31" s="78">
        <v>4000</v>
      </c>
      <c r="E31" s="79" t="s">
        <v>26</v>
      </c>
      <c r="F31" s="80" t="str">
        <f>IF(E31&lt;&gt;"",VLOOKUP(E31,CODE!$B$2:$C$11,2,0),"")</f>
        <v>RCBC -SAVINGS</v>
      </c>
      <c r="G31" s="81">
        <v>43016</v>
      </c>
      <c r="H31" s="82" t="str">
        <f>IF(G31&lt;&gt;"",VLOOKUP(G31,COA!$A$3:$G$1048576,2,0),"")</f>
        <v>Job Orders</v>
      </c>
      <c r="I31" s="88" t="s">
        <v>102</v>
      </c>
      <c r="J31" s="84" t="str">
        <f>IF(I31&lt;&gt;"",VLOOKUP(I31,'CUSTOMER LISTS'!$B$3:$E$1048576,2,0),"")</f>
        <v>JDM-6 FUEL STATION</v>
      </c>
      <c r="K31" s="76" t="str">
        <f>IF(I31&lt;&gt;"",VLOOKUP(I31,'CUSTOMER LISTS'!$B$3:$E$1048576,3,0),"")</f>
        <v>DELIA SAJULGA BACO</v>
      </c>
      <c r="L31" s="76" t="str">
        <f>IF(I31&lt;&gt;"",VLOOKUP(I31,'CUSTOMER LISTS'!$B$3:$E$1048576,4,0),"")</f>
        <v>BRGY. KAHAYAGAN, BAYOG, ZAMBOANGA DEL SUR</v>
      </c>
      <c r="M31" s="79">
        <v>721</v>
      </c>
      <c r="N31" s="85" t="str">
        <f>IF(M31&lt;&gt;"",VLOOKUP(M31,'PRODUCT &amp; SERVICES'!$O:$P,2,0),"")</f>
        <v>Job Order</v>
      </c>
      <c r="O31" s="86"/>
      <c r="P31" s="84"/>
      <c r="Q31" s="76" t="s">
        <v>98</v>
      </c>
      <c r="R31" s="76"/>
      <c r="S31" s="76"/>
      <c r="T31" s="118"/>
      <c r="U31" s="102" t="s">
        <v>95</v>
      </c>
    </row>
    <row r="32" spans="1:21" s="87" customFormat="1" ht="15" customHeight="1">
      <c r="A32" s="102" t="s">
        <v>95</v>
      </c>
      <c r="B32" s="77">
        <v>655</v>
      </c>
      <c r="C32" s="118" t="s">
        <v>103</v>
      </c>
      <c r="D32" s="78">
        <v>1500</v>
      </c>
      <c r="E32" s="79" t="s">
        <v>26</v>
      </c>
      <c r="F32" s="80" t="str">
        <f>IF(E32&lt;&gt;"",VLOOKUP(E32,CODE!$B$2:$C$11,2,0),"")</f>
        <v>RCBC -SAVINGS</v>
      </c>
      <c r="G32" s="81">
        <v>43016</v>
      </c>
      <c r="H32" s="82" t="str">
        <f>IF(G32&lt;&gt;"",VLOOKUP(G32,COA!$A$3:$G$1048576,2,0),"")</f>
        <v>Job Orders</v>
      </c>
      <c r="I32" s="88" t="s">
        <v>104</v>
      </c>
      <c r="J32" s="84" t="str">
        <f>IF(I32&lt;&gt;"",VLOOKUP(I32,'CUSTOMER LISTS'!$B$3:$E$1048576,2,0),"")</f>
        <v>MG'S FUEL REFILLING STATION</v>
      </c>
      <c r="K32" s="76" t="str">
        <f>IF(I32&lt;&gt;"",VLOOKUP(I32,'CUSTOMER LISTS'!$B$3:$E$1048576,3,0),"")</f>
        <v>NORMITA DELA CERNA</v>
      </c>
      <c r="L32" s="76" t="str">
        <f>IF(I32&lt;&gt;"",VLOOKUP(I32,'CUSTOMER LISTS'!$B$3:$E$1048576,4,0),"")</f>
        <v>BRGY. DIPILI, BAYOG, ZAMBOANGA DEL SUR</v>
      </c>
      <c r="M32" s="79">
        <v>721</v>
      </c>
      <c r="N32" s="85" t="str">
        <f>IF(M32&lt;&gt;"",VLOOKUP(M32,'PRODUCT &amp; SERVICES'!$O:$P,2,0),"")</f>
        <v>Job Order</v>
      </c>
      <c r="O32" s="86"/>
      <c r="P32" s="84"/>
      <c r="Q32" s="76" t="s">
        <v>98</v>
      </c>
      <c r="R32" s="76"/>
      <c r="S32" s="76"/>
      <c r="T32" s="118"/>
      <c r="U32" s="102" t="s">
        <v>95</v>
      </c>
    </row>
    <row r="33" spans="1:21" s="87" customFormat="1" ht="15" customHeight="1">
      <c r="A33" s="102" t="s">
        <v>95</v>
      </c>
      <c r="B33" s="77">
        <v>656</v>
      </c>
      <c r="C33" s="118" t="s">
        <v>105</v>
      </c>
      <c r="D33" s="78">
        <v>4800</v>
      </c>
      <c r="E33" s="79" t="s">
        <v>31</v>
      </c>
      <c r="F33" s="80" t="str">
        <f>IF(E33&lt;&gt;"",VLOOKUP(E33,CODE!$B$2:$C$11,2,0),"")</f>
        <v>PSBC- SAVINGS</v>
      </c>
      <c r="G33" s="81">
        <v>21016</v>
      </c>
      <c r="H33" s="82" t="str">
        <f>IF(G33&lt;&gt;"",VLOOKUP(G33,COA!$A$3:$G$1048576,2,0),"")</f>
        <v>Unearned Revenue - OPS</v>
      </c>
      <c r="I33" s="88" t="s">
        <v>106</v>
      </c>
      <c r="J33" s="84" t="str">
        <f>IF(I33&lt;&gt;"",VLOOKUP(I33,'CUSTOMER LISTS'!$B$3:$E$1048576,2,0),"")</f>
        <v>CM-POWER FUEL REFILLING STATION</v>
      </c>
      <c r="K33" s="76" t="str">
        <f>IF(I33&lt;&gt;"",VLOOKUP(I33,'CUSTOMER LISTS'!$B$3:$E$1048576,3,0),"")</f>
        <v>CHARLENE ESTRADA MANDANTES</v>
      </c>
      <c r="L33" s="76" t="str">
        <f>IF(I33&lt;&gt;"",VLOOKUP(I33,'CUSTOMER LISTS'!$B$3:$E$1048576,4,0),"")</f>
        <v>BRGY. VILLAHERMOSA, POLANCO, ZAMBOANGA DEL NORTE</v>
      </c>
      <c r="M33" s="79">
        <v>712</v>
      </c>
      <c r="N33" s="85" t="str">
        <f>IF(M33&lt;&gt;"",VLOOKUP(M33,'PRODUCT &amp; SERVICES'!$O:$P,2,0),"")</f>
        <v>Sea-Oil</v>
      </c>
      <c r="O33" s="86" t="s">
        <v>107</v>
      </c>
      <c r="P33" s="84" t="s">
        <v>40</v>
      </c>
      <c r="Q33" s="111" t="s">
        <v>41</v>
      </c>
      <c r="R33" s="77" t="s">
        <v>29</v>
      </c>
      <c r="S33" s="77" t="s">
        <v>108</v>
      </c>
      <c r="T33" s="311">
        <v>46118</v>
      </c>
      <c r="U33" s="77"/>
    </row>
    <row r="34" spans="1:21" s="133" customFormat="1" ht="15" customHeight="1">
      <c r="A34" s="134" t="s">
        <v>109</v>
      </c>
      <c r="B34" s="119">
        <v>657</v>
      </c>
      <c r="C34" s="140" t="s">
        <v>110</v>
      </c>
      <c r="D34" s="120">
        <v>1300</v>
      </c>
      <c r="E34" s="121" t="s">
        <v>31</v>
      </c>
      <c r="F34" s="122" t="str">
        <f>IF(E34&lt;&gt;"",VLOOKUP(E34,CODE!$B$2:$C$11,2,0),"")</f>
        <v>PSBC- SAVINGS</v>
      </c>
      <c r="G34" s="123">
        <v>21016</v>
      </c>
      <c r="H34" s="124" t="str">
        <f>IF(G34&lt;&gt;"",VLOOKUP(G34,COA!$A$3:$G$1048576,2,0),"")</f>
        <v>Unearned Revenue - OPS</v>
      </c>
      <c r="I34" s="125" t="s">
        <v>111</v>
      </c>
      <c r="J34" s="126" t="str">
        <f>IF(I34&lt;&gt;"",VLOOKUP(I34,'CUSTOMER LISTS'!$B$3:$E$1048576,2,0),"")</f>
        <v>CRILOUR FUEL REFILLING STATION</v>
      </c>
      <c r="K34" s="127" t="str">
        <f>IF(I34&lt;&gt;"",VLOOKUP(I34,'CUSTOMER LISTS'!$B$3:$E$1048576,3,0),"")</f>
        <v>ELSON ENRIQUEZ BASCO</v>
      </c>
      <c r="L34" s="127" t="str">
        <f>IF(I34&lt;&gt;"",VLOOKUP(I34,'CUSTOMER LISTS'!$B$3:$E$1048576,4,0),"")</f>
        <v>BRGY. PARUK, SIAY, ZAMBOANGA SIBUGAY</v>
      </c>
      <c r="M34" s="121">
        <v>731</v>
      </c>
      <c r="N34" s="128" t="str">
        <f>IF(M34&lt;&gt;"",VLOOKUP(M34,'PRODUCT &amp; SERVICES'!$O:$P,2,0),"")</f>
        <v>Other OPS ( Pls. Specify )</v>
      </c>
      <c r="O34" s="129"/>
      <c r="P34" s="126"/>
      <c r="Q34" s="127" t="s">
        <v>35</v>
      </c>
      <c r="R34" s="127"/>
      <c r="S34" s="127"/>
      <c r="T34" s="315"/>
      <c r="U34" s="119"/>
    </row>
    <row r="35" spans="1:21" s="87" customFormat="1" ht="15" customHeight="1">
      <c r="A35" s="102" t="s">
        <v>112</v>
      </c>
      <c r="B35" s="77">
        <v>658</v>
      </c>
      <c r="C35" s="118" t="s">
        <v>113</v>
      </c>
      <c r="D35" s="78">
        <v>93900</v>
      </c>
      <c r="E35" s="79" t="s">
        <v>51</v>
      </c>
      <c r="F35" s="80" t="str">
        <f>IF(E35&lt;&gt;"",VLOOKUP(E35,CODE!$B$2:$C$11,2,0),"")</f>
        <v>METROBANK-CHECKING</v>
      </c>
      <c r="G35" s="81">
        <v>25500</v>
      </c>
      <c r="H35" s="82" t="str">
        <f>IF(G35&lt;&gt;"",VLOOKUP(G35,COA!$A$3:$G$1048576,2,0),"")</f>
        <v>Other Payables_Current - DHPP</v>
      </c>
      <c r="I35" s="88" t="s">
        <v>56</v>
      </c>
      <c r="J35" s="84" t="str">
        <f>IF(I35&lt;&gt;"",VLOOKUP(I35,'CUSTOMER LISTS'!$B$3:$E$1048576,2,0),"")</f>
        <v>SEVEN-TRENT PETROLEUM CORP.</v>
      </c>
      <c r="K35" s="76" t="str">
        <f>IF(I35&lt;&gt;"",VLOOKUP(I35,'CUSTOMER LISTS'!$B$3:$E$1048576,3,0),"")</f>
        <v>SEVEN-TRENT PETROLEUM CORP.</v>
      </c>
      <c r="L35" s="76" t="str">
        <f>IF(I35&lt;&gt;"",VLOOKUP(I35,'CUSTOMER LISTS'!$B$3:$E$1048576,4,0),"")</f>
        <v>BRGY. SAN PEDRO, DAPITAN,  ZAMBOANGA DEL NORTE</v>
      </c>
      <c r="M35" s="79">
        <v>761</v>
      </c>
      <c r="N35" s="85" t="str">
        <f>IF(M35&lt;&gt;"",VLOOKUP(M35,'PRODUCT &amp; SERVICES'!$O:$P,2,0),"")</f>
        <v>Others ( Pls. Specify )</v>
      </c>
      <c r="O35" s="86"/>
      <c r="P35" s="84"/>
      <c r="Q35" s="76" t="s">
        <v>114</v>
      </c>
      <c r="R35" s="76"/>
      <c r="S35" s="76"/>
      <c r="T35" s="314"/>
      <c r="U35" s="77"/>
    </row>
    <row r="36" spans="1:21" s="87" customFormat="1" ht="15" customHeight="1">
      <c r="A36" s="102" t="s">
        <v>112</v>
      </c>
      <c r="B36" s="77">
        <v>659</v>
      </c>
      <c r="C36" s="118" t="s">
        <v>115</v>
      </c>
      <c r="D36" s="78">
        <v>50000</v>
      </c>
      <c r="E36" s="79" t="s">
        <v>51</v>
      </c>
      <c r="F36" s="80" t="str">
        <f>IF(E36&lt;&gt;"",VLOOKUP(E36,CODE!$B$2:$C$11,2,0),"")</f>
        <v>METROBANK-CHECKING</v>
      </c>
      <c r="G36" s="81">
        <v>43060</v>
      </c>
      <c r="H36" s="82" t="str">
        <f>IF(G36&lt;&gt;"",VLOOKUP(G36,COA!$A$3:$G$1048576,2,0),"")</f>
        <v>Miscellaneous Income - DHPP</v>
      </c>
      <c r="I36" s="88" t="s">
        <v>116</v>
      </c>
      <c r="J36" s="84" t="str">
        <f>IF(I36&lt;&gt;"",VLOOKUP(I36,'CUSTOMER LISTS'!$B$3:$E$1048576,2,0),"")</f>
        <v>MEM TRADING AND HAULING SERVICES INC.</v>
      </c>
      <c r="K36" s="76" t="str">
        <f>IF(I36&lt;&gt;"",VLOOKUP(I36,'CUSTOMER LISTS'!$B$3:$E$1048576,3,0),"")</f>
        <v>EMMANUEL TAN</v>
      </c>
      <c r="L36" s="76" t="str">
        <f>IF(I36&lt;&gt;"",VLOOKUP(I36,'CUSTOMER LISTS'!$B$3:$E$1048576,4,0),"")</f>
        <v>BRGY. SOUTHWESTERN POBLACION, CALAMBA, MISAMIS OCCIDENTAL</v>
      </c>
      <c r="M36" s="79">
        <v>761</v>
      </c>
      <c r="N36" s="85" t="str">
        <f>IF(M36&lt;&gt;"",VLOOKUP(M36,'PRODUCT &amp; SERVICES'!$O:$P,2,0),"")</f>
        <v>Others ( Pls. Specify )</v>
      </c>
      <c r="O36" s="86"/>
      <c r="P36" s="84"/>
      <c r="Q36" s="76" t="s">
        <v>117</v>
      </c>
      <c r="R36" s="76"/>
      <c r="S36" s="76"/>
      <c r="T36" s="314"/>
      <c r="U36" s="77"/>
    </row>
    <row r="37" spans="1:21" s="87" customFormat="1" ht="15" customHeight="1">
      <c r="A37" s="102" t="s">
        <v>118</v>
      </c>
      <c r="B37" s="77">
        <v>660</v>
      </c>
      <c r="C37" s="118" t="s">
        <v>119</v>
      </c>
      <c r="D37" s="78">
        <v>35210</v>
      </c>
      <c r="E37" s="79" t="s">
        <v>51</v>
      </c>
      <c r="F37" s="80" t="str">
        <f>IF(E37&lt;&gt;"",VLOOKUP(E37,CODE!$B$2:$C$11,2,0),"")</f>
        <v>METROBANK-CHECKING</v>
      </c>
      <c r="G37" s="81">
        <v>21023</v>
      </c>
      <c r="H37" s="82" t="str">
        <f>IF(G37&lt;&gt;"",VLOOKUP(G37,COA!$A$3:$G$1048576,2,0),"")</f>
        <v>Unearned Revenue - DMIE</v>
      </c>
      <c r="I37" s="83" t="s">
        <v>82</v>
      </c>
      <c r="J37" s="84" t="str">
        <f>IF(I37&lt;&gt;"",VLOOKUP(I37,'CUSTOMER LISTS'!$B$3:$E$1048576,2,0),"")</f>
        <v>AYA G MICRO GAS STATION</v>
      </c>
      <c r="K37" s="76" t="str">
        <f>IF(I37&lt;&gt;"",VLOOKUP(I37,'CUSTOMER LISTS'!$B$3:$E$1048576,3,0),"")</f>
        <v>ARTIUS TALADUA GALINDO</v>
      </c>
      <c r="L37" s="76" t="str">
        <f>IF(I37&lt;&gt;"",VLOOKUP(I37,'CUSTOMER LISTS'!$B$3:$E$1048576,4,0),"")</f>
        <v>BRGY. VILLAFLOR, OROQUIETA CITY, MISAMIS OCCIDENTAL</v>
      </c>
      <c r="M37" s="79">
        <v>761</v>
      </c>
      <c r="N37" s="85" t="str">
        <f>IF(M37&lt;&gt;"",VLOOKUP(M37,'PRODUCT &amp; SERVICES'!$O:$P,2,0),"")</f>
        <v>Others ( Pls. Specify )</v>
      </c>
      <c r="O37" s="86"/>
      <c r="P37" s="84"/>
      <c r="Q37" s="76" t="s">
        <v>120</v>
      </c>
      <c r="R37" s="76"/>
      <c r="S37" s="76"/>
      <c r="T37" s="314"/>
      <c r="U37" s="77"/>
    </row>
    <row r="38" spans="1:21" s="75" customFormat="1" ht="15" customHeight="1">
      <c r="A38" s="102" t="s">
        <v>118</v>
      </c>
      <c r="B38" s="77">
        <v>661</v>
      </c>
      <c r="C38" s="118" t="s">
        <v>121</v>
      </c>
      <c r="D38" s="78">
        <v>35210</v>
      </c>
      <c r="E38" s="79" t="s">
        <v>48</v>
      </c>
      <c r="F38" s="80" t="str">
        <f>IF(E38&lt;&gt;"",VLOOKUP(E38,CODE!$B$2:$C$11,2,0),"")</f>
        <v>EASTWEST-CHECKING</v>
      </c>
      <c r="G38" s="81">
        <v>21023</v>
      </c>
      <c r="H38" s="82" t="str">
        <f>IF(G38&lt;&gt;"",VLOOKUP(G38,COA!$A$3:$G$1048576,2,0),"")</f>
        <v>Unearned Revenue - DMIE</v>
      </c>
      <c r="I38" s="88" t="s">
        <v>78</v>
      </c>
      <c r="J38" s="84" t="str">
        <f>IF(I38&lt;&gt;"",VLOOKUP(I38,'CUSTOMER LISTS'!$B$3:$E$1048576,2,0),"")</f>
        <v>MUTIA RANGERS FUEL RETAILING</v>
      </c>
      <c r="K38" s="76" t="str">
        <f>IF(I38&lt;&gt;"",VLOOKUP(I38,'CUSTOMER LISTS'!$B$3:$E$1048576,3,0),"")</f>
        <v>JULIE ANN CONING MUTIA</v>
      </c>
      <c r="L38" s="76" t="str">
        <f>IF(I38&lt;&gt;"",VLOOKUP(I38,'CUSTOMER LISTS'!$B$3:$E$1048576,4,0),"")</f>
        <v>BRGY. DOLIPOS, BAJO, OROQUIETA CITY</v>
      </c>
      <c r="M38" s="79">
        <v>761</v>
      </c>
      <c r="N38" s="85" t="str">
        <f>IF(M38&lt;&gt;"",VLOOKUP(M38,'PRODUCT &amp; SERVICES'!$O:$P,2,0),"")</f>
        <v>Others ( Pls. Specify )</v>
      </c>
      <c r="O38" s="86"/>
      <c r="P38" s="84"/>
      <c r="Q38" s="76" t="s">
        <v>120</v>
      </c>
      <c r="R38" s="142" t="s">
        <v>122</v>
      </c>
      <c r="S38" s="76"/>
      <c r="T38" s="314"/>
      <c r="U38" s="77"/>
    </row>
    <row r="39" spans="1:21" s="87" customFormat="1" ht="15" customHeight="1">
      <c r="A39" s="102" t="s">
        <v>123</v>
      </c>
      <c r="B39" s="77">
        <v>662</v>
      </c>
      <c r="C39" s="118" t="s">
        <v>124</v>
      </c>
      <c r="D39" s="78">
        <v>2200</v>
      </c>
      <c r="E39" s="79" t="s">
        <v>93</v>
      </c>
      <c r="F39" s="80" t="str">
        <f>IF(E39&lt;&gt;"",VLOOKUP(E39,CODE!$B$2:$C$11,2,0),"")</f>
        <v>PSBC - CHECKING</v>
      </c>
      <c r="G39" s="81">
        <v>21016</v>
      </c>
      <c r="H39" s="82" t="str">
        <f>IF(G39&lt;&gt;"",VLOOKUP(G39,COA!$A$3:$G$1048576,2,0),"")</f>
        <v>Unearned Revenue - OPS</v>
      </c>
      <c r="I39" s="88" t="s">
        <v>125</v>
      </c>
      <c r="J39" s="84" t="str">
        <f>IF(I39&lt;&gt;"",VLOOKUP(I39,'CUSTOMER LISTS'!$B$3:$E$1048576,2,0),"")</f>
        <v>CALAMBA FUEL REFILLING STATION</v>
      </c>
      <c r="K39" s="76" t="str">
        <f>IF(I39&lt;&gt;"",VLOOKUP(I39,'CUSTOMER LISTS'!$B$3:$E$1048576,3,0),"")</f>
        <v>RONAN CASTILLON</v>
      </c>
      <c r="L39" s="76" t="str">
        <f>IF(I39&lt;&gt;"",VLOOKUP(I39,'CUSTOMER LISTS'!$B$3:$E$1048576,4,0),"")</f>
        <v>BRGY. MAGCAMIGUING, CALAMBA, ZAMBOANGA DEL NORTE</v>
      </c>
      <c r="M39" s="79">
        <v>711</v>
      </c>
      <c r="N39" s="85" t="str">
        <f>IF(M39&lt;&gt;"",VLOOKUP(M39,'PRODUCT &amp; SERVICES'!$O:$P,2,0),"")</f>
        <v>National</v>
      </c>
      <c r="O39" s="86" t="s">
        <v>126</v>
      </c>
      <c r="P39" s="84" t="s">
        <v>127</v>
      </c>
      <c r="Q39" s="111" t="s">
        <v>41</v>
      </c>
      <c r="R39" s="76"/>
      <c r="S39" s="76" t="s">
        <v>128</v>
      </c>
      <c r="T39" s="321" t="s">
        <v>129</v>
      </c>
      <c r="U39" s="77"/>
    </row>
    <row r="40" spans="1:21" s="87" customFormat="1" ht="15" customHeight="1">
      <c r="A40" s="102" t="s">
        <v>123</v>
      </c>
      <c r="B40" s="77">
        <v>662</v>
      </c>
      <c r="C40" s="118" t="s">
        <v>124</v>
      </c>
      <c r="D40" s="78">
        <v>2125</v>
      </c>
      <c r="E40" s="79" t="s">
        <v>93</v>
      </c>
      <c r="F40" s="80" t="str">
        <f>IF(E40&lt;&gt;"",VLOOKUP(E40,CODE!$B$2:$C$11,2,0),"")</f>
        <v>PSBC - CHECKING</v>
      </c>
      <c r="G40" s="81">
        <v>21016</v>
      </c>
      <c r="H40" s="82" t="str">
        <f>IF(G40&lt;&gt;"",VLOOKUP(G40,COA!$A$3:$G$1048576,2,0),"")</f>
        <v>Unearned Revenue - OPS</v>
      </c>
      <c r="I40" s="88" t="s">
        <v>125</v>
      </c>
      <c r="J40" s="84" t="str">
        <f>IF(I40&lt;&gt;"",VLOOKUP(I40,'CUSTOMER LISTS'!$B$3:$E$1048576,2,0),"")</f>
        <v>CALAMBA FUEL REFILLING STATION</v>
      </c>
      <c r="K40" s="76" t="str">
        <f>IF(I40&lt;&gt;"",VLOOKUP(I40,'CUSTOMER LISTS'!$B$3:$E$1048576,3,0),"")</f>
        <v>RONAN CASTILLON</v>
      </c>
      <c r="L40" s="76" t="str">
        <f>IF(I40&lt;&gt;"",VLOOKUP(I40,'CUSTOMER LISTS'!$B$3:$E$1048576,4,0),"")</f>
        <v>BRGY. MAGCAMIGUING, CALAMBA, ZAMBOANGA DEL NORTE</v>
      </c>
      <c r="M40" s="79">
        <v>712</v>
      </c>
      <c r="N40" s="85" t="str">
        <f>IF(M40&lt;&gt;"",VLOOKUP(M40,'PRODUCT &amp; SERVICES'!$O:$P,2,0),"")</f>
        <v>Sea-Oil</v>
      </c>
      <c r="O40" s="86" t="s">
        <v>126</v>
      </c>
      <c r="P40" s="84" t="s">
        <v>127</v>
      </c>
      <c r="Q40" s="111" t="s">
        <v>41</v>
      </c>
      <c r="R40" s="76"/>
      <c r="S40" s="76" t="s">
        <v>128</v>
      </c>
      <c r="T40" s="321" t="s">
        <v>129</v>
      </c>
      <c r="U40" s="77"/>
    </row>
    <row r="41" spans="1:21" s="75" customFormat="1" ht="15" customHeight="1">
      <c r="A41" s="134" t="s">
        <v>130</v>
      </c>
      <c r="B41" s="119">
        <v>663</v>
      </c>
      <c r="C41" s="140" t="s">
        <v>131</v>
      </c>
      <c r="D41" s="120">
        <v>1400</v>
      </c>
      <c r="E41" s="121" t="s">
        <v>93</v>
      </c>
      <c r="F41" s="122" t="str">
        <f>IF(E41&lt;&gt;"",VLOOKUP(E41,CODE!$B$2:$C$11,2,0),"")</f>
        <v>PSBC - CHECKING</v>
      </c>
      <c r="G41" s="123">
        <v>21016</v>
      </c>
      <c r="H41" s="124" t="str">
        <f>IF(G41&lt;&gt;"",VLOOKUP(G41,COA!$A$3:$G$1048576,2,0),"")</f>
        <v>Unearned Revenue - OPS</v>
      </c>
      <c r="I41" s="125" t="s">
        <v>132</v>
      </c>
      <c r="J41" s="126" t="str">
        <f>IF(I41&lt;&gt;"",VLOOKUP(I41,'CUSTOMER LISTS'!$B$3:$E$1048576,2,0),"")</f>
        <v>FAME GAS REFILLING STATION</v>
      </c>
      <c r="K41" s="127" t="str">
        <f>IF(I41&lt;&gt;"",VLOOKUP(I41,'CUSTOMER LISTS'!$B$3:$E$1048576,3,0),"")</f>
        <v>FERNANDO DELA ROSA PARAN</v>
      </c>
      <c r="L41" s="127" t="str">
        <f>IF(I41&lt;&gt;"",VLOOKUP(I41,'CUSTOMER LISTS'!$B$3:$E$1048576,4,0),"")</f>
        <v>BRGY. NEW SICAYAB, POLANCO, ZAMBOANGA DEL NORTE</v>
      </c>
      <c r="M41" s="121">
        <v>761</v>
      </c>
      <c r="N41" s="128" t="str">
        <f>IF(M41&lt;&gt;"",VLOOKUP(M41,'PRODUCT &amp; SERVICES'!$O:$P,2,0),"")</f>
        <v>Others ( Pls. Specify )</v>
      </c>
      <c r="O41" s="129"/>
      <c r="P41" s="126"/>
      <c r="Q41" s="127" t="s">
        <v>35</v>
      </c>
      <c r="R41" s="127"/>
      <c r="S41" s="127"/>
      <c r="T41" s="315"/>
      <c r="U41" s="119"/>
    </row>
    <row r="42" spans="1:21" s="87" customFormat="1" ht="15" customHeight="1">
      <c r="A42" s="102" t="s">
        <v>133</v>
      </c>
      <c r="B42" s="77">
        <v>664</v>
      </c>
      <c r="C42" s="118" t="s">
        <v>134</v>
      </c>
      <c r="D42" s="78">
        <v>3500</v>
      </c>
      <c r="E42" s="79" t="s">
        <v>26</v>
      </c>
      <c r="F42" s="80" t="str">
        <f>IF(E42&lt;&gt;"",VLOOKUP(E42,CODE!$B$2:$C$11,2,0),"")</f>
        <v>RCBC -SAVINGS</v>
      </c>
      <c r="G42" s="81">
        <v>43016</v>
      </c>
      <c r="H42" s="82" t="str">
        <f>IF(G42&lt;&gt;"",VLOOKUP(G42,COA!$A$3:$G$1048576,2,0),"")</f>
        <v>Job Orders</v>
      </c>
      <c r="I42" s="88" t="s">
        <v>132</v>
      </c>
      <c r="J42" s="84" t="str">
        <f>IF(I42&lt;&gt;"",VLOOKUP(I42,'CUSTOMER LISTS'!$B$3:$E$1048576,2,0),"")</f>
        <v>FAME GAS REFILLING STATION</v>
      </c>
      <c r="K42" s="76" t="str">
        <f>IF(I42&lt;&gt;"",VLOOKUP(I42,'CUSTOMER LISTS'!$B$3:$E$1048576,3,0),"")</f>
        <v>FERNANDO DELA ROSA PARAN</v>
      </c>
      <c r="L42" s="76" t="str">
        <f>IF(I42&lt;&gt;"",VLOOKUP(I42,'CUSTOMER LISTS'!$B$3:$E$1048576,4,0),"")</f>
        <v>BRGY. NEW SICAYAB, POLANCO, ZAMBOANGA DEL NORTE</v>
      </c>
      <c r="M42" s="79">
        <v>721</v>
      </c>
      <c r="N42" s="85" t="str">
        <f>IF(M42&lt;&gt;"",VLOOKUP(M42,'PRODUCT &amp; SERVICES'!$O:$P,2,0),"")</f>
        <v>Job Order</v>
      </c>
      <c r="O42" s="86"/>
      <c r="P42" s="84"/>
      <c r="Q42" s="117" t="s">
        <v>135</v>
      </c>
      <c r="R42" s="76"/>
      <c r="S42" s="76"/>
      <c r="T42" s="314"/>
      <c r="U42" s="110" t="s">
        <v>133</v>
      </c>
    </row>
    <row r="43" spans="1:21" s="75" customFormat="1" ht="15" customHeight="1">
      <c r="A43" s="102" t="s">
        <v>133</v>
      </c>
      <c r="B43" s="77">
        <v>665</v>
      </c>
      <c r="C43" s="118" t="s">
        <v>136</v>
      </c>
      <c r="D43" s="78">
        <v>10333.34</v>
      </c>
      <c r="E43" s="79" t="s">
        <v>44</v>
      </c>
      <c r="F43" s="80" t="str">
        <f>IF(E43&lt;&gt;"",VLOOKUP(E43,CODE!$B$2:$C$11,2,0),"")</f>
        <v>PNB - CHECKING</v>
      </c>
      <c r="G43" s="63">
        <v>12013</v>
      </c>
      <c r="H43" s="57" t="str">
        <f>IF(G43&lt;&gt;"",VLOOKUP(G43,COA!$A$3:$G$1048576,2,0),"")</f>
        <v>A/Receivables - Installment-DMIE</v>
      </c>
      <c r="I43" s="83" t="s">
        <v>137</v>
      </c>
      <c r="J43" s="84" t="str">
        <f>IF(I43&lt;&gt;"",VLOOKUP(I43,'CUSTOMER LISTS'!$B$3:$E$1048576,2,0),"")</f>
        <v>MMN GAS STATION</v>
      </c>
      <c r="K43" s="76" t="str">
        <f>IF(I43&lt;&gt;"",VLOOKUP(I43,'CUSTOMER LISTS'!$B$3:$E$1048576,3,0),"")</f>
        <v>MARY JANE RESILOSA PAUSANOS</v>
      </c>
      <c r="L43" s="76" t="str">
        <f>IF(I43&lt;&gt;"",VLOOKUP(I43,'CUSTOMER LISTS'!$B$3:$E$1048576,4,0),"")</f>
        <v>BRGY. BAG-ONG BALAMBAN, MAHAYAG, ZAMBOANGA DEL SUR</v>
      </c>
      <c r="M43" s="79">
        <v>761</v>
      </c>
      <c r="N43" s="85" t="str">
        <f>IF(M43&lt;&gt;"",VLOOKUP(M43,'PRODUCT &amp; SERVICES'!$O:$P,2,0),"")</f>
        <v>Others ( Pls. Specify )</v>
      </c>
      <c r="O43" s="86"/>
      <c r="P43" s="84"/>
      <c r="Q43" s="117" t="s">
        <v>138</v>
      </c>
      <c r="R43" s="77" t="s">
        <v>122</v>
      </c>
      <c r="S43" s="76"/>
      <c r="T43" s="314"/>
      <c r="U43" s="77"/>
    </row>
    <row r="44" spans="1:21" s="87" customFormat="1" ht="15" customHeight="1">
      <c r="A44" s="102" t="s">
        <v>133</v>
      </c>
      <c r="B44" s="77">
        <v>666</v>
      </c>
      <c r="C44" s="118" t="s">
        <v>139</v>
      </c>
      <c r="D44" s="78">
        <v>2050</v>
      </c>
      <c r="E44" s="79" t="s">
        <v>74</v>
      </c>
      <c r="F44" s="80" t="str">
        <f>IF(E44&lt;&gt;"",VLOOKUP(E44,CODE!$B$2:$C$11,2,0),"")</f>
        <v>FIRST VALLEY -CHECKING</v>
      </c>
      <c r="G44" s="81">
        <v>21016</v>
      </c>
      <c r="H44" s="82" t="str">
        <f>IF(G44&lt;&gt;"",VLOOKUP(G44,COA!$A$3:$G$1048576,2,0),"")</f>
        <v>Unearned Revenue - OPS</v>
      </c>
      <c r="I44" s="88" t="s">
        <v>140</v>
      </c>
      <c r="J44" s="84" t="str">
        <f>IF(I44&lt;&gt;"",VLOOKUP(I44,'CUSTOMER LISTS'!$B$3:$E$1048576,2,0),"")</f>
        <v>K2J2 GAS REFILLING STATION</v>
      </c>
      <c r="K44" s="76" t="str">
        <f>IF(I44&lt;&gt;"",VLOOKUP(I44,'CUSTOMER LISTS'!$B$3:$E$1048576,3,0),"")</f>
        <v>JENIE FE BALOGBOG ALINSUG</v>
      </c>
      <c r="L44" s="76" t="str">
        <f>IF(I44&lt;&gt;"",VLOOKUP(I44,'CUSTOMER LISTS'!$B$3:$E$1048576,4,0),"")</f>
        <v>BRGY. SAN PEDRO, DUMINGAG, ZAMBOANGA DEL SUR</v>
      </c>
      <c r="M44" s="79">
        <v>712</v>
      </c>
      <c r="N44" s="85" t="str">
        <f>IF(M44&lt;&gt;"",VLOOKUP(M44,'PRODUCT &amp; SERVICES'!$O:$P,2,0),"")</f>
        <v>Sea-Oil</v>
      </c>
      <c r="O44" s="86" t="s">
        <v>39</v>
      </c>
      <c r="P44" s="84" t="s">
        <v>141</v>
      </c>
      <c r="Q44" s="111" t="s">
        <v>41</v>
      </c>
      <c r="R44" s="77" t="s">
        <v>29</v>
      </c>
      <c r="S44" s="76" t="s">
        <v>142</v>
      </c>
      <c r="T44" s="313">
        <v>46128</v>
      </c>
      <c r="U44" s="77"/>
    </row>
    <row r="45" spans="1:21" s="87" customFormat="1" ht="15" customHeight="1">
      <c r="A45" s="102" t="s">
        <v>133</v>
      </c>
      <c r="B45" s="77">
        <v>666</v>
      </c>
      <c r="C45" s="118" t="s">
        <v>139</v>
      </c>
      <c r="D45" s="78">
        <v>8880</v>
      </c>
      <c r="E45" s="79" t="s">
        <v>74</v>
      </c>
      <c r="F45" s="80" t="str">
        <f>IF(E45&lt;&gt;"",VLOOKUP(E45,CODE!$B$2:$C$11,2,0),"")</f>
        <v>FIRST VALLEY -CHECKING</v>
      </c>
      <c r="G45" s="81">
        <v>21016</v>
      </c>
      <c r="H45" s="82" t="str">
        <f>IF(G45&lt;&gt;"",VLOOKUP(G45,COA!$A$3:$G$1048576,2,0),"")</f>
        <v>Unearned Revenue - OPS</v>
      </c>
      <c r="I45" s="88" t="s">
        <v>140</v>
      </c>
      <c r="J45" s="84" t="str">
        <f>IF(I45&lt;&gt;"",VLOOKUP(I45,'CUSTOMER LISTS'!$B$3:$E$1048576,2,0),"")</f>
        <v>K2J2 GAS REFILLING STATION</v>
      </c>
      <c r="K45" s="76" t="str">
        <f>IF(I45&lt;&gt;"",VLOOKUP(I45,'CUSTOMER LISTS'!$B$3:$E$1048576,3,0),"")</f>
        <v>JENIE FE BALOGBOG ALINSUG</v>
      </c>
      <c r="L45" s="76" t="str">
        <f>IF(I45&lt;&gt;"",VLOOKUP(I45,'CUSTOMER LISTS'!$B$3:$E$1048576,4,0),"")</f>
        <v>BRGY. SAN PEDRO, DUMINGAG, ZAMBOANGA DEL SUR</v>
      </c>
      <c r="M45" s="79">
        <v>712</v>
      </c>
      <c r="N45" s="85" t="str">
        <f>IF(M45&lt;&gt;"",VLOOKUP(M45,'PRODUCT &amp; SERVICES'!$O:$P,2,0),"")</f>
        <v>Sea-Oil</v>
      </c>
      <c r="O45" s="86" t="s">
        <v>107</v>
      </c>
      <c r="P45" s="84" t="s">
        <v>143</v>
      </c>
      <c r="Q45" s="111" t="s">
        <v>41</v>
      </c>
      <c r="R45" s="77" t="s">
        <v>29</v>
      </c>
      <c r="S45" s="76" t="s">
        <v>142</v>
      </c>
      <c r="T45" s="313">
        <v>46128</v>
      </c>
      <c r="U45" s="77"/>
    </row>
    <row r="46" spans="1:21" s="87" customFormat="1" ht="15" customHeight="1">
      <c r="A46" s="301" t="s">
        <v>133</v>
      </c>
      <c r="B46" s="142">
        <v>666</v>
      </c>
      <c r="C46" s="302" t="s">
        <v>139</v>
      </c>
      <c r="D46" s="303">
        <v>4628</v>
      </c>
      <c r="E46" s="304" t="s">
        <v>74</v>
      </c>
      <c r="F46" s="80" t="str">
        <f>IF(E46&lt;&gt;"",VLOOKUP(E46,CODE!$B$2:$C$11,2,0),"")</f>
        <v>FIRST VALLEY -CHECKING</v>
      </c>
      <c r="G46" s="305">
        <v>21016</v>
      </c>
      <c r="H46" s="306" t="str">
        <f>IF(G46&lt;&gt;"",VLOOKUP(G46,COA!$A$3:$G$1048576,2,0),"")</f>
        <v>Unearned Revenue - OPS</v>
      </c>
      <c r="I46" s="88" t="s">
        <v>140</v>
      </c>
      <c r="J46" s="116" t="str">
        <f>IF(I46&lt;&gt;"",VLOOKUP(I46,'CUSTOMER LISTS'!$B$3:$E$1048576,2,0),"")</f>
        <v>K2J2 GAS REFILLING STATION</v>
      </c>
      <c r="K46" s="117" t="str">
        <f>IF(I46&lt;&gt;"",VLOOKUP(I46,'CUSTOMER LISTS'!$B$3:$E$1048576,3,0),"")</f>
        <v>JENIE FE BALOGBOG ALINSUG</v>
      </c>
      <c r="L46" s="117" t="str">
        <f>IF(I46&lt;&gt;"",VLOOKUP(I46,'CUSTOMER LISTS'!$B$3:$E$1048576,4,0),"")</f>
        <v>BRGY. SAN PEDRO, DUMINGAG, ZAMBOANGA DEL SUR</v>
      </c>
      <c r="M46" s="304">
        <v>712</v>
      </c>
      <c r="N46" s="307" t="str">
        <f>IF(M46&lt;&gt;"",VLOOKUP(M46,'PRODUCT &amp; SERVICES'!$O:$P,2,0),"")</f>
        <v>Sea-Oil</v>
      </c>
      <c r="O46" s="308" t="s">
        <v>107</v>
      </c>
      <c r="P46" s="116" t="s">
        <v>144</v>
      </c>
      <c r="Q46" s="309" t="s">
        <v>41</v>
      </c>
      <c r="R46" s="77" t="s">
        <v>29</v>
      </c>
      <c r="S46" s="117" t="s">
        <v>142</v>
      </c>
      <c r="T46" s="322">
        <v>46128</v>
      </c>
      <c r="U46" s="142"/>
    </row>
    <row r="47" spans="1:21" s="133" customFormat="1" ht="15" customHeight="1">
      <c r="A47" s="132" t="s">
        <v>133</v>
      </c>
      <c r="B47" s="131">
        <v>667</v>
      </c>
      <c r="C47" s="131" t="s">
        <v>145</v>
      </c>
      <c r="D47" s="139">
        <v>1400</v>
      </c>
      <c r="E47" s="168" t="s">
        <v>93</v>
      </c>
      <c r="F47" s="122" t="str">
        <f>IF(E47&lt;&gt;"",VLOOKUP(E47,CODE!$B$2:$C$11,2,0),"")</f>
        <v>PSBC - CHECKING</v>
      </c>
      <c r="G47" s="169">
        <v>21016</v>
      </c>
      <c r="H47" s="170" t="str">
        <f>IF(G47&lt;&gt;"",VLOOKUP(G47,COA!$A$3:$G$1048576,2,0),"")</f>
        <v>Unearned Revenue - OPS</v>
      </c>
      <c r="I47" s="125" t="s">
        <v>146</v>
      </c>
      <c r="J47" s="171" t="str">
        <f>IF(I47&lt;&gt;"",VLOOKUP(I47,'CUSTOMER LISTS'!$B$3:$E$1048576,2,0),"")</f>
        <v>VASH FUEL REFILLING STATION</v>
      </c>
      <c r="K47" s="130" t="str">
        <f>IF(I47&lt;&gt;"",VLOOKUP(I47,'CUSTOMER LISTS'!$B$3:$E$1048576,3,0),"")</f>
        <v>JHOANNE SHANE MARIE ESMORES AGLOBO</v>
      </c>
      <c r="L47" s="130" t="str">
        <f>IF(I47&lt;&gt;"",VLOOKUP(I47,'CUSTOMER LISTS'!$B$3:$E$1048576,4,0),"")</f>
        <v>BRGY. BALAGON, SIAY, ZAMBOANGA SIBUGAY</v>
      </c>
      <c r="M47" s="168">
        <v>761</v>
      </c>
      <c r="N47" s="172" t="str">
        <f>IF(M47&lt;&gt;"",VLOOKUP(M47,'PRODUCT &amp; SERVICES'!$O:$P,2,0),"")</f>
        <v>Others ( Pls. Specify )</v>
      </c>
      <c r="O47" s="173"/>
      <c r="P47" s="171"/>
      <c r="Q47" s="174" t="s">
        <v>35</v>
      </c>
      <c r="R47" s="119" t="s">
        <v>29</v>
      </c>
      <c r="S47" s="130"/>
      <c r="T47" s="323"/>
      <c r="U47" s="131"/>
    </row>
    <row r="48" spans="1:21" s="133" customFormat="1" ht="15" customHeight="1">
      <c r="A48" s="134" t="s">
        <v>147</v>
      </c>
      <c r="B48" s="119">
        <v>668</v>
      </c>
      <c r="C48" s="119" t="s">
        <v>148</v>
      </c>
      <c r="D48" s="120">
        <v>2500</v>
      </c>
      <c r="E48" s="121" t="s">
        <v>31</v>
      </c>
      <c r="F48" s="122" t="str">
        <f>IF(E48&lt;&gt;"",VLOOKUP(E48,CODE!$B$2:$C$11,2,0),"")</f>
        <v>PSBC- SAVINGS</v>
      </c>
      <c r="G48" s="123">
        <v>21016</v>
      </c>
      <c r="H48" s="124" t="str">
        <f>IF(G48&lt;&gt;"",VLOOKUP(G48,COA!$A$3:$G$1048576,2,0),"")</f>
        <v>Unearned Revenue - OPS</v>
      </c>
      <c r="I48" s="125" t="s">
        <v>149</v>
      </c>
      <c r="J48" s="126" t="str">
        <f>IF(I48&lt;&gt;"",VLOOKUP(I48,'CUSTOMER LISTS'!$B$3:$E$1048576,2,0),"")</f>
        <v>RM GASOLINE STATION</v>
      </c>
      <c r="K48" s="127" t="str">
        <f>IF(I48&lt;&gt;"",VLOOKUP(I48,'CUSTOMER LISTS'!$B$3:$E$1048576,3,0),"")</f>
        <v>HAMIR GUMANDOL JAAPAL</v>
      </c>
      <c r="L48" s="127" t="str">
        <f>IF(I48&lt;&gt;"",VLOOKUP(I48,'CUSTOMER LISTS'!$B$3:$E$1048576,4,0),"")</f>
        <v>BRGY. MUCAS, SALUG, ZAMBONGA DEL NORTE</v>
      </c>
      <c r="M48" s="121">
        <v>2223</v>
      </c>
      <c r="N48" s="128" t="str">
        <f>IF(M48&lt;&gt;"",VLOOKUP(M48,'PRODUCT &amp; SERVICES'!$O:$P,2,0),"")</f>
        <v>Nozzle</v>
      </c>
      <c r="O48" s="129" t="s">
        <v>150</v>
      </c>
      <c r="P48" s="126"/>
      <c r="Q48" s="141" t="s">
        <v>41</v>
      </c>
      <c r="R48" s="127"/>
      <c r="S48" s="127"/>
      <c r="T48" s="315"/>
      <c r="U48" s="119"/>
    </row>
    <row r="49" spans="1:21" s="133" customFormat="1" ht="15" customHeight="1">
      <c r="A49" s="134" t="s">
        <v>151</v>
      </c>
      <c r="B49" s="119">
        <v>669</v>
      </c>
      <c r="C49" s="119" t="s">
        <v>152</v>
      </c>
      <c r="D49" s="120">
        <v>1400</v>
      </c>
      <c r="E49" s="121" t="s">
        <v>74</v>
      </c>
      <c r="F49" s="122" t="str">
        <f>IF(E49&lt;&gt;"",VLOOKUP(E49,CODE!$B$2:$C$11,2,0),"")</f>
        <v>FIRST VALLEY -CHECKING</v>
      </c>
      <c r="G49" s="123">
        <v>21016</v>
      </c>
      <c r="H49" s="124" t="str">
        <f>IF(G49&lt;&gt;"",VLOOKUP(G49,COA!$A$3:$G$1048576,2,0),"")</f>
        <v>Unearned Revenue - OPS</v>
      </c>
      <c r="I49" s="125" t="s">
        <v>153</v>
      </c>
      <c r="J49" s="126" t="str">
        <f>IF(I49&lt;&gt;"",VLOOKUP(I49,'CUSTOMER LISTS'!$B$3:$E$1048576,2,0),"")</f>
        <v>TANAKAMI GAS STATION</v>
      </c>
      <c r="K49" s="127" t="str">
        <f>IF(I49&lt;&gt;"",VLOOKUP(I49,'CUSTOMER LISTS'!$B$3:$E$1048576,3,0),"")</f>
        <v>WEDILYN ONRADA ROSALES</v>
      </c>
      <c r="L49" s="127" t="str">
        <f>IF(I49&lt;&gt;"",VLOOKUP(I49,'CUSTOMER LISTS'!$B$3:$E$1048576,4,0),"")</f>
        <v>BRGY. LOWER LANDING, DUMINGAG, ZAMBOANGA DEL SUR</v>
      </c>
      <c r="M49" s="121">
        <v>761</v>
      </c>
      <c r="N49" s="128" t="str">
        <f>IF(M49&lt;&gt;"",VLOOKUP(M49,'PRODUCT &amp; SERVICES'!$O:$P,2,0),"")</f>
        <v>Others ( Pls. Specify )</v>
      </c>
      <c r="O49" s="129" t="s">
        <v>150</v>
      </c>
      <c r="P49" s="126"/>
      <c r="Q49" s="174" t="s">
        <v>35</v>
      </c>
      <c r="R49" s="119" t="s">
        <v>29</v>
      </c>
      <c r="S49" s="127"/>
      <c r="T49" s="315"/>
      <c r="U49" s="119"/>
    </row>
    <row r="50" spans="1:21" s="133" customFormat="1" ht="15" customHeight="1">
      <c r="A50" s="134" t="s">
        <v>151</v>
      </c>
      <c r="B50" s="119">
        <v>670</v>
      </c>
      <c r="C50" s="119" t="s">
        <v>154</v>
      </c>
      <c r="D50" s="120">
        <v>1400</v>
      </c>
      <c r="E50" s="121" t="s">
        <v>74</v>
      </c>
      <c r="F50" s="122" t="str">
        <f>IF(E50&lt;&gt;"",VLOOKUP(E50,CODE!$B$2:$C$11,2,0),"")</f>
        <v>FIRST VALLEY -CHECKING</v>
      </c>
      <c r="G50" s="123">
        <v>21016</v>
      </c>
      <c r="H50" s="124" t="str">
        <f>IF(G50&lt;&gt;"",VLOOKUP(G50,COA!$A$3:$G$1048576,2,0),"")</f>
        <v>Unearned Revenue - OPS</v>
      </c>
      <c r="I50" s="125" t="s">
        <v>155</v>
      </c>
      <c r="J50" s="126" t="str">
        <f>IF(I50&lt;&gt;"",VLOOKUP(I50,'CUSTOMER LISTS'!$B$3:$E$1048576,2,0),"")</f>
        <v>CMT' FUEL STATION</v>
      </c>
      <c r="K50" s="127" t="str">
        <f>IF(I50&lt;&gt;"",VLOOKUP(I50,'CUSTOMER LISTS'!$B$3:$E$1048576,3,0),"")</f>
        <v>FEBRA PACALIOGA ENANORIA</v>
      </c>
      <c r="L50" s="127" t="str">
        <f>IF(I50&lt;&gt;"",VLOOKUP(I50,'CUSTOMER LISTS'!$B$3:$E$1048576,4,0),"")</f>
        <v>BRGY. VALENCIA, DUMINGAG, ZAMBOANGA DEL SUR</v>
      </c>
      <c r="M50" s="121">
        <v>761</v>
      </c>
      <c r="N50" s="128" t="str">
        <f>IF(M50&lt;&gt;"",VLOOKUP(M50,'PRODUCT &amp; SERVICES'!$O:$P,2,0),"")</f>
        <v>Others ( Pls. Specify )</v>
      </c>
      <c r="O50" s="129" t="s">
        <v>150</v>
      </c>
      <c r="P50" s="126"/>
      <c r="Q50" s="174" t="s">
        <v>35</v>
      </c>
      <c r="R50" s="119" t="s">
        <v>29</v>
      </c>
      <c r="S50" s="127"/>
      <c r="T50" s="315"/>
      <c r="U50" s="119"/>
    </row>
    <row r="51" spans="1:21" s="133" customFormat="1" ht="15" customHeight="1">
      <c r="A51" s="134" t="s">
        <v>156</v>
      </c>
      <c r="B51" s="119">
        <v>671</v>
      </c>
      <c r="C51" s="119" t="s">
        <v>157</v>
      </c>
      <c r="D51" s="120">
        <v>1400</v>
      </c>
      <c r="E51" s="121" t="s">
        <v>31</v>
      </c>
      <c r="F51" s="122" t="str">
        <f>IF(E51&lt;&gt;"",VLOOKUP(E51,CODE!$B$2:$C$11,2,0),"")</f>
        <v>PSBC- SAVINGS</v>
      </c>
      <c r="G51" s="123">
        <v>21016</v>
      </c>
      <c r="H51" s="124" t="str">
        <f>IF(G51&lt;&gt;"",VLOOKUP(G51,COA!$A$3:$G$1048576,2,0),"")</f>
        <v>Unearned Revenue - OPS</v>
      </c>
      <c r="I51" s="125" t="s">
        <v>158</v>
      </c>
      <c r="J51" s="126" t="str">
        <f>IF(I51&lt;&gt;"",VLOOKUP(I51,'CUSTOMER LISTS'!$B$3:$E$1048576,2,0),"")</f>
        <v>ARLEGUI FUEL REFILLING STATION</v>
      </c>
      <c r="K51" s="127" t="str">
        <f>IF(I51&lt;&gt;"",VLOOKUP(I51,'CUSTOMER LISTS'!$B$3:$E$1048576,3,0),"")</f>
        <v>SANDY LOU TRANSMIL ARLEGUI</v>
      </c>
      <c r="L51" s="127" t="str">
        <f>IF(I51&lt;&gt;"",VLOOKUP(I51,'CUSTOMER LISTS'!$B$3:$E$1048576,4,0),"")</f>
        <v>BRGY. DEL PILAR, PIÑAN, ZAMBOANGA DEL NORTE</v>
      </c>
      <c r="M51" s="121">
        <v>761</v>
      </c>
      <c r="N51" s="128" t="str">
        <f>IF(M51&lt;&gt;"",VLOOKUP(M51,'PRODUCT &amp; SERVICES'!$O:$P,2,0),"")</f>
        <v>Others ( Pls. Specify )</v>
      </c>
      <c r="O51" s="129" t="s">
        <v>150</v>
      </c>
      <c r="P51" s="126"/>
      <c r="Q51" s="174" t="s">
        <v>35</v>
      </c>
      <c r="R51" s="119" t="s">
        <v>29</v>
      </c>
      <c r="S51" s="127" t="s">
        <v>159</v>
      </c>
      <c r="T51" s="315"/>
      <c r="U51" s="119"/>
    </row>
    <row r="52" spans="1:21" s="133" customFormat="1" ht="15" customHeight="1">
      <c r="A52" s="134" t="s">
        <v>156</v>
      </c>
      <c r="B52" s="119">
        <v>672</v>
      </c>
      <c r="C52" s="119" t="s">
        <v>160</v>
      </c>
      <c r="D52" s="120">
        <v>1400</v>
      </c>
      <c r="E52" s="121" t="s">
        <v>31</v>
      </c>
      <c r="F52" s="122" t="str">
        <f>IF(E52&lt;&gt;"",VLOOKUP(E52,CODE!$B$2:$C$11,2,0),"")</f>
        <v>PSBC- SAVINGS</v>
      </c>
      <c r="G52" s="123">
        <v>21016</v>
      </c>
      <c r="H52" s="124" t="str">
        <f>IF(G52&lt;&gt;"",VLOOKUP(G52,COA!$A$3:$G$1048576,2,0),"")</f>
        <v>Unearned Revenue - OPS</v>
      </c>
      <c r="I52" s="125" t="s">
        <v>161</v>
      </c>
      <c r="J52" s="126" t="str">
        <f>IF(I52&lt;&gt;"",VLOOKUP(I52,'CUSTOMER LISTS'!$B$3:$E$1048576,2,0),"")</f>
        <v>FUELGO GAS REFILLING STATION</v>
      </c>
      <c r="K52" s="127" t="str">
        <f>IF(I52&lt;&gt;"",VLOOKUP(I52,'CUSTOMER LISTS'!$B$3:$E$1048576,3,0),"")</f>
        <v>RODMAR VERTUDEZ FUEGO</v>
      </c>
      <c r="L52" s="127" t="str">
        <f>IF(I52&lt;&gt;"",VLOOKUP(I52,'CUSTOMER LISTS'!$B$3:$E$1048576,4,0),"")</f>
        <v>BRGY. MADALAG, JOSE DALMAN , ZAMBOANGA DEL NORTE</v>
      </c>
      <c r="M52" s="121">
        <v>761</v>
      </c>
      <c r="N52" s="128" t="str">
        <f>IF(M52&lt;&gt;"",VLOOKUP(M52,'PRODUCT &amp; SERVICES'!$O:$P,2,0),"")</f>
        <v>Others ( Pls. Specify )</v>
      </c>
      <c r="O52" s="129" t="s">
        <v>150</v>
      </c>
      <c r="P52" s="126"/>
      <c r="Q52" s="174" t="s">
        <v>35</v>
      </c>
      <c r="R52" s="119" t="s">
        <v>29</v>
      </c>
      <c r="S52" s="127"/>
      <c r="T52" s="315"/>
      <c r="U52" s="119"/>
    </row>
    <row r="53" spans="1:21" s="133" customFormat="1" ht="15" customHeight="1">
      <c r="A53" s="134" t="s">
        <v>162</v>
      </c>
      <c r="B53" s="119">
        <v>673</v>
      </c>
      <c r="C53" s="119" t="s">
        <v>163</v>
      </c>
      <c r="D53" s="120">
        <v>5300</v>
      </c>
      <c r="E53" s="121" t="s">
        <v>48</v>
      </c>
      <c r="F53" s="122" t="str">
        <f>IF(E53&lt;&gt;"",VLOOKUP(E53,CODE!$B$2:$C$11,2,0),"")</f>
        <v>EASTWEST-CHECKING</v>
      </c>
      <c r="G53" s="123">
        <v>21023</v>
      </c>
      <c r="H53" s="124" t="str">
        <f>IF(G53&lt;&gt;"",VLOOKUP(G53,COA!$A$3:$G$1048576,2,0),"")</f>
        <v>Unearned Revenue - DMIE</v>
      </c>
      <c r="I53" s="125" t="s">
        <v>164</v>
      </c>
      <c r="J53" s="126" t="str">
        <f>IF(I53&lt;&gt;"",VLOOKUP(I53,'CUSTOMER LISTS'!$B$3:$E$1048576,2,0),"")</f>
        <v>MJ HABAGAT GAS STATION</v>
      </c>
      <c r="K53" s="127" t="str">
        <f>IF(I53&lt;&gt;"",VLOOKUP(I53,'CUSTOMER LISTS'!$B$3:$E$1048576,3,0),"")</f>
        <v>THERESA MEE SARENAS HABAGAT</v>
      </c>
      <c r="L53" s="127" t="str">
        <f>IF(I53&lt;&gt;"",VLOOKUP(I53,'CUSTOMER LISTS'!$B$3:$E$1048576,4,0),"")</f>
        <v>BRGY. DAANGLUNGSOD, KATIPUNAN, ZAMBOANGA DEL NORTE</v>
      </c>
      <c r="M53" s="121">
        <v>2313</v>
      </c>
      <c r="N53" s="128" t="str">
        <f>IF(M53&lt;&gt;"",VLOOKUP(M53,'PRODUCT &amp; SERVICES'!$O:$P,2,0),"")</f>
        <v>Other Calibration Buckets</v>
      </c>
      <c r="O53" s="129"/>
      <c r="P53" s="126"/>
      <c r="Q53" s="127" t="s">
        <v>165</v>
      </c>
      <c r="R53" s="119" t="s">
        <v>29</v>
      </c>
      <c r="S53" s="127"/>
      <c r="T53" s="315"/>
      <c r="U53" s="119"/>
    </row>
    <row r="54" spans="1:21" s="133" customFormat="1" ht="15" customHeight="1">
      <c r="A54" s="134" t="s">
        <v>166</v>
      </c>
      <c r="B54" s="119">
        <v>674</v>
      </c>
      <c r="C54" s="119" t="s">
        <v>167</v>
      </c>
      <c r="D54" s="120">
        <v>1400</v>
      </c>
      <c r="E54" s="121" t="s">
        <v>31</v>
      </c>
      <c r="F54" s="122" t="str">
        <f>IF(E54&lt;&gt;"",VLOOKUP(E54,CODE!$B$2:$C$11,2,0),"")</f>
        <v>PSBC- SAVINGS</v>
      </c>
      <c r="G54" s="123">
        <v>21016</v>
      </c>
      <c r="H54" s="124" t="str">
        <f>IF(G54&lt;&gt;"",VLOOKUP(G54,COA!$A$3:$G$1048576,2,0),"")</f>
        <v>Unearned Revenue - OPS</v>
      </c>
      <c r="I54" s="125" t="s">
        <v>168</v>
      </c>
      <c r="J54" s="126" t="str">
        <f>IF(I54&lt;&gt;"",VLOOKUP(I54,'CUSTOMER LISTS'!$B$3:$E$1048576,2,0),"")</f>
        <v>GAZ-N-GO FUEL STATION</v>
      </c>
      <c r="K54" s="127" t="str">
        <f>IF(I54&lt;&gt;"",VLOOKUP(I54,'CUSTOMER LISTS'!$B$3:$E$1048576,3,0),"")</f>
        <v xml:space="preserve">GESELLE GLORIAN BAYAWA </v>
      </c>
      <c r="L54" s="127" t="str">
        <f>IF(I54&lt;&gt;"",VLOOKUP(I54,'CUSTOMER LISTS'!$B$3:$E$1048576,4,0),"")</f>
        <v>BRGY. SIARI, SINDANGAN, ZAMBOANGA DEL NORTE</v>
      </c>
      <c r="M54" s="121">
        <v>761</v>
      </c>
      <c r="N54" s="128" t="str">
        <f>IF(M54&lt;&gt;"",VLOOKUP(M54,'PRODUCT &amp; SERVICES'!$O:$P,2,0),"")</f>
        <v>Others ( Pls. Specify )</v>
      </c>
      <c r="O54" s="129" t="s">
        <v>150</v>
      </c>
      <c r="P54" s="126"/>
      <c r="Q54" s="141" t="s">
        <v>35</v>
      </c>
      <c r="R54" s="119" t="s">
        <v>29</v>
      </c>
      <c r="S54" s="127"/>
      <c r="T54" s="315"/>
      <c r="U54" s="119"/>
    </row>
    <row r="55" spans="1:21" s="133" customFormat="1" ht="15" customHeight="1">
      <c r="A55" s="134" t="s">
        <v>169</v>
      </c>
      <c r="B55" s="119">
        <v>675</v>
      </c>
      <c r="C55" s="119" t="s">
        <v>170</v>
      </c>
      <c r="D55" s="120">
        <v>1400</v>
      </c>
      <c r="E55" s="121" t="s">
        <v>31</v>
      </c>
      <c r="F55" s="122" t="str">
        <f>IF(E55&lt;&gt;"",VLOOKUP(E55,CODE!$B$2:$C$11,2,0),"")</f>
        <v>PSBC- SAVINGS</v>
      </c>
      <c r="G55" s="123">
        <v>21016</v>
      </c>
      <c r="H55" s="124" t="str">
        <f>IF(G55&lt;&gt;"",VLOOKUP(G55,COA!$A$3:$G$1048576,2,0),"")</f>
        <v>Unearned Revenue - OPS</v>
      </c>
      <c r="I55" s="125" t="s">
        <v>171</v>
      </c>
      <c r="J55" s="126" t="str">
        <f>IF(I55&lt;&gt;"",VLOOKUP(I55,'CUSTOMER LISTS'!$B$3:$E$1048576,2,0),"")</f>
        <v>AM-MON FUEL STATION</v>
      </c>
      <c r="K55" s="127" t="str">
        <f>IF(I55&lt;&gt;"",VLOOKUP(I55,'CUSTOMER LISTS'!$B$3:$E$1048576,3,0),"")</f>
        <v>LUCILLE MANANQUIL  SINARILLOS</v>
      </c>
      <c r="L55" s="127" t="str">
        <f>IF(I55&lt;&gt;"",VLOOKUP(I55,'CUSTOMER LISTS'!$B$3:$E$1048576,4,0),"")</f>
        <v>BRGY. SICAYAB, DIPOLOG CITY, ZAMBOANGA DEL NORTE</v>
      </c>
      <c r="M55" s="121">
        <v>761</v>
      </c>
      <c r="N55" s="128" t="str">
        <f>IF(M55&lt;&gt;"",VLOOKUP(M55,'PRODUCT &amp; SERVICES'!$O:$P,2,0),"")</f>
        <v>Others ( Pls. Specify )</v>
      </c>
      <c r="O55" s="129" t="s">
        <v>150</v>
      </c>
      <c r="P55" s="126"/>
      <c r="Q55" s="141" t="s">
        <v>35</v>
      </c>
      <c r="R55" s="119" t="s">
        <v>29</v>
      </c>
      <c r="S55" s="127"/>
      <c r="T55" s="315"/>
      <c r="U55" s="119"/>
    </row>
    <row r="56" spans="1:21" s="87" customFormat="1" ht="15" customHeight="1">
      <c r="A56" s="102" t="s">
        <v>172</v>
      </c>
      <c r="B56" s="77">
        <v>676</v>
      </c>
      <c r="C56" s="77" t="s">
        <v>173</v>
      </c>
      <c r="D56" s="78">
        <v>150</v>
      </c>
      <c r="E56" s="79" t="s">
        <v>31</v>
      </c>
      <c r="F56" s="80" t="str">
        <f>IF(E56&lt;&gt;"",VLOOKUP(E56,CODE!$B$2:$C$11,2,0),"")</f>
        <v>PSBC- SAVINGS</v>
      </c>
      <c r="G56" s="81">
        <v>43046</v>
      </c>
      <c r="H56" s="82" t="str">
        <f>IF(G56&lt;&gt;"",VLOOKUP(G56,COA!$A$3:$G$1048576,2,0),"")</f>
        <v>Miscellaneous Income - OPS</v>
      </c>
      <c r="I56" s="88" t="s">
        <v>174</v>
      </c>
      <c r="J56" s="84" t="str">
        <f>IF(I56&lt;&gt;"",VLOOKUP(I56,'CUSTOMER LISTS'!$B$3:$E$1048576,2,0),"")</f>
        <v>PATRICK &amp; BRYLE FUEL REFILLING STATION</v>
      </c>
      <c r="K56" s="76" t="str">
        <f>IF(I56&lt;&gt;"",VLOOKUP(I56,'CUSTOMER LISTS'!$B$3:$E$1048576,3,0),"")</f>
        <v>BOB DALMAN PAGENTE</v>
      </c>
      <c r="L56" s="76" t="str">
        <f>IF(I56&lt;&gt;"",VLOOKUP(I56,'CUSTOMER LISTS'!$B$3:$E$1048576,4,0),"")</f>
        <v>BRGY. DOÑA JOSEFA, SINDANGAN, ZAMBOANGA DEL NORTE</v>
      </c>
      <c r="M56" s="79">
        <v>761</v>
      </c>
      <c r="N56" s="85" t="str">
        <f>IF(M56&lt;&gt;"",VLOOKUP(M56,'PRODUCT &amp; SERVICES'!$O:$P,2,0),"")</f>
        <v>Others ( Pls. Specify )</v>
      </c>
      <c r="O56" s="86" t="s">
        <v>175</v>
      </c>
      <c r="P56" s="84"/>
      <c r="Q56" s="76" t="s">
        <v>176</v>
      </c>
      <c r="R56" s="77" t="s">
        <v>29</v>
      </c>
      <c r="S56" s="76"/>
      <c r="T56" s="314"/>
      <c r="U56" s="110" t="s">
        <v>172</v>
      </c>
    </row>
    <row r="57" spans="1:21" s="87" customFormat="1" ht="15" customHeight="1">
      <c r="A57" s="102" t="s">
        <v>172</v>
      </c>
      <c r="B57" s="77">
        <v>677</v>
      </c>
      <c r="C57" s="77" t="s">
        <v>177</v>
      </c>
      <c r="D57" s="78">
        <v>322844.5</v>
      </c>
      <c r="E57" s="79" t="s">
        <v>48</v>
      </c>
      <c r="F57" s="80" t="str">
        <f>IF(E57&lt;&gt;"",VLOOKUP(E57,CODE!$B$2:$C$11,2,0),"")</f>
        <v>EASTWEST-CHECKING</v>
      </c>
      <c r="G57" s="81">
        <v>51163</v>
      </c>
      <c r="H57" s="82" t="str">
        <f>IF(G57&lt;&gt;"",VLOOKUP(G57,COA!$A$3:$G$1048576,2,0),"")</f>
        <v>COGS - Other DMIE</v>
      </c>
      <c r="I57" s="88" t="s">
        <v>178</v>
      </c>
      <c r="J57" s="84" t="str">
        <f>IF(I57&lt;&gt;"",VLOOKUP(I57,'CUSTOMER LISTS'!$B$3:$E$1048576,2,0),"")</f>
        <v>KELLY HUNG</v>
      </c>
      <c r="K57" s="76" t="str">
        <f>IF(I57&lt;&gt;"",VLOOKUP(I57,'CUSTOMER LISTS'!$B$3:$E$1048576,3,0),"")</f>
        <v>KELLY HUNG</v>
      </c>
      <c r="L57" s="76" t="str">
        <f>IF(I57&lt;&gt;"",VLOOKUP(I57,'CUSTOMER LISTS'!$B$3:$E$1048576,4,0),"")</f>
        <v>BRGY. GALAS, DIPOLOG CITY</v>
      </c>
      <c r="M57" s="79">
        <v>761</v>
      </c>
      <c r="N57" s="85" t="str">
        <f>IF(M57&lt;&gt;"",VLOOKUP(M57,'PRODUCT &amp; SERVICES'!$O:$P,2,0),"")</f>
        <v>Others ( Pls. Specify )</v>
      </c>
      <c r="O57" s="86"/>
      <c r="P57" s="84"/>
      <c r="Q57" s="76" t="s">
        <v>179</v>
      </c>
      <c r="R57" s="77"/>
      <c r="S57" s="77" t="s">
        <v>180</v>
      </c>
      <c r="T57" s="313">
        <v>46114</v>
      </c>
      <c r="U57" s="77" t="s">
        <v>181</v>
      </c>
    </row>
    <row r="58" spans="1:21" s="87" customFormat="1" ht="15" customHeight="1">
      <c r="A58" s="102" t="s">
        <v>172</v>
      </c>
      <c r="B58" s="77">
        <v>678</v>
      </c>
      <c r="C58" s="77" t="s">
        <v>182</v>
      </c>
      <c r="D58" s="78">
        <v>2500</v>
      </c>
      <c r="E58" s="79" t="s">
        <v>44</v>
      </c>
      <c r="F58" s="80" t="str">
        <f>IF(E58&lt;&gt;"",VLOOKUP(E58,CODE!$B$2:$C$11,2,0),"")</f>
        <v>PNB - CHECKING</v>
      </c>
      <c r="G58" s="81">
        <v>43016</v>
      </c>
      <c r="H58" s="82" t="str">
        <f>IF(G58&lt;&gt;"",VLOOKUP(G58,COA!$A$3:$G$1048576,2,0),"")</f>
        <v>Job Orders</v>
      </c>
      <c r="I58" s="88" t="s">
        <v>183</v>
      </c>
      <c r="J58" s="84" t="str">
        <f>IF(I58&lt;&gt;"",VLOOKUP(I58,'CUSTOMER LISTS'!$B$3:$E$1048576,2,0),"")</f>
        <v>K.M. GAS REFILLING STATION</v>
      </c>
      <c r="K58" s="76" t="str">
        <f>IF(I58&lt;&gt;"",VLOOKUP(I58,'CUSTOMER LISTS'!$B$3:$E$1048576,3,0),"")</f>
        <v>MANUEL LUCANAS DELOS SANTOS JR.</v>
      </c>
      <c r="L58" s="76" t="str">
        <f>IF(I58&lt;&gt;"",VLOOKUP(I58,'CUSTOMER LISTS'!$B$3:$E$1048576,4,0),"")</f>
        <v>BRGY. COMPRA, LILOY, ZAMBOANGA DEL NORTE</v>
      </c>
      <c r="M58" s="79">
        <v>721</v>
      </c>
      <c r="N58" s="85" t="str">
        <f>IF(M58&lt;&gt;"",VLOOKUP(M58,'PRODUCT &amp; SERVICES'!$O:$P,2,0),"")</f>
        <v>Job Order</v>
      </c>
      <c r="O58" s="86"/>
      <c r="P58" s="84"/>
      <c r="Q58" s="76" t="s">
        <v>184</v>
      </c>
      <c r="R58" s="77"/>
      <c r="S58" s="77"/>
      <c r="T58" s="314"/>
      <c r="U58" s="110" t="s">
        <v>172</v>
      </c>
    </row>
    <row r="59" spans="1:21" s="133" customFormat="1" ht="15" customHeight="1">
      <c r="A59" s="134" t="s">
        <v>185</v>
      </c>
      <c r="B59" s="119">
        <v>679</v>
      </c>
      <c r="C59" s="119" t="s">
        <v>186</v>
      </c>
      <c r="D59" s="120">
        <v>1400</v>
      </c>
      <c r="E59" s="121" t="s">
        <v>31</v>
      </c>
      <c r="F59" s="122" t="str">
        <f>IF(E59&lt;&gt;"",VLOOKUP(E59,CODE!$B$2:$C$11,2,0),"")</f>
        <v>PSBC- SAVINGS</v>
      </c>
      <c r="G59" s="123">
        <v>21016</v>
      </c>
      <c r="H59" s="124" t="str">
        <f>IF(G59&lt;&gt;"",VLOOKUP(G59,COA!$A$3:$G$1048576,2,0),"")</f>
        <v>Unearned Revenue - OPS</v>
      </c>
      <c r="I59" s="125" t="s">
        <v>187</v>
      </c>
      <c r="J59" s="126" t="str">
        <f>IF(I59&lt;&gt;"",VLOOKUP(I59,'CUSTOMER LISTS'!$B$3:$E$1048576,2,0),"")</f>
        <v>4J'S MICRO GAS REFILLING STATION</v>
      </c>
      <c r="K59" s="127" t="str">
        <f>IF(I59&lt;&gt;"",VLOOKUP(I59,'CUSTOMER LISTS'!$B$3:$E$1048576,3,0),"")</f>
        <v>HEPHER CALASANG BAEL</v>
      </c>
      <c r="L59" s="127" t="str">
        <f>IF(I59&lt;&gt;"",VLOOKUP(I59,'CUSTOMER LISTS'!$B$3:$E$1048576,4,0),"")</f>
        <v>BRGY. ILAYA, DAPITAN CITY, ZAMBOANGA DEL NORTE</v>
      </c>
      <c r="M59" s="121">
        <v>761</v>
      </c>
      <c r="N59" s="128" t="str">
        <f>IF(M59&lt;&gt;"",VLOOKUP(M59,'PRODUCT &amp; SERVICES'!$O:$P,2,0),"")</f>
        <v>Others ( Pls. Specify )</v>
      </c>
      <c r="O59" s="129" t="s">
        <v>150</v>
      </c>
      <c r="P59" s="126"/>
      <c r="Q59" s="157" t="s">
        <v>35</v>
      </c>
      <c r="R59" s="119" t="s">
        <v>29</v>
      </c>
      <c r="S59" s="119"/>
      <c r="T59" s="315"/>
      <c r="U59" s="119"/>
    </row>
    <row r="60" spans="1:21" s="87" customFormat="1" ht="15" customHeight="1">
      <c r="A60" s="102" t="s">
        <v>188</v>
      </c>
      <c r="B60" s="77">
        <v>680</v>
      </c>
      <c r="C60" s="77" t="s">
        <v>189</v>
      </c>
      <c r="D60" s="78">
        <v>500</v>
      </c>
      <c r="E60" s="79" t="s">
        <v>26</v>
      </c>
      <c r="F60" s="80" t="str">
        <f>IF(E60&lt;&gt;"",VLOOKUP(E60,CODE!$B$2:$C$11,2,0),"")</f>
        <v>RCBC -SAVINGS</v>
      </c>
      <c r="G60" s="81">
        <v>43016</v>
      </c>
      <c r="H60" s="82" t="str">
        <f>IF(G60&lt;&gt;"",VLOOKUP(G60,COA!$A$3:$G$1048576,2,0),"")</f>
        <v>Job Orders</v>
      </c>
      <c r="I60" s="88" t="s">
        <v>190</v>
      </c>
      <c r="J60" s="84" t="str">
        <f>IF(I60&lt;&gt;"",VLOOKUP(I60,'CUSTOMER LISTS'!$B$3:$E$1048576,2,0),"")</f>
        <v>VIZPA GAS STATION</v>
      </c>
      <c r="K60" s="76">
        <f>IF(I60&lt;&gt;"",VLOOKUP(I60,'CUSTOMER LISTS'!$B$3:$E$1048576,3,0),"")</f>
        <v>0</v>
      </c>
      <c r="L60" s="76" t="str">
        <f>IF(I60&lt;&gt;"",VLOOKUP(I60,'CUSTOMER LISTS'!$B$3:$E$1048576,4,0),"")</f>
        <v>BRGY. BARCELONA, DAPITAN CITY</v>
      </c>
      <c r="M60" s="79">
        <v>721</v>
      </c>
      <c r="N60" s="85" t="str">
        <f>IF(M60&lt;&gt;"",VLOOKUP(M60,'PRODUCT &amp; SERVICES'!$O:$P,2,0),"")</f>
        <v>Job Order</v>
      </c>
      <c r="O60" s="86"/>
      <c r="P60" s="228"/>
      <c r="Q60" s="227" t="s">
        <v>191</v>
      </c>
      <c r="R60" s="229"/>
      <c r="S60" s="76"/>
      <c r="T60" s="314"/>
      <c r="U60" s="77"/>
    </row>
    <row r="61" spans="1:21" s="87" customFormat="1" ht="15" customHeight="1">
      <c r="A61" s="102" t="s">
        <v>192</v>
      </c>
      <c r="B61" s="77">
        <v>681</v>
      </c>
      <c r="C61" s="77" t="s">
        <v>193</v>
      </c>
      <c r="D61" s="78">
        <v>1400</v>
      </c>
      <c r="E61" s="79" t="s">
        <v>31</v>
      </c>
      <c r="F61" s="80" t="str">
        <f>IF(E61&lt;&gt;"",VLOOKUP(E61,CODE!$B$2:$C$11,2,0),"")</f>
        <v>PSBC- SAVINGS</v>
      </c>
      <c r="G61" s="81">
        <v>21016</v>
      </c>
      <c r="H61" s="82" t="str">
        <f>IF(G61&lt;&gt;"",VLOOKUP(G61,COA!$A$3:$G$1048576,2,0),"")</f>
        <v>Unearned Revenue - OPS</v>
      </c>
      <c r="I61" s="88" t="s">
        <v>149</v>
      </c>
      <c r="J61" s="84" t="str">
        <f>IF(I61&lt;&gt;"",VLOOKUP(I61,'CUSTOMER LISTS'!$B$3:$E$1048576,2,0),"")</f>
        <v>RM GASOLINE STATION</v>
      </c>
      <c r="K61" s="76" t="str">
        <f>IF(I61&lt;&gt;"",VLOOKUP(I61,'CUSTOMER LISTS'!$B$3:$E$1048576,3,0),"")</f>
        <v>HAMIR GUMANDOL JAAPAL</v>
      </c>
      <c r="L61" s="76" t="str">
        <f>IF(I61&lt;&gt;"",VLOOKUP(I61,'CUSTOMER LISTS'!$B$3:$E$1048576,4,0),"")</f>
        <v>BRGY. MUCAS, SALUG, ZAMBONGA DEL NORTE</v>
      </c>
      <c r="M61" s="79">
        <v>761</v>
      </c>
      <c r="N61" s="85" t="str">
        <f>IF(M61&lt;&gt;"",VLOOKUP(M61,'PRODUCT &amp; SERVICES'!$O:$P,2,0),"")</f>
        <v>Others ( Pls. Specify )</v>
      </c>
      <c r="O61" s="86" t="s">
        <v>150</v>
      </c>
      <c r="P61" s="84"/>
      <c r="Q61" s="230" t="s">
        <v>35</v>
      </c>
      <c r="R61" s="77" t="s">
        <v>29</v>
      </c>
      <c r="S61" s="76"/>
      <c r="T61" s="314"/>
      <c r="U61" s="77"/>
    </row>
    <row r="62" spans="1:21" s="87" customFormat="1" ht="15" customHeight="1">
      <c r="A62" s="102" t="s">
        <v>192</v>
      </c>
      <c r="B62" s="77">
        <v>682</v>
      </c>
      <c r="C62" s="77" t="s">
        <v>194</v>
      </c>
      <c r="D62" s="78">
        <v>1400</v>
      </c>
      <c r="E62" s="79" t="s">
        <v>31</v>
      </c>
      <c r="F62" s="80" t="str">
        <f>IF(E62&lt;&gt;"",VLOOKUP(E62,CODE!$B$2:$C$11,2,0),"")</f>
        <v>PSBC- SAVINGS</v>
      </c>
      <c r="G62" s="81">
        <v>21016</v>
      </c>
      <c r="H62" s="82" t="str">
        <f>IF(G62&lt;&gt;"",VLOOKUP(G62,COA!$A$3:$G$1048576,2,0),"")</f>
        <v>Unearned Revenue - OPS</v>
      </c>
      <c r="I62" s="88" t="s">
        <v>195</v>
      </c>
      <c r="J62" s="84" t="str">
        <f>IF(I62&lt;&gt;"",VLOOKUP(I62,'CUSTOMER LISTS'!$B$3:$E$1048576,2,0),"")</f>
        <v>KJ FUEL REFILLING STATION</v>
      </c>
      <c r="K62" s="76" t="str">
        <f>IF(I62&lt;&gt;"",VLOOKUP(I62,'CUSTOMER LISTS'!$B$3:$E$1048576,3,0),"")</f>
        <v>MARCOS MABANSAG ARAGON</v>
      </c>
      <c r="L62" s="76" t="str">
        <f>IF(I62&lt;&gt;"",VLOOKUP(I62,'CUSTOMER LISTS'!$B$3:$E$1048576,4,0),"")</f>
        <v>BRGY. PALANDOK, LEON POSTIGO, ZAMBOANGA DEL NORTE</v>
      </c>
      <c r="M62" s="79">
        <v>761</v>
      </c>
      <c r="N62" s="85" t="str">
        <f>IF(M62&lt;&gt;"",VLOOKUP(M62,'PRODUCT &amp; SERVICES'!$O:$P,2,0),"")</f>
        <v>Others ( Pls. Specify )</v>
      </c>
      <c r="O62" s="86" t="s">
        <v>150</v>
      </c>
      <c r="P62" s="84"/>
      <c r="Q62" s="76" t="s">
        <v>35</v>
      </c>
      <c r="R62" s="77" t="s">
        <v>29</v>
      </c>
      <c r="S62" s="76"/>
      <c r="T62" s="314"/>
      <c r="U62" s="77"/>
    </row>
    <row r="63" spans="1:21" s="87" customFormat="1" ht="15" customHeight="1">
      <c r="A63" s="102" t="s">
        <v>196</v>
      </c>
      <c r="B63" s="77">
        <v>683</v>
      </c>
      <c r="C63" s="77" t="s">
        <v>197</v>
      </c>
      <c r="D63" s="78">
        <v>1400</v>
      </c>
      <c r="E63" s="79" t="s">
        <v>31</v>
      </c>
      <c r="F63" s="80" t="str">
        <f>IF(E63&lt;&gt;"",VLOOKUP(E63,CODE!$B$2:$C$11,2,0),"")</f>
        <v>PSBC- SAVINGS</v>
      </c>
      <c r="G63" s="81">
        <v>21016</v>
      </c>
      <c r="H63" s="82" t="str">
        <f>IF(G63&lt;&gt;"",VLOOKUP(G63,COA!$A$3:$G$1048576,2,0),"")</f>
        <v>Unearned Revenue - OPS</v>
      </c>
      <c r="I63" s="88" t="s">
        <v>106</v>
      </c>
      <c r="J63" s="84" t="str">
        <f>IF(I63&lt;&gt;"",VLOOKUP(I63,'CUSTOMER LISTS'!$B$3:$E$1048576,2,0),"")</f>
        <v>CM-POWER FUEL REFILLING STATION</v>
      </c>
      <c r="K63" s="76" t="str">
        <f>IF(I63&lt;&gt;"",VLOOKUP(I63,'CUSTOMER LISTS'!$B$3:$E$1048576,3,0),"")</f>
        <v>CHARLENE ESTRADA MANDANTES</v>
      </c>
      <c r="L63" s="76" t="str">
        <f>IF(I63&lt;&gt;"",VLOOKUP(I63,'CUSTOMER LISTS'!$B$3:$E$1048576,4,0),"")</f>
        <v>BRGY. VILLAHERMOSA, POLANCO, ZAMBOANGA DEL NORTE</v>
      </c>
      <c r="M63" s="79">
        <v>761</v>
      </c>
      <c r="N63" s="85" t="str">
        <f>IF(M63&lt;&gt;"",VLOOKUP(M63,'PRODUCT &amp; SERVICES'!$O:$P,2,0),"")</f>
        <v>Others ( Pls. Specify )</v>
      </c>
      <c r="O63" s="86" t="s">
        <v>150</v>
      </c>
      <c r="P63" s="84"/>
      <c r="Q63" s="76" t="s">
        <v>35</v>
      </c>
      <c r="R63" s="77" t="s">
        <v>29</v>
      </c>
      <c r="S63" s="76"/>
      <c r="T63" s="314"/>
      <c r="U63" s="77"/>
    </row>
    <row r="64" spans="1:21" s="87" customFormat="1" ht="15" customHeight="1">
      <c r="A64" s="102" t="s">
        <v>196</v>
      </c>
      <c r="B64" s="77">
        <v>684</v>
      </c>
      <c r="C64" s="77" t="s">
        <v>198</v>
      </c>
      <c r="D64" s="78">
        <v>9445</v>
      </c>
      <c r="E64" s="79" t="s">
        <v>199</v>
      </c>
      <c r="F64" s="80" t="str">
        <f>IF(E64&lt;&gt;"",VLOOKUP(E64,CODE!$B$2:$C$11,2,0),"")</f>
        <v>CHINA BANK - SAVINGS</v>
      </c>
      <c r="G64" s="81">
        <v>43026</v>
      </c>
      <c r="H64" s="82" t="str">
        <f>IF(G64&lt;&gt;"",VLOOKUP(G64,COA!$A$3:$G$1048576,2,0),"")</f>
        <v>Service Income</v>
      </c>
      <c r="I64" s="83" t="s">
        <v>200</v>
      </c>
      <c r="J64" s="84" t="str">
        <f>IF(I64&lt;&gt;"",VLOOKUP(I64,'CUSTOMER LISTS'!$B$3:$E$1048576,2,0),"")</f>
        <v>SR GAS STATION</v>
      </c>
      <c r="K64" s="76" t="str">
        <f>IF(I64&lt;&gt;"",VLOOKUP(I64,'CUSTOMER LISTS'!$B$3:$E$1048576,3,0),"")</f>
        <v>RADHATA SALBANI HAMBALI</v>
      </c>
      <c r="L64" s="76" t="str">
        <f>IF(I64&lt;&gt;"",VLOOKUP(I64,'CUSTOMER LISTS'!$B$3:$E$1048576,4,0),"")</f>
        <v>BRGY. RIZON, BACUNGAN, ZAMBOANGA DEL NORTE</v>
      </c>
      <c r="M64" s="79">
        <v>751</v>
      </c>
      <c r="N64" s="85" t="str">
        <f>IF(M64&lt;&gt;"",VLOOKUP(M64,'PRODUCT &amp; SERVICES'!$O:$P,2,0),"")</f>
        <v>Other Services ( Pls. Specify )</v>
      </c>
      <c r="O64" s="86"/>
      <c r="P64" s="84"/>
      <c r="Q64" s="76" t="s">
        <v>201</v>
      </c>
      <c r="R64" s="76"/>
      <c r="S64" s="76"/>
      <c r="T64" s="314"/>
      <c r="U64" s="77"/>
    </row>
    <row r="65" spans="1:21" s="133" customFormat="1" ht="15" customHeight="1">
      <c r="A65" s="134" t="s">
        <v>196</v>
      </c>
      <c r="B65" s="119">
        <v>685</v>
      </c>
      <c r="C65" s="119" t="s">
        <v>202</v>
      </c>
      <c r="D65" s="120">
        <v>9445</v>
      </c>
      <c r="E65" s="121" t="s">
        <v>199</v>
      </c>
      <c r="F65" s="122" t="str">
        <f>IF(E65&lt;&gt;"",VLOOKUP(E65,CODE!$B$2:$C$11,2,0),"")</f>
        <v>CHINA BANK - SAVINGS</v>
      </c>
      <c r="G65" s="123">
        <v>43026</v>
      </c>
      <c r="H65" s="124" t="str">
        <f>IF(G65&lt;&gt;"",VLOOKUP(G65,COA!$A$3:$G$1048576,2,0),"")</f>
        <v>Service Income</v>
      </c>
      <c r="I65" s="125" t="s">
        <v>203</v>
      </c>
      <c r="J65" s="126" t="str">
        <f>IF(I65&lt;&gt;"",VLOOKUP(I65,'CUSTOMER LISTS'!$B$3:$E$1048576,2,0),"")</f>
        <v>AZ FUEL REFILLING STATION</v>
      </c>
      <c r="K65" s="127" t="str">
        <f>IF(I65&lt;&gt;"",VLOOKUP(I65,'CUSTOMER LISTS'!$B$3:$E$1048576,3,0),"")</f>
        <v>SALAHUDDIN AKIL HAMBALI</v>
      </c>
      <c r="L65" s="127" t="str">
        <f>IF(I65&lt;&gt;"",VLOOKUP(I65,'CUSTOMER LISTS'!$B$3:$E$1048576,4,0),"")</f>
        <v>BRGY. CARACOL, SALUG, ZAMBOANGA DEL NORTE</v>
      </c>
      <c r="M65" s="121">
        <v>751</v>
      </c>
      <c r="N65" s="128" t="str">
        <f>IF(M65&lt;&gt;"",VLOOKUP(M65,'PRODUCT &amp; SERVICES'!$O:$P,2,0),"")</f>
        <v>Other Services ( Pls. Specify )</v>
      </c>
      <c r="O65" s="129"/>
      <c r="P65" s="126"/>
      <c r="Q65" s="127" t="s">
        <v>201</v>
      </c>
      <c r="R65" s="127"/>
      <c r="S65" s="127"/>
      <c r="T65" s="315"/>
      <c r="U65" s="119"/>
    </row>
    <row r="66" spans="1:21" s="133" customFormat="1" ht="15" customHeight="1">
      <c r="A66" s="132" t="s">
        <v>196</v>
      </c>
      <c r="B66" s="131">
        <v>686</v>
      </c>
      <c r="C66" s="131" t="s">
        <v>204</v>
      </c>
      <c r="D66" s="139">
        <v>1400</v>
      </c>
      <c r="E66" s="168" t="s">
        <v>44</v>
      </c>
      <c r="F66" s="122" t="str">
        <f>IF(E66&lt;&gt;"",VLOOKUP(E66,CODE!$B$2:$C$11,2,0),"")</f>
        <v>PNB - CHECKING</v>
      </c>
      <c r="G66" s="169">
        <v>21016</v>
      </c>
      <c r="H66" s="170" t="str">
        <f>IF(G66&lt;&gt;"",VLOOKUP(G66,COA!$A$3:$G$1048576,2,0),"")</f>
        <v>Unearned Revenue - OPS</v>
      </c>
      <c r="I66" s="137" t="s">
        <v>75</v>
      </c>
      <c r="J66" s="171" t="str">
        <f>IF(I66&lt;&gt;"",VLOOKUP(I66,'CUSTOMER LISTS'!$B$3:$E$1048576,2,0),"")</f>
        <v>SUERTE GAS STATION</v>
      </c>
      <c r="K66" s="130" t="str">
        <f>IF(I66&lt;&gt;"",VLOOKUP(I66,'CUSTOMER LISTS'!$B$3:$E$1048576,3,0),"")</f>
        <v>ALJUN LATA SUERTE</v>
      </c>
      <c r="L66" s="130" t="str">
        <f>IF(I66&lt;&gt;"",VLOOKUP(I66,'CUSTOMER LISTS'!$B$3:$E$1048576,4,0),"")</f>
        <v>BRGY. GUITRAN, DUMINGAG, ZAMBOANGA DEL SUR</v>
      </c>
      <c r="M66" s="168">
        <v>761</v>
      </c>
      <c r="N66" s="172" t="str">
        <f>IF(M66&lt;&gt;"",VLOOKUP(M66,'PRODUCT &amp; SERVICES'!$O:$P,2,0),"")</f>
        <v>Others ( Pls. Specify )</v>
      </c>
      <c r="O66" s="173" t="s">
        <v>150</v>
      </c>
      <c r="P66" s="171"/>
      <c r="Q66" s="130" t="s">
        <v>35</v>
      </c>
      <c r="R66" s="130"/>
      <c r="S66" s="130"/>
      <c r="T66" s="323"/>
      <c r="U66" s="131"/>
    </row>
    <row r="67" spans="1:21" s="133" customFormat="1" ht="15" customHeight="1">
      <c r="A67" s="134" t="s">
        <v>205</v>
      </c>
      <c r="B67" s="119">
        <v>687</v>
      </c>
      <c r="C67" s="119" t="s">
        <v>206</v>
      </c>
      <c r="D67" s="139">
        <v>450000</v>
      </c>
      <c r="E67" s="121" t="s">
        <v>48</v>
      </c>
      <c r="F67" s="122" t="str">
        <f>IF(E67&lt;&gt;"",VLOOKUP(E67,CODE!$B$2:$C$11,2,0),"")</f>
        <v>EASTWEST-CHECKING</v>
      </c>
      <c r="G67" s="123">
        <v>21023</v>
      </c>
      <c r="H67" s="124" t="str">
        <f>IF(G67&lt;&gt;"",VLOOKUP(G67,COA!$A$3:$G$1048576,2,0),"")</f>
        <v>Unearned Revenue - DMIE</v>
      </c>
      <c r="I67" s="135" t="s">
        <v>207</v>
      </c>
      <c r="J67" s="126" t="str">
        <f>IF(I67&lt;&gt;"",VLOOKUP(I67,'CUSTOMER LISTS'!$B$3:$E$1048576,2,0),"")</f>
        <v>PHIL GAMZ GAS REFILLING STATION</v>
      </c>
      <c r="K67" s="127" t="str">
        <f>IF(I67&lt;&gt;"",VLOOKUP(I67,'CUSTOMER LISTS'!$B$3:$E$1048576,3,0),"")</f>
        <v>CRYSTALL MAE PAUNDOG</v>
      </c>
      <c r="L67" s="127" t="str">
        <f>IF(I67&lt;&gt;"",VLOOKUP(I67,'CUSTOMER LISTS'!$B$3:$E$1048576,4,0),"")</f>
        <v>BRGY. GUINABUT, SAPANGDALAGA, MISAMIS OCCIDENTAL</v>
      </c>
      <c r="M67" s="121">
        <v>2217</v>
      </c>
      <c r="N67" s="128" t="str">
        <f>IF(M67&lt;&gt;"",VLOOKUP(M67,'PRODUCT &amp; SERVICES'!$O:$P,2,0),"")</f>
        <v>5.0 KL TSRO Standard Machine</v>
      </c>
      <c r="O67" s="129"/>
      <c r="P67" s="126"/>
      <c r="Q67" s="127" t="s">
        <v>208</v>
      </c>
      <c r="R67" s="119" t="s">
        <v>122</v>
      </c>
      <c r="S67" s="395" t="s">
        <v>209</v>
      </c>
      <c r="T67" s="397">
        <v>46198</v>
      </c>
      <c r="U67" s="119"/>
    </row>
    <row r="68" spans="1:21" s="133" customFormat="1" ht="15" customHeight="1">
      <c r="A68" s="134" t="s">
        <v>205</v>
      </c>
      <c r="B68" s="119">
        <v>687</v>
      </c>
      <c r="C68" s="119" t="s">
        <v>206</v>
      </c>
      <c r="D68" s="139">
        <v>35210</v>
      </c>
      <c r="E68" s="121" t="s">
        <v>48</v>
      </c>
      <c r="F68" s="122" t="str">
        <f>IF(E68&lt;&gt;"",VLOOKUP(E68,CODE!$B$2:$C$11,2,0),"")</f>
        <v>EASTWEST-CHECKING</v>
      </c>
      <c r="G68" s="123">
        <v>21023</v>
      </c>
      <c r="H68" s="124" t="str">
        <f>IF(G68&lt;&gt;"",VLOOKUP(G68,COA!$A$3:$G$1048576,2,0),"")</f>
        <v>Unearned Revenue - DMIE</v>
      </c>
      <c r="I68" s="135" t="s">
        <v>207</v>
      </c>
      <c r="J68" s="126" t="str">
        <f>IF(I68&lt;&gt;"",VLOOKUP(I68,'CUSTOMER LISTS'!$B$3:$E$1048576,2,0),"")</f>
        <v>PHIL GAMZ GAS REFILLING STATION</v>
      </c>
      <c r="K68" s="127" t="str">
        <f>IF(I68&lt;&gt;"",VLOOKUP(I68,'CUSTOMER LISTS'!$B$3:$E$1048576,3,0),"")</f>
        <v>CRYSTALL MAE PAUNDOG</v>
      </c>
      <c r="L68" s="127" t="str">
        <f>IF(I68&lt;&gt;"",VLOOKUP(I68,'CUSTOMER LISTS'!$B$3:$E$1048576,4,0),"")</f>
        <v>BRGY. GUINABUT, SAPANGDALAGA, MISAMIS OCCIDENTAL</v>
      </c>
      <c r="M68" s="121">
        <v>761</v>
      </c>
      <c r="N68" s="128" t="str">
        <f>IF(M68&lt;&gt;"",VLOOKUP(M68,'PRODUCT &amp; SERVICES'!$O:$P,2,0),"")</f>
        <v>Others ( Pls. Specify )</v>
      </c>
      <c r="O68" s="129"/>
      <c r="P68" s="126"/>
      <c r="Q68" s="127" t="s">
        <v>120</v>
      </c>
      <c r="R68" s="119" t="s">
        <v>122</v>
      </c>
      <c r="S68" s="396"/>
      <c r="T68" s="398"/>
      <c r="U68" s="119"/>
    </row>
    <row r="69" spans="1:21" s="87" customFormat="1" ht="15" customHeight="1">
      <c r="A69" s="102" t="s">
        <v>205</v>
      </c>
      <c r="B69" s="77">
        <v>688</v>
      </c>
      <c r="C69" s="77" t="s">
        <v>210</v>
      </c>
      <c r="D69" s="78">
        <v>7485</v>
      </c>
      <c r="E69" s="79" t="s">
        <v>211</v>
      </c>
      <c r="F69" s="80" t="str">
        <f>IF(E69&lt;&gt;"",VLOOKUP(E69,CODE!$B$2:$C$11,2,0),"")</f>
        <v>KATIPUNAN BANK-SAVINGS</v>
      </c>
      <c r="G69" s="81">
        <v>43026</v>
      </c>
      <c r="H69" s="82" t="str">
        <f>IF(G69&lt;&gt;"",VLOOKUP(G69,COA!$A$3:$G$1048576,2,0),"")</f>
        <v>Service Income</v>
      </c>
      <c r="I69" s="88" t="s">
        <v>212</v>
      </c>
      <c r="J69" s="84" t="str">
        <f>IF(I69&lt;&gt;"",VLOOKUP(I69,'CUSTOMER LISTS'!$B$3:$E$1048576,2,0),"")</f>
        <v>NONON'S FUEL STATION</v>
      </c>
      <c r="K69" s="76" t="str">
        <f>IF(I69&lt;&gt;"",VLOOKUP(I69,'CUSTOMER LISTS'!$B$3:$E$1048576,3,0),"")</f>
        <v>CRISAN SABIJON HERNANE</v>
      </c>
      <c r="L69" s="76" t="str">
        <f>IF(I69&lt;&gt;"",VLOOKUP(I69,'CUSTOMER LISTS'!$B$3:$E$1048576,4,0),"")</f>
        <v>BRGY. SAN VICENTE BAJO, OROQUIETA CITY, MISAMIS OCCIDENTAL</v>
      </c>
      <c r="M69" s="79">
        <v>761</v>
      </c>
      <c r="N69" s="85" t="str">
        <f>IF(M69&lt;&gt;"",VLOOKUP(M69,'PRODUCT &amp; SERVICES'!$O:$P,2,0),"")</f>
        <v>Others ( Pls. Specify )</v>
      </c>
      <c r="O69" s="86"/>
      <c r="P69" s="84"/>
      <c r="Q69" s="76" t="s">
        <v>201</v>
      </c>
      <c r="R69" s="77" t="s">
        <v>29</v>
      </c>
      <c r="S69" s="76"/>
      <c r="T69" s="314"/>
      <c r="U69" s="110" t="s">
        <v>205</v>
      </c>
    </row>
    <row r="70" spans="1:21" s="87" customFormat="1" ht="15" customHeight="1">
      <c r="A70" s="102" t="s">
        <v>205</v>
      </c>
      <c r="B70" s="77">
        <v>689</v>
      </c>
      <c r="C70" s="77" t="s">
        <v>213</v>
      </c>
      <c r="D70" s="78">
        <v>7485</v>
      </c>
      <c r="E70" s="79" t="s">
        <v>199</v>
      </c>
      <c r="F70" s="80" t="str">
        <f>IF(E70&lt;&gt;"",VLOOKUP(E70,CODE!$B$2:$C$11,2,0),"")</f>
        <v>CHINA BANK - SAVINGS</v>
      </c>
      <c r="G70" s="81">
        <v>43026</v>
      </c>
      <c r="H70" s="82" t="str">
        <f>IF(G70&lt;&gt;"",VLOOKUP(G70,COA!$A$3:$G$1048576,2,0),"")</f>
        <v>Service Income</v>
      </c>
      <c r="I70" s="88" t="s">
        <v>132</v>
      </c>
      <c r="J70" s="84" t="str">
        <f>IF(I70&lt;&gt;"",VLOOKUP(I70,'CUSTOMER LISTS'!$B$3:$E$1048576,2,0),"")</f>
        <v>FAME GAS REFILLING STATION</v>
      </c>
      <c r="K70" s="76" t="str">
        <f>IF(I70&lt;&gt;"",VLOOKUP(I70,'CUSTOMER LISTS'!$B$3:$E$1048576,3,0),"")</f>
        <v>FERNANDO DELA ROSA PARAN</v>
      </c>
      <c r="L70" s="76" t="str">
        <f>IF(I70&lt;&gt;"",VLOOKUP(I70,'CUSTOMER LISTS'!$B$3:$E$1048576,4,0),"")</f>
        <v>BRGY. NEW SICAYAB, POLANCO, ZAMBOANGA DEL NORTE</v>
      </c>
      <c r="M70" s="79">
        <v>761</v>
      </c>
      <c r="N70" s="85" t="str">
        <f>IF(M70&lt;&gt;"",VLOOKUP(M70,'PRODUCT &amp; SERVICES'!$O:$P,2,0),"")</f>
        <v>Others ( Pls. Specify )</v>
      </c>
      <c r="O70" s="86"/>
      <c r="P70" s="84"/>
      <c r="Q70" s="76" t="s">
        <v>201</v>
      </c>
      <c r="R70" s="77" t="s">
        <v>29</v>
      </c>
      <c r="S70" s="76"/>
      <c r="T70" s="314"/>
      <c r="U70" s="110" t="s">
        <v>205</v>
      </c>
    </row>
    <row r="71" spans="1:21" s="87" customFormat="1" ht="15" customHeight="1">
      <c r="A71" s="102" t="s">
        <v>205</v>
      </c>
      <c r="B71" s="77">
        <v>690</v>
      </c>
      <c r="C71" s="77" t="s">
        <v>214</v>
      </c>
      <c r="D71" s="78">
        <v>7485</v>
      </c>
      <c r="E71" s="79" t="s">
        <v>211</v>
      </c>
      <c r="F71" s="80" t="str">
        <f>IF(E71&lt;&gt;"",VLOOKUP(E71,CODE!$B$2:$C$11,2,0),"")</f>
        <v>KATIPUNAN BANK-SAVINGS</v>
      </c>
      <c r="G71" s="81">
        <v>43026</v>
      </c>
      <c r="H71" s="82" t="str">
        <f>IF(G71&lt;&gt;"",VLOOKUP(G71,COA!$A$3:$G$1048576,2,0),"")</f>
        <v>Service Income</v>
      </c>
      <c r="I71" s="83" t="s">
        <v>215</v>
      </c>
      <c r="J71" s="84" t="str">
        <f>IF(I71&lt;&gt;"",VLOOKUP(I71,'CUSTOMER LISTS'!$B$3:$E$1048576,2,0),"")</f>
        <v>LEN GASOLINE STATION</v>
      </c>
      <c r="K71" s="76" t="str">
        <f>IF(I71&lt;&gt;"",VLOOKUP(I71,'CUSTOMER LISTS'!$B$3:$E$1048576,3,0),"")</f>
        <v>ARLENE EDIOS UBA</v>
      </c>
      <c r="L71" s="76" t="str">
        <f>IF(I71&lt;&gt;"",VLOOKUP(I71,'CUSTOMER LISTS'!$B$3:$E$1048576,4,0),"")</f>
        <v>BRGY. VILLAFLOR, OROQUIETA CITY, MISAMIS OCCIDENTAL</v>
      </c>
      <c r="M71" s="79">
        <v>761</v>
      </c>
      <c r="N71" s="85" t="str">
        <f>IF(M71&lt;&gt;"",VLOOKUP(M71,'PRODUCT &amp; SERVICES'!$O:$P,2,0),"")</f>
        <v>Others ( Pls. Specify )</v>
      </c>
      <c r="O71" s="86"/>
      <c r="P71" s="84"/>
      <c r="Q71" s="76" t="s">
        <v>201</v>
      </c>
      <c r="R71" s="77" t="s">
        <v>29</v>
      </c>
      <c r="S71" s="76"/>
      <c r="T71" s="314"/>
      <c r="U71" s="110" t="s">
        <v>205</v>
      </c>
    </row>
    <row r="72" spans="1:21" s="87" customFormat="1" ht="15" customHeight="1">
      <c r="A72" s="102" t="s">
        <v>205</v>
      </c>
      <c r="B72" s="77">
        <v>691</v>
      </c>
      <c r="C72" s="77" t="s">
        <v>216</v>
      </c>
      <c r="D72" s="78">
        <v>7485</v>
      </c>
      <c r="E72" s="79" t="s">
        <v>199</v>
      </c>
      <c r="F72" s="80" t="str">
        <f>IF(E72&lt;&gt;"",VLOOKUP(E72,CODE!$B$2:$C$11,2,0),"")</f>
        <v>CHINA BANK - SAVINGS</v>
      </c>
      <c r="G72" s="81">
        <v>43026</v>
      </c>
      <c r="H72" s="82" t="str">
        <f>IF(G72&lt;&gt;"",VLOOKUP(G72,COA!$A$3:$G$1048576,2,0),"")</f>
        <v>Service Income</v>
      </c>
      <c r="I72" s="88" t="s">
        <v>171</v>
      </c>
      <c r="J72" s="84" t="str">
        <f>IF(I72&lt;&gt;"",VLOOKUP(I72,'CUSTOMER LISTS'!$B$3:$E$1048576,2,0),"")</f>
        <v>AM-MON FUEL STATION</v>
      </c>
      <c r="K72" s="76" t="str">
        <f>IF(I72&lt;&gt;"",VLOOKUP(I72,'CUSTOMER LISTS'!$B$3:$E$1048576,3,0),"")</f>
        <v>LUCILLE MANANQUIL  SINARILLOS</v>
      </c>
      <c r="L72" s="76" t="str">
        <f>IF(I72&lt;&gt;"",VLOOKUP(I72,'CUSTOMER LISTS'!$B$3:$E$1048576,4,0),"")</f>
        <v>BRGY. SICAYAB, DIPOLOG CITY, ZAMBOANGA DEL NORTE</v>
      </c>
      <c r="M72" s="79">
        <v>761</v>
      </c>
      <c r="N72" s="85" t="str">
        <f>IF(M72&lt;&gt;"",VLOOKUP(M72,'PRODUCT &amp; SERVICES'!$O:$P,2,0),"")</f>
        <v>Others ( Pls. Specify )</v>
      </c>
      <c r="O72" s="86"/>
      <c r="P72" s="84"/>
      <c r="Q72" s="76" t="s">
        <v>201</v>
      </c>
      <c r="R72" s="77" t="s">
        <v>29</v>
      </c>
      <c r="S72" s="76"/>
      <c r="T72" s="314"/>
      <c r="U72" s="110" t="s">
        <v>205</v>
      </c>
    </row>
    <row r="73" spans="1:21" s="87" customFormat="1" ht="15" customHeight="1">
      <c r="A73" s="102" t="s">
        <v>205</v>
      </c>
      <c r="B73" s="77">
        <v>692</v>
      </c>
      <c r="C73" s="77" t="s">
        <v>217</v>
      </c>
      <c r="D73" s="78">
        <v>7485</v>
      </c>
      <c r="E73" s="79" t="s">
        <v>199</v>
      </c>
      <c r="F73" s="80" t="str">
        <f>IF(E73&lt;&gt;"",VLOOKUP(E73,CODE!$B$2:$C$11,2,0),"")</f>
        <v>CHINA BANK - SAVINGS</v>
      </c>
      <c r="G73" s="81">
        <v>43026</v>
      </c>
      <c r="H73" s="82" t="str">
        <f>IF(G73&lt;&gt;"",VLOOKUP(G73,COA!$A$3:$G$1048576,2,0),"")</f>
        <v>Service Income</v>
      </c>
      <c r="I73" s="88" t="s">
        <v>78</v>
      </c>
      <c r="J73" s="84" t="str">
        <f>IF(I73&lt;&gt;"",VLOOKUP(I73,'CUSTOMER LISTS'!$B$3:$E$1048576,2,0),"")</f>
        <v>MUTIA RANGERS FUEL RETAILING</v>
      </c>
      <c r="K73" s="76" t="str">
        <f>IF(I73&lt;&gt;"",VLOOKUP(I73,'CUSTOMER LISTS'!$B$3:$E$1048576,3,0),"")</f>
        <v>JULIE ANN CONING MUTIA</v>
      </c>
      <c r="L73" s="76" t="str">
        <f>IF(I73&lt;&gt;"",VLOOKUP(I73,'CUSTOMER LISTS'!$B$3:$E$1048576,4,0),"")</f>
        <v>BRGY. DOLIPOS, BAJO, OROQUIETA CITY</v>
      </c>
      <c r="M73" s="79">
        <v>761</v>
      </c>
      <c r="N73" s="85" t="str">
        <f>IF(M73&lt;&gt;"",VLOOKUP(M73,'PRODUCT &amp; SERVICES'!$O:$P,2,0),"")</f>
        <v>Others ( Pls. Specify )</v>
      </c>
      <c r="O73" s="86"/>
      <c r="P73" s="84"/>
      <c r="Q73" s="76" t="s">
        <v>201</v>
      </c>
      <c r="R73" s="77" t="s">
        <v>29</v>
      </c>
      <c r="S73" s="76"/>
      <c r="T73" s="314"/>
      <c r="U73" s="110" t="s">
        <v>205</v>
      </c>
    </row>
    <row r="74" spans="1:21" s="87" customFormat="1" ht="15" customHeight="1">
      <c r="A74" s="102" t="s">
        <v>205</v>
      </c>
      <c r="B74" s="77">
        <v>693</v>
      </c>
      <c r="C74" s="77" t="s">
        <v>218</v>
      </c>
      <c r="D74" s="78">
        <v>7485</v>
      </c>
      <c r="E74" s="79" t="s">
        <v>199</v>
      </c>
      <c r="F74" s="80" t="str">
        <f>IF(E74&lt;&gt;"",VLOOKUP(E74,CODE!$B$2:$C$11,2,0),"")</f>
        <v>CHINA BANK - SAVINGS</v>
      </c>
      <c r="G74" s="81">
        <v>43026</v>
      </c>
      <c r="H74" s="82" t="str">
        <f>IF(G74&lt;&gt;"",VLOOKUP(G74,COA!$A$3:$G$1048576,2,0),"")</f>
        <v>Service Income</v>
      </c>
      <c r="I74" s="88" t="s">
        <v>219</v>
      </c>
      <c r="J74" s="84" t="str">
        <f>IF(I74&lt;&gt;"",VLOOKUP(I74,'CUSTOMER LISTS'!$B$3:$E$1048576,2,0),"")</f>
        <v>GUNIX GAS STATION</v>
      </c>
      <c r="K74" s="76" t="str">
        <f>IF(I74&lt;&gt;"",VLOOKUP(I74,'CUSTOMER LISTS'!$B$3:$E$1048576,3,0),"")</f>
        <v>SEM UDTOHAN PANGASIAN</v>
      </c>
      <c r="L74" s="76" t="str">
        <f>IF(I74&lt;&gt;"",VLOOKUP(I74,'CUSTOMER LISTS'!$B$3:$E$1048576,4,0),"")</f>
        <v>BRGY. MARALAG, DUMINGAG, ZAMBOANGA DEL SUR</v>
      </c>
      <c r="M74" s="79">
        <v>761</v>
      </c>
      <c r="N74" s="85" t="str">
        <f>IF(M74&lt;&gt;"",VLOOKUP(M74,'PRODUCT &amp; SERVICES'!$O:$P,2,0),"")</f>
        <v>Others ( Pls. Specify )</v>
      </c>
      <c r="O74" s="86"/>
      <c r="P74" s="84"/>
      <c r="Q74" s="76" t="s">
        <v>201</v>
      </c>
      <c r="R74" s="77" t="s">
        <v>29</v>
      </c>
      <c r="S74" s="76"/>
      <c r="T74" s="314"/>
      <c r="U74" s="110" t="s">
        <v>205</v>
      </c>
    </row>
    <row r="75" spans="1:21" s="87" customFormat="1" ht="15" customHeight="1">
      <c r="A75" s="102" t="s">
        <v>205</v>
      </c>
      <c r="B75" s="77">
        <v>694</v>
      </c>
      <c r="C75" s="77" t="s">
        <v>220</v>
      </c>
      <c r="D75" s="78">
        <v>7485</v>
      </c>
      <c r="E75" s="79" t="s">
        <v>199</v>
      </c>
      <c r="F75" s="80" t="str">
        <f>IF(E75&lt;&gt;"",VLOOKUP(E75,CODE!$B$2:$C$11,2,0),"")</f>
        <v>CHINA BANK - SAVINGS</v>
      </c>
      <c r="G75" s="81">
        <v>43026</v>
      </c>
      <c r="H75" s="82" t="str">
        <f>IF(G75&lt;&gt;"",VLOOKUP(G75,COA!$A$3:$G$1048576,2,0),"")</f>
        <v>Service Income</v>
      </c>
      <c r="I75" s="83" t="s">
        <v>221</v>
      </c>
      <c r="J75" s="84" t="str">
        <f>IF(I75&lt;&gt;"",VLOOKUP(I75,'CUSTOMER LISTS'!$B$3:$E$1048576,2,0),"")</f>
        <v>JMS FUEL REFILLING STATION</v>
      </c>
      <c r="K75" s="76" t="str">
        <f>IF(I75&lt;&gt;"",VLOOKUP(I75,'CUSTOMER LISTS'!$B$3:$E$1048576,3,0),"")</f>
        <v>JESSA CAMAC ACAYLAR</v>
      </c>
      <c r="L75" s="76" t="str">
        <f>IF(I75&lt;&gt;"",VLOOKUP(I75,'CUSTOMER LISTS'!$B$3:$E$1048576,4,0),"")</f>
        <v>BRGY. SAN ANTONIO, TITAY, ZAMBOANGA SIBUGAY</v>
      </c>
      <c r="M75" s="79">
        <v>761</v>
      </c>
      <c r="N75" s="85" t="str">
        <f>IF(M75&lt;&gt;"",VLOOKUP(M75,'PRODUCT &amp; SERVICES'!$O:$P,2,0),"")</f>
        <v>Others ( Pls. Specify )</v>
      </c>
      <c r="O75" s="86"/>
      <c r="P75" s="84"/>
      <c r="Q75" s="76" t="s">
        <v>201</v>
      </c>
      <c r="R75" s="77" t="s">
        <v>29</v>
      </c>
      <c r="S75" s="76"/>
      <c r="T75" s="314"/>
      <c r="U75" s="110" t="s">
        <v>205</v>
      </c>
    </row>
    <row r="76" spans="1:21" s="133" customFormat="1" ht="15" customHeight="1">
      <c r="A76" s="134" t="s">
        <v>222</v>
      </c>
      <c r="B76" s="119">
        <v>695</v>
      </c>
      <c r="C76" s="119" t="s">
        <v>223</v>
      </c>
      <c r="D76" s="120">
        <v>150000</v>
      </c>
      <c r="E76" s="121" t="s">
        <v>48</v>
      </c>
      <c r="F76" s="122" t="str">
        <f>IF(E76&lt;&gt;"",VLOOKUP(E76,CODE!$B$2:$C$11,2,0),"")</f>
        <v>EASTWEST-CHECKING</v>
      </c>
      <c r="G76" s="123">
        <v>21000</v>
      </c>
      <c r="H76" s="124" t="str">
        <f>IF(G76&lt;&gt;"",VLOOKUP(G76,COA!$A$3:$G$1048576,2,0),"")</f>
        <v>Unearned Revenue - DHPP</v>
      </c>
      <c r="I76" s="125" t="s">
        <v>224</v>
      </c>
      <c r="J76" s="126" t="str">
        <f>IF(I76&lt;&gt;"",VLOOKUP(I76,'CUSTOMER LISTS'!$B$3:$E$1048576,2,0),"")</f>
        <v>JRM FUEL REFILLING STATION</v>
      </c>
      <c r="K76" s="127" t="str">
        <f>IF(I76&lt;&gt;"",VLOOKUP(I76,'CUSTOMER LISTS'!$B$3:$E$1048576,3,0),"")</f>
        <v>MELVA MACAPAZ NICOLAS</v>
      </c>
      <c r="L76" s="127" t="str">
        <f>IF(I76&lt;&gt;"",VLOOKUP(I76,'CUSTOMER LISTS'!$B$3:$E$1048576,4,0),"")</f>
        <v>BRGY. TAMIL, JOSE DALMAN, ZAMBOANGA DEL NORTE</v>
      </c>
      <c r="M76" s="121">
        <v>761</v>
      </c>
      <c r="N76" s="128" t="str">
        <f>IF(M76&lt;&gt;"",VLOOKUP(M76,'PRODUCT &amp; SERVICES'!$O:$P,2,0),"")</f>
        <v>Others ( Pls. Specify )</v>
      </c>
      <c r="O76" s="129"/>
      <c r="P76" s="126"/>
      <c r="Q76" s="127" t="s">
        <v>225</v>
      </c>
      <c r="R76" s="119" t="s">
        <v>29</v>
      </c>
      <c r="S76" s="127"/>
      <c r="T76" s="315"/>
      <c r="U76" s="136"/>
    </row>
    <row r="77" spans="1:21" s="87" customFormat="1" ht="15" customHeight="1">
      <c r="A77" s="102" t="s">
        <v>205</v>
      </c>
      <c r="B77" s="77">
        <v>696</v>
      </c>
      <c r="C77" s="77" t="s">
        <v>226</v>
      </c>
      <c r="D77" s="78">
        <v>7485</v>
      </c>
      <c r="E77" s="79" t="s">
        <v>199</v>
      </c>
      <c r="F77" s="80" t="str">
        <f>IF(E77&lt;&gt;"",VLOOKUP(E77,CODE!$B$2:$C$11,2,0),"")</f>
        <v>CHINA BANK - SAVINGS</v>
      </c>
      <c r="G77" s="81">
        <v>43026</v>
      </c>
      <c r="H77" s="82" t="str">
        <f>IF(G77&lt;&gt;"",VLOOKUP(G77,COA!$A$3:$G$1048576,2,0),"")</f>
        <v>Service Income</v>
      </c>
      <c r="I77" s="88" t="s">
        <v>227</v>
      </c>
      <c r="J77" s="84" t="str">
        <f>IF(I77&lt;&gt;"",VLOOKUP(I77,'CUSTOMER LISTS'!$B$3:$E$1048576,2,0),"")</f>
        <v>GIAN'S FUEL STATION</v>
      </c>
      <c r="K77" s="76" t="str">
        <f>IF(I77&lt;&gt;"",VLOOKUP(I77,'CUSTOMER LISTS'!$B$3:$E$1048576,3,0),"")</f>
        <v>HELGREG LINGO TINNAE</v>
      </c>
      <c r="L77" s="76" t="str">
        <f>IF(I77&lt;&gt;"",VLOOKUP(I77,'CUSTOMER LISTS'!$B$3:$E$1048576,4,0),"")</f>
        <v>BRGY. NAPO, DAPITAN CITY, ZAMBONGA DEL NORTE</v>
      </c>
      <c r="M77" s="79">
        <v>761</v>
      </c>
      <c r="N77" s="85" t="str">
        <f>IF(M77&lt;&gt;"",VLOOKUP(M77,'PRODUCT &amp; SERVICES'!$O:$P,2,0),"")</f>
        <v>Others ( Pls. Specify )</v>
      </c>
      <c r="O77" s="86"/>
      <c r="P77" s="84"/>
      <c r="Q77" s="76" t="s">
        <v>201</v>
      </c>
      <c r="R77" s="77" t="s">
        <v>29</v>
      </c>
      <c r="S77" s="76"/>
      <c r="T77" s="314"/>
      <c r="U77" s="110" t="s">
        <v>205</v>
      </c>
    </row>
    <row r="78" spans="1:21" s="87" customFormat="1" ht="15" customHeight="1">
      <c r="A78" s="102" t="s">
        <v>228</v>
      </c>
      <c r="B78" s="77">
        <v>697</v>
      </c>
      <c r="C78" s="77" t="s">
        <v>229</v>
      </c>
      <c r="D78" s="78">
        <v>7485</v>
      </c>
      <c r="E78" s="79" t="s">
        <v>199</v>
      </c>
      <c r="F78" s="80" t="str">
        <f>IF(E78&lt;&gt;"",VLOOKUP(E78,CODE!$B$2:$C$11,2,0),"")</f>
        <v>CHINA BANK - SAVINGS</v>
      </c>
      <c r="G78" s="81">
        <v>43026</v>
      </c>
      <c r="H78" s="82" t="str">
        <f>IF(G78&lt;&gt;"",VLOOKUP(G78,COA!$A$3:$G$1048576,2,0),"")</f>
        <v>Service Income</v>
      </c>
      <c r="I78" s="88" t="s">
        <v>230</v>
      </c>
      <c r="J78" s="84" t="str">
        <f>IF(I78&lt;&gt;"",VLOOKUP(I78,'CUSTOMER LISTS'!$B$3:$E$1048576,2,0),"")</f>
        <v>RHOIE GAS STATION</v>
      </c>
      <c r="K78" s="76" t="str">
        <f>IF(I78&lt;&gt;"",VLOOKUP(I78,'CUSTOMER LISTS'!$B$3:$E$1048576,3,0),"")</f>
        <v>LEROY CAYASAN EGONIA</v>
      </c>
      <c r="L78" s="76" t="str">
        <f>IF(I78&lt;&gt;"",VLOOKUP(I78,'CUSTOMER LISTS'!$B$3:$E$1048576,4,0),"")</f>
        <v>BRGY. SAGASAN, SAN PABLO, ZAMBOANGA DEL SUR</v>
      </c>
      <c r="M78" s="79">
        <v>761</v>
      </c>
      <c r="N78" s="85" t="str">
        <f>IF(M78&lt;&gt;"",VLOOKUP(M78,'PRODUCT &amp; SERVICES'!$O:$P,2,0),"")</f>
        <v>Others ( Pls. Specify )</v>
      </c>
      <c r="O78" s="86"/>
      <c r="P78" s="84"/>
      <c r="Q78" s="76" t="s">
        <v>201</v>
      </c>
      <c r="R78" s="77" t="s">
        <v>29</v>
      </c>
      <c r="S78" s="76"/>
      <c r="T78" s="314"/>
      <c r="U78" s="110" t="s">
        <v>205</v>
      </c>
    </row>
    <row r="79" spans="1:21" s="87" customFormat="1" ht="15" customHeight="1">
      <c r="A79" s="102" t="s">
        <v>231</v>
      </c>
      <c r="B79" s="77">
        <v>698</v>
      </c>
      <c r="C79" s="77" t="s">
        <v>232</v>
      </c>
      <c r="D79" s="78">
        <v>1400</v>
      </c>
      <c r="E79" s="79" t="s">
        <v>31</v>
      </c>
      <c r="F79" s="80" t="str">
        <f>IF(E79&lt;&gt;"",VLOOKUP(E79,CODE!$B$2:$C$11,2,0),"")</f>
        <v>PSBC- SAVINGS</v>
      </c>
      <c r="G79" s="81">
        <v>21016</v>
      </c>
      <c r="H79" s="82" t="str">
        <f>IF(G79&lt;&gt;"",VLOOKUP(G79,COA!$A$3:$G$1048576,2,0),"")</f>
        <v>Unearned Revenue - OPS</v>
      </c>
      <c r="I79" s="88" t="s">
        <v>125</v>
      </c>
      <c r="J79" s="84" t="str">
        <f>IF(I79&lt;&gt;"",VLOOKUP(I79,'CUSTOMER LISTS'!$B$3:$E$1048576,2,0),"")</f>
        <v>CALAMBA FUEL REFILLING STATION</v>
      </c>
      <c r="K79" s="76" t="str">
        <f>IF(I79&lt;&gt;"",VLOOKUP(I79,'CUSTOMER LISTS'!$B$3:$E$1048576,3,0),"")</f>
        <v>RONAN CASTILLON</v>
      </c>
      <c r="L79" s="76" t="str">
        <f>IF(I79&lt;&gt;"",VLOOKUP(I79,'CUSTOMER LISTS'!$B$3:$E$1048576,4,0),"")</f>
        <v>BRGY. MAGCAMIGUING, CALAMBA, ZAMBOANGA DEL NORTE</v>
      </c>
      <c r="M79" s="79">
        <v>761</v>
      </c>
      <c r="N79" s="85" t="str">
        <f>IF(M79&lt;&gt;"",VLOOKUP(M79,'PRODUCT &amp; SERVICES'!$O:$P,2,0),"")</f>
        <v>Others ( Pls. Specify )</v>
      </c>
      <c r="O79" s="225" t="s">
        <v>233</v>
      </c>
      <c r="P79" s="84"/>
      <c r="Q79" s="76" t="s">
        <v>35</v>
      </c>
      <c r="R79" s="77" t="s">
        <v>29</v>
      </c>
      <c r="S79" s="76" t="s">
        <v>234</v>
      </c>
      <c r="T79" s="314"/>
      <c r="U79" s="110" t="s">
        <v>205</v>
      </c>
    </row>
    <row r="80" spans="1:21" s="133" customFormat="1" ht="15" customHeight="1">
      <c r="A80" s="134" t="s">
        <v>231</v>
      </c>
      <c r="B80" s="119">
        <v>699</v>
      </c>
      <c r="C80" s="119" t="s">
        <v>235</v>
      </c>
      <c r="D80" s="120">
        <v>2500</v>
      </c>
      <c r="E80" s="121" t="s">
        <v>26</v>
      </c>
      <c r="F80" s="122" t="str">
        <f>IF(E80&lt;&gt;"",VLOOKUP(E80,CODE!$B$2:$C$11,2,0),"")</f>
        <v>RCBC -SAVINGS</v>
      </c>
      <c r="G80" s="123">
        <v>21016</v>
      </c>
      <c r="H80" s="124" t="str">
        <f>IF(G80&lt;&gt;"",VLOOKUP(G80,COA!$A$3:$G$1048576,2,0),"")</f>
        <v>Unearned Revenue - OPS</v>
      </c>
      <c r="I80" s="125" t="s">
        <v>236</v>
      </c>
      <c r="J80" s="126" t="str">
        <f>IF(I80&lt;&gt;"",VLOOKUP(I80,'CUSTOMER LISTS'!$B$3:$E$1048576,2,0),"")</f>
        <v xml:space="preserve">GAS DISTRIBUTION SERVICES D-BROTHERS GASOLINAHAN </v>
      </c>
      <c r="K80" s="127" t="str">
        <f>IF(I80&lt;&gt;"",VLOOKUP(I80,'CUSTOMER LISTS'!$B$3:$E$1048576,3,0),"")</f>
        <v>DEMOSTHENES SIARON CASTILLON SR.</v>
      </c>
      <c r="L80" s="127" t="str">
        <f>IF(I80&lt;&gt;"",VLOOKUP(I80,'CUSTOMER LISTS'!$B$3:$E$1048576,4,0),"")</f>
        <v>BRGY. SINUYAK, KATIPUNAN, ZAMBOANGA DEL NORTE</v>
      </c>
      <c r="M80" s="121">
        <v>2223</v>
      </c>
      <c r="N80" s="128" t="str">
        <f>IF(M80&lt;&gt;"",VLOOKUP(M80,'PRODUCT &amp; SERVICES'!$O:$P,2,0),"")</f>
        <v>Nozzle</v>
      </c>
      <c r="O80" s="138" t="s">
        <v>150</v>
      </c>
      <c r="P80" s="126"/>
      <c r="Q80" s="127" t="s">
        <v>237</v>
      </c>
      <c r="R80" s="119" t="s">
        <v>29</v>
      </c>
      <c r="S80" s="127" t="s">
        <v>238</v>
      </c>
      <c r="T80" s="325" t="s">
        <v>231</v>
      </c>
      <c r="U80" s="119"/>
    </row>
    <row r="81" spans="1:21" s="87" customFormat="1" ht="15" customHeight="1">
      <c r="A81" s="102" t="s">
        <v>231</v>
      </c>
      <c r="B81" s="77">
        <v>699</v>
      </c>
      <c r="C81" s="77" t="s">
        <v>235</v>
      </c>
      <c r="D81" s="78">
        <v>1500</v>
      </c>
      <c r="E81" s="79" t="s">
        <v>26</v>
      </c>
      <c r="F81" s="80" t="str">
        <f>IF(E81&lt;&gt;"",VLOOKUP(E81,CODE!$B$2:$C$11,2,0),"")</f>
        <v>RCBC -SAVINGS</v>
      </c>
      <c r="G81" s="81">
        <v>43016</v>
      </c>
      <c r="H81" s="82" t="str">
        <f>IF(G81&lt;&gt;"",VLOOKUP(G81,COA!$A$3:$G$1048576,2,0),"")</f>
        <v>Job Orders</v>
      </c>
      <c r="I81" s="88" t="s">
        <v>236</v>
      </c>
      <c r="J81" s="84" t="str">
        <f>IF(I81&lt;&gt;"",VLOOKUP(I81,'CUSTOMER LISTS'!$B$3:$E$1048576,2,0),"")</f>
        <v xml:space="preserve">GAS DISTRIBUTION SERVICES D-BROTHERS GASOLINAHAN </v>
      </c>
      <c r="K81" s="76"/>
      <c r="L81" s="76" t="str">
        <f>IF(I81&lt;&gt;"",VLOOKUP(I81,'CUSTOMER LISTS'!$B$3:$E$1048576,4,0),"")</f>
        <v>BRGY. SINUYAK, KATIPUNAN, ZAMBOANGA DEL NORTE</v>
      </c>
      <c r="M81" s="79">
        <v>721</v>
      </c>
      <c r="N81" s="85" t="str">
        <f>IF(M81&lt;&gt;"",VLOOKUP(M81,'PRODUCT &amp; SERVICES'!$O:$P,2,0),"")</f>
        <v>Job Order</v>
      </c>
      <c r="O81" s="86"/>
      <c r="P81" s="84"/>
      <c r="Q81" s="76" t="s">
        <v>239</v>
      </c>
      <c r="R81" s="77" t="s">
        <v>29</v>
      </c>
      <c r="S81" s="76"/>
      <c r="T81" s="314"/>
      <c r="U81" s="110" t="s">
        <v>231</v>
      </c>
    </row>
    <row r="82" spans="1:21" s="87" customFormat="1" ht="15" customHeight="1">
      <c r="A82" s="102" t="s">
        <v>240</v>
      </c>
      <c r="B82" s="77">
        <v>700</v>
      </c>
      <c r="C82" s="77" t="s">
        <v>241</v>
      </c>
      <c r="D82" s="78">
        <v>9445</v>
      </c>
      <c r="E82" s="79" t="s">
        <v>199</v>
      </c>
      <c r="F82" s="80" t="str">
        <f>IF(E82&lt;&gt;"",VLOOKUP(E82,CODE!$B$2:$C$11,2,0),"")</f>
        <v>CHINA BANK - SAVINGS</v>
      </c>
      <c r="G82" s="81">
        <v>43026</v>
      </c>
      <c r="H82" s="82" t="str">
        <f>IF(G82&lt;&gt;"",VLOOKUP(G82,COA!$A$3:$G$1048576,2,0),"")</f>
        <v>Service Income</v>
      </c>
      <c r="I82" s="88" t="s">
        <v>242</v>
      </c>
      <c r="J82" s="84" t="str">
        <f>IF(I82&lt;&gt;"",VLOOKUP(I82,'CUSTOMER LISTS'!$B$3:$E$1048576,2,0),"")</f>
        <v>JANUAORYZA MICRO GAS STATION</v>
      </c>
      <c r="K82" s="76" t="str">
        <f>IF(I82&lt;&gt;"",VLOOKUP(I82,'CUSTOMER LISTS'!$B$3:$E$1048576,3,0),"")</f>
        <v>RUFINO ANDUS MUKOD</v>
      </c>
      <c r="L82" s="76" t="str">
        <f>IF(I82&lt;&gt;"",VLOOKUP(I82,'CUSTOMER LISTS'!$B$3:$E$1048576,4,0),"")</f>
        <v>BRGY. MANDIH, SINDANGAN, ZAMBOANGA DEL NORTE</v>
      </c>
      <c r="M82" s="79">
        <v>761</v>
      </c>
      <c r="N82" s="85" t="str">
        <f>IF(M82&lt;&gt;"",VLOOKUP(M82,'PRODUCT &amp; SERVICES'!$O:$P,2,0),"")</f>
        <v>Others ( Pls. Specify )</v>
      </c>
      <c r="O82" s="86"/>
      <c r="P82" s="84"/>
      <c r="Q82" s="76" t="s">
        <v>243</v>
      </c>
      <c r="R82" s="77" t="s">
        <v>29</v>
      </c>
      <c r="S82" s="76"/>
      <c r="T82" s="314"/>
      <c r="U82" s="110" t="s">
        <v>240</v>
      </c>
    </row>
    <row r="83" spans="1:21" s="133" customFormat="1" ht="15" customHeight="1">
      <c r="A83" s="134" t="s">
        <v>240</v>
      </c>
      <c r="B83" s="119">
        <v>701</v>
      </c>
      <c r="C83" s="119" t="s">
        <v>244</v>
      </c>
      <c r="D83" s="120">
        <v>5000</v>
      </c>
      <c r="E83" s="121" t="s">
        <v>44</v>
      </c>
      <c r="F83" s="122" t="str">
        <f>IF(E83&lt;&gt;"",VLOOKUP(E83,CODE!$B$2:$C$11,2,0),"")</f>
        <v>PNB - CHECKING</v>
      </c>
      <c r="G83" s="123">
        <v>15000</v>
      </c>
      <c r="H83" s="124" t="str">
        <f>IF(G83&lt;&gt;"",VLOOKUP(G83,COA!$A$3:$G$1048576,2,0),"")</f>
        <v>Due from STPC - DHPP</v>
      </c>
      <c r="I83" s="125" t="s">
        <v>245</v>
      </c>
      <c r="J83" s="126" t="s">
        <v>246</v>
      </c>
      <c r="K83" s="127" t="str">
        <f>IF(I83&lt;&gt;"",VLOOKUP(I83,'CUSTOMER LISTS'!$B$3:$E$1048576,3,0),"")</f>
        <v>TOM JERRY TIMBOL SAGARIO</v>
      </c>
      <c r="L83" s="127" t="str">
        <f>IF(I83&lt;&gt;"",VLOOKUP(I83,'CUSTOMER LISTS'!$B$3:$E$1048576,4,0),"")</f>
        <v>BRGY. SAN PEDRO, DAPITAN,  ZAMBOANGA DEL NORTE</v>
      </c>
      <c r="M83" s="121">
        <v>761</v>
      </c>
      <c r="N83" s="128" t="str">
        <f>IF(M83&lt;&gt;"",VLOOKUP(M83,'PRODUCT &amp; SERVICES'!$O:$P,2,0),"")</f>
        <v>Others ( Pls. Specify )</v>
      </c>
      <c r="O83" s="129"/>
      <c r="P83" s="126"/>
      <c r="Q83" s="127" t="s">
        <v>247</v>
      </c>
      <c r="R83" s="119" t="s">
        <v>248</v>
      </c>
      <c r="S83" s="127"/>
      <c r="T83" s="315"/>
      <c r="U83" s="119"/>
    </row>
    <row r="84" spans="1:21" s="87" customFormat="1" ht="15" customHeight="1">
      <c r="A84" s="184" t="s">
        <v>240</v>
      </c>
      <c r="B84" s="185">
        <v>702</v>
      </c>
      <c r="C84" s="185" t="s">
        <v>249</v>
      </c>
      <c r="D84" s="186">
        <v>9445</v>
      </c>
      <c r="E84" s="79" t="s">
        <v>199</v>
      </c>
      <c r="F84" s="187" t="str">
        <f>IF(E84&lt;&gt;"",VLOOKUP(E84,CODE!$B$2:$C$11,2,0),"")</f>
        <v>CHINA BANK - SAVINGS</v>
      </c>
      <c r="G84" s="81">
        <v>43026</v>
      </c>
      <c r="H84" s="188" t="str">
        <f>IF(G84&lt;&gt;"",VLOOKUP(G84,COA!$A$3:$G$1048576,2,0),"")</f>
        <v>Service Income</v>
      </c>
      <c r="I84" s="88" t="s">
        <v>250</v>
      </c>
      <c r="J84" s="189" t="str">
        <f>IF(I84&lt;&gt;"",VLOOKUP(I84,'CUSTOMER LISTS'!$B$3:$E$1048576,2,0),"")</f>
        <v>CHUCK GAS REFILLING STATION</v>
      </c>
      <c r="K84" s="76" t="str">
        <f>IF(I84&lt;&gt;"",VLOOKUP(I84,'CUSTOMER LISTS'!$B$3:$E$1048576,3,0),"")</f>
        <v>MAREBEL VILLACURA HICALDE</v>
      </c>
      <c r="L84" s="190" t="str">
        <f>IF(I84&lt;&gt;"",VLOOKUP(I84,'CUSTOMER LISTS'!$B$3:$E$1048576,4,0),"")</f>
        <v>BRGY. TIMAN, LILOY, ZAMBOANGA DEL NORTE</v>
      </c>
      <c r="M84" s="79">
        <v>761</v>
      </c>
      <c r="N84" s="191" t="str">
        <f>IF(M84&lt;&gt;"",VLOOKUP(M84,'PRODUCT &amp; SERVICES'!$O:$P,2,0),"")</f>
        <v>Others ( Pls. Specify )</v>
      </c>
      <c r="O84" s="86"/>
      <c r="P84" s="189"/>
      <c r="Q84" s="190" t="s">
        <v>201</v>
      </c>
      <c r="R84" s="185" t="s">
        <v>29</v>
      </c>
      <c r="S84" s="190"/>
      <c r="T84" s="326"/>
      <c r="U84" s="192" t="s">
        <v>240</v>
      </c>
    </row>
    <row r="85" spans="1:21" s="133" customFormat="1" ht="15" customHeight="1">
      <c r="A85" s="143" t="s">
        <v>251</v>
      </c>
      <c r="B85" s="144">
        <v>703</v>
      </c>
      <c r="C85" s="144" t="s">
        <v>252</v>
      </c>
      <c r="D85" s="145">
        <v>1400</v>
      </c>
      <c r="E85" s="144" t="s">
        <v>31</v>
      </c>
      <c r="F85" s="122" t="str">
        <f>IF(E85&lt;&gt;"",VLOOKUP(E85,CODE!$B$2:$C$11,2,0),"")</f>
        <v>PSBC- SAVINGS</v>
      </c>
      <c r="G85" s="144">
        <v>21016</v>
      </c>
      <c r="H85" s="146" t="str">
        <f>IF(G85&lt;&gt;"",VLOOKUP(G85,COA!$A$3:$G$1048576,2,0),"")</f>
        <v>Unearned Revenue - OPS</v>
      </c>
      <c r="I85" s="175" t="s">
        <v>253</v>
      </c>
      <c r="J85" s="148" t="str">
        <f>IF(I85&lt;&gt;"",VLOOKUP(I85,'CUSTOMER LISTS'!$B$3:$E$1048576,2,0),"")</f>
        <v>RAMAD FUEL REFILLING STATION</v>
      </c>
      <c r="K85" s="150" t="str">
        <f>IF(I85&lt;&gt;"",VLOOKUP(I85,'CUSTOMER LISTS'!$B$3:$E$1048576,3,0),"")</f>
        <v>RAMIL QUIGUING ADANTE</v>
      </c>
      <c r="L85" s="148" t="str">
        <f>IF(I85&lt;&gt;"",VLOOKUP(I85,'CUSTOMER LISTS'!$B$3:$E$1048576,4,0),"")</f>
        <v>BRGY. DAMPALAN, DAPITAN CITY, ZAMBOANGA DEL NORTE</v>
      </c>
      <c r="M85" s="144">
        <v>761</v>
      </c>
      <c r="N85" s="148" t="str">
        <f>IF(M85&lt;&gt;"",VLOOKUP(M85,'PRODUCT &amp; SERVICES'!$O:$P,2,0),"")</f>
        <v>Others ( Pls. Specify )</v>
      </c>
      <c r="O85" s="226" t="s">
        <v>150</v>
      </c>
      <c r="P85" s="148"/>
      <c r="Q85" s="148" t="s">
        <v>35</v>
      </c>
      <c r="R85" s="144" t="s">
        <v>29</v>
      </c>
      <c r="S85" s="148" t="s">
        <v>254</v>
      </c>
      <c r="T85" s="327"/>
      <c r="U85" s="144"/>
    </row>
    <row r="86" spans="1:21" s="133" customFormat="1" ht="15" customHeight="1">
      <c r="A86" s="160" t="s">
        <v>251</v>
      </c>
      <c r="B86" s="161">
        <v>704</v>
      </c>
      <c r="C86" s="161" t="s">
        <v>255</v>
      </c>
      <c r="D86" s="162">
        <v>2500</v>
      </c>
      <c r="E86" s="121" t="s">
        <v>31</v>
      </c>
      <c r="F86" s="163" t="str">
        <f>IF(E86&lt;&gt;"",VLOOKUP(E86,CODE!$B$2:$C$11,2,0),"")</f>
        <v>PSBC- SAVINGS</v>
      </c>
      <c r="G86" s="123">
        <v>21016</v>
      </c>
      <c r="H86" s="164" t="str">
        <f>IF(G86&lt;&gt;"",VLOOKUP(G86,COA!$A$3:$G$1048576,2,0),"")</f>
        <v>Unearned Revenue - OPS</v>
      </c>
      <c r="I86" s="125" t="s">
        <v>256</v>
      </c>
      <c r="J86" s="165" t="str">
        <f>IF(I86&lt;&gt;"",VLOOKUP(I86,'CUSTOMER LISTS'!$B$3:$E$1048576,2,0),"")</f>
        <v>MARCUS FUEL STATION</v>
      </c>
      <c r="K86" s="127" t="str">
        <f>IF(I86&lt;&gt;"",VLOOKUP(I86,'CUSTOMER LISTS'!$B$3:$E$1048576,3,0),"")</f>
        <v>MARICRIS FE MAGHINAY ARANDID</v>
      </c>
      <c r="L86" s="166" t="str">
        <f>IF(I86&lt;&gt;"",VLOOKUP(I86,'CUSTOMER LISTS'!$B$3:$E$1048576,4,0),"")</f>
        <v>BRGY. BATO, PLARIDEL, MISAMIS OCCIDENTAL</v>
      </c>
      <c r="M86" s="121">
        <v>761</v>
      </c>
      <c r="N86" s="167" t="str">
        <f>IF(M86&lt;&gt;"",VLOOKUP(M86,'PRODUCT &amp; SERVICES'!$O:$P,2,0),"")</f>
        <v>Others ( Pls. Specify )</v>
      </c>
      <c r="O86" s="129" t="s">
        <v>150</v>
      </c>
      <c r="P86" s="165"/>
      <c r="Q86" s="166" t="s">
        <v>257</v>
      </c>
      <c r="R86" s="161" t="s">
        <v>29</v>
      </c>
      <c r="S86" s="161" t="s">
        <v>258</v>
      </c>
      <c r="T86" s="380">
        <v>46155</v>
      </c>
      <c r="U86" s="161"/>
    </row>
    <row r="87" spans="1:21" s="87" customFormat="1" ht="15" customHeight="1">
      <c r="A87" s="102" t="s">
        <v>251</v>
      </c>
      <c r="B87" s="77">
        <v>705</v>
      </c>
      <c r="C87" s="77" t="s">
        <v>259</v>
      </c>
      <c r="D87" s="78">
        <v>165000</v>
      </c>
      <c r="E87" s="79" t="s">
        <v>51</v>
      </c>
      <c r="F87" s="80" t="str">
        <f>IF(E87&lt;&gt;"",VLOOKUP(E87,CODE!$B$2:$C$11,2,0),"")</f>
        <v>METROBANK-CHECKING</v>
      </c>
      <c r="G87" s="81">
        <v>25500</v>
      </c>
      <c r="H87" s="82" t="str">
        <f>IF(G87&lt;&gt;"",VLOOKUP(G87,COA!$A$3:$G$1048576,2,0),"")</f>
        <v>Other Payables_Current - DHPP</v>
      </c>
      <c r="I87" s="88" t="s">
        <v>56</v>
      </c>
      <c r="J87" s="116" t="str">
        <f>IF(I87&lt;&gt;"",VLOOKUP(I87,'CUSTOMER LISTS'!$B$3:$E$1048576,2,0),"")</f>
        <v>SEVEN-TRENT PETROLEUM CORP.</v>
      </c>
      <c r="K87" s="76" t="str">
        <f>IF(I87&lt;&gt;"",VLOOKUP(I87,'CUSTOMER LISTS'!$B$3:$E$1048576,3,0),"")</f>
        <v>SEVEN-TRENT PETROLEUM CORP.</v>
      </c>
      <c r="L87" s="76" t="str">
        <f>IF(I87&lt;&gt;"",VLOOKUP(I87,'CUSTOMER LISTS'!$B$3:$E$1048576,4,0),"")</f>
        <v>BRGY. SAN PEDRO, DAPITAN,  ZAMBOANGA DEL NORTE</v>
      </c>
      <c r="M87" s="79">
        <v>761</v>
      </c>
      <c r="N87" s="85" t="str">
        <f>IF(M87&lt;&gt;"",VLOOKUP(M87,'PRODUCT &amp; SERVICES'!$O:$P,2,0),"")</f>
        <v>Others ( Pls. Specify )</v>
      </c>
      <c r="O87" s="86"/>
      <c r="P87" s="84"/>
      <c r="Q87" s="76" t="s">
        <v>114</v>
      </c>
      <c r="R87" s="77" t="s">
        <v>248</v>
      </c>
      <c r="S87" s="77" t="s">
        <v>30</v>
      </c>
      <c r="T87" s="314" t="s">
        <v>30</v>
      </c>
      <c r="U87" s="77" t="s">
        <v>30</v>
      </c>
    </row>
    <row r="88" spans="1:21" s="87" customFormat="1" ht="15" customHeight="1">
      <c r="A88" s="102" t="s">
        <v>251</v>
      </c>
      <c r="B88" s="77">
        <v>706</v>
      </c>
      <c r="C88" s="77" t="s">
        <v>260</v>
      </c>
      <c r="D88" s="78">
        <v>7485</v>
      </c>
      <c r="E88" s="79" t="s">
        <v>199</v>
      </c>
      <c r="F88" s="80" t="str">
        <f>IF(E88&lt;&gt;"",VLOOKUP(E88,CODE!$B$2:$C$11,2,0),"")</f>
        <v>CHINA BANK - SAVINGS</v>
      </c>
      <c r="G88" s="81">
        <v>43026</v>
      </c>
      <c r="H88" s="82" t="str">
        <f>IF(G88&lt;&gt;"",VLOOKUP(G88,COA!$A$3:$G$1048576,2,0),"")</f>
        <v>Service Income</v>
      </c>
      <c r="I88" s="88" t="s">
        <v>261</v>
      </c>
      <c r="J88" s="116" t="str">
        <f>IF(I88&lt;&gt;"",VLOOKUP(I88,'CUSTOMER LISTS'!$B$3:$E$1048576,2,0),"")</f>
        <v>ZAHRA'S GAS REFILLING STATION</v>
      </c>
      <c r="K88" s="76" t="str">
        <f>IF(I88&lt;&gt;"",VLOOKUP(I88,'CUSTOMER LISTS'!$B$3:$E$1048576,3,0),"")</f>
        <v>ZAHRA KATE MENDIOLA</v>
      </c>
      <c r="L88" s="76" t="str">
        <f>IF(I88&lt;&gt;"",VLOOKUP(I88,'CUSTOMER LISTS'!$B$3:$E$1048576,4,0),"")</f>
        <v>BRGY. POBLACION, LAPUYAN, ZAMBOANGA DEL SUR</v>
      </c>
      <c r="M88" s="79">
        <v>761</v>
      </c>
      <c r="N88" s="85" t="str">
        <f>IF(M88&lt;&gt;"",VLOOKUP(M88,'PRODUCT &amp; SERVICES'!$O:$P,2,0),"")</f>
        <v>Others ( Pls. Specify )</v>
      </c>
      <c r="O88" s="86"/>
      <c r="P88" s="84"/>
      <c r="Q88" s="76" t="s">
        <v>201</v>
      </c>
      <c r="R88" s="77" t="s">
        <v>29</v>
      </c>
      <c r="S88" s="77"/>
      <c r="T88" s="314"/>
      <c r="U88" s="110" t="s">
        <v>251</v>
      </c>
    </row>
    <row r="89" spans="1:21" s="133" customFormat="1" ht="15" customHeight="1">
      <c r="A89" s="151" t="s">
        <v>262</v>
      </c>
      <c r="B89" s="152">
        <v>707</v>
      </c>
      <c r="C89" s="152" t="s">
        <v>263</v>
      </c>
      <c r="D89" s="153">
        <v>1200</v>
      </c>
      <c r="E89" s="121" t="s">
        <v>48</v>
      </c>
      <c r="F89" s="154" t="str">
        <f>IF(E89&lt;&gt;"",VLOOKUP(E89,CODE!$B$2:$C$11,2,0),"")</f>
        <v>EASTWEST-CHECKING</v>
      </c>
      <c r="G89" s="123">
        <v>21023</v>
      </c>
      <c r="H89" s="155" t="str">
        <f>IF(G89&lt;&gt;"",VLOOKUP(G89,COA!$A$3:$G$1048576,2,0),"")</f>
        <v>Unearned Revenue - DMIE</v>
      </c>
      <c r="I89" s="137" t="s">
        <v>195</v>
      </c>
      <c r="J89" s="156" t="str">
        <f>IF(I89&lt;&gt;"",VLOOKUP(I89,'CUSTOMER LISTS'!$B$3:$E$1048576,2,0),"")</f>
        <v>KJ FUEL REFILLING STATION</v>
      </c>
      <c r="K89" s="127" t="str">
        <f>IF(I89&lt;&gt;"",VLOOKUP(I89,'CUSTOMER LISTS'!$B$3:$E$1048576,3,0),"")</f>
        <v>MARCOS MABANSAG ARAGON</v>
      </c>
      <c r="L89" s="157" t="str">
        <f>IF(I89&lt;&gt;"",VLOOKUP(I89,'CUSTOMER LISTS'!$B$3:$E$1048576,4,0),"")</f>
        <v>BRGY. PALANDOK, LEON POSTIGO, ZAMBOANGA DEL NORTE</v>
      </c>
      <c r="M89" s="121">
        <v>311</v>
      </c>
      <c r="N89" s="158" t="str">
        <f>IF(M89&lt;&gt;"",VLOOKUP(M89,'PRODUCT &amp; SERVICES'!$O:$P,2,0),"")</f>
        <v>Fuel Filter</v>
      </c>
      <c r="O89" s="129" t="s">
        <v>150</v>
      </c>
      <c r="P89" s="156"/>
      <c r="Q89" s="157" t="s">
        <v>41</v>
      </c>
      <c r="R89" s="159" t="s">
        <v>122</v>
      </c>
      <c r="S89" s="159" t="s">
        <v>264</v>
      </c>
      <c r="T89" s="316">
        <v>46157</v>
      </c>
      <c r="U89" s="159"/>
    </row>
    <row r="90" spans="1:21" s="133" customFormat="1" ht="15" customHeight="1">
      <c r="A90" s="193" t="s">
        <v>262</v>
      </c>
      <c r="B90" s="194">
        <v>708</v>
      </c>
      <c r="C90" s="194" t="s">
        <v>265</v>
      </c>
      <c r="D90" s="195">
        <v>990</v>
      </c>
      <c r="E90" s="194" t="s">
        <v>31</v>
      </c>
      <c r="F90" s="154" t="str">
        <f>IF(E90&lt;&gt;"",VLOOKUP(E90,CODE!$B$2:$C$11,2,0),"")</f>
        <v>PSBC- SAVINGS</v>
      </c>
      <c r="G90" s="194">
        <v>21016</v>
      </c>
      <c r="H90" s="196" t="str">
        <f>IF(G90&lt;&gt;"",VLOOKUP(G90,COA!$A$3:$G$1048576,2,0),"")</f>
        <v>Unearned Revenue - OPS</v>
      </c>
      <c r="I90" s="197" t="s">
        <v>195</v>
      </c>
      <c r="J90" s="198" t="str">
        <f>IF(I90&lt;&gt;"",VLOOKUP(I90,'CUSTOMER LISTS'!$B$3:$E$1048576,2,0),"")</f>
        <v>KJ FUEL REFILLING STATION</v>
      </c>
      <c r="K90" s="150" t="str">
        <f>IF(I90&lt;&gt;"",VLOOKUP(I90,'CUSTOMER LISTS'!$B$3:$E$1048576,3,0),"")</f>
        <v>MARCOS MABANSAG ARAGON</v>
      </c>
      <c r="L90" s="198" t="str">
        <f>IF(I90&lt;&gt;"",VLOOKUP(I90,'CUSTOMER LISTS'!$B$3:$E$1048576,4,0),"")</f>
        <v>BRGY. PALANDOK, LEON POSTIGO, ZAMBOANGA DEL NORTE</v>
      </c>
      <c r="M90" s="194">
        <v>761</v>
      </c>
      <c r="N90" s="198" t="str">
        <f>IF(M90&lt;&gt;"",VLOOKUP(M90,'PRODUCT &amp; SERVICES'!$O:$P,2,0),"")</f>
        <v>Others ( Pls. Specify )</v>
      </c>
      <c r="O90" s="198" t="s">
        <v>150</v>
      </c>
      <c r="P90" s="198"/>
      <c r="Q90" s="198" t="s">
        <v>266</v>
      </c>
      <c r="R90" s="199" t="s">
        <v>29</v>
      </c>
      <c r="S90" s="199" t="s">
        <v>267</v>
      </c>
      <c r="T90" s="317">
        <v>46157</v>
      </c>
      <c r="U90" s="199"/>
    </row>
    <row r="91" spans="1:21" s="133" customFormat="1" ht="15" customHeight="1">
      <c r="A91" s="143" t="s">
        <v>262</v>
      </c>
      <c r="B91" s="144">
        <v>709</v>
      </c>
      <c r="C91" s="144" t="s">
        <v>268</v>
      </c>
      <c r="D91" s="145">
        <v>1400</v>
      </c>
      <c r="E91" s="144" t="s">
        <v>31</v>
      </c>
      <c r="F91" s="122" t="str">
        <f>IF(E91&lt;&gt;"",VLOOKUP(E91,CODE!$B$2:$C$11,2,0),"")</f>
        <v>PSBC- SAVINGS</v>
      </c>
      <c r="G91" s="144">
        <v>21016</v>
      </c>
      <c r="H91" s="146" t="str">
        <f>IF(G91&lt;&gt;"",VLOOKUP(G91,COA!$A$3:$G$1048576,2,0),"")</f>
        <v>Unearned Revenue - OPS</v>
      </c>
      <c r="I91" s="147" t="s">
        <v>269</v>
      </c>
      <c r="J91" s="148" t="str">
        <f>IF(I91&lt;&gt;"",VLOOKUP(I91,'CUSTOMER LISTS'!$B$3:$E$1048576,2,0),"")</f>
        <v>R &amp; R FUEL STATION</v>
      </c>
      <c r="K91" s="150" t="str">
        <f>IF(I91&lt;&gt;"",VLOOKUP(I91,'CUSTOMER LISTS'!$B$3:$E$1048576,3,0),"")</f>
        <v>RUBEN SARAJENA YURONG JR.</v>
      </c>
      <c r="L91" s="148" t="str">
        <f>IF(I91&lt;&gt;"",VLOOKUP(I91,'CUSTOMER LISTS'!$B$3:$E$1048576,4,0),"")</f>
        <v>BRGY. SUGUILON, SIAYAN, ZAMBOANGA DEL NORTE</v>
      </c>
      <c r="M91" s="144">
        <v>761</v>
      </c>
      <c r="N91" s="148" t="str">
        <f>IF(M91&lt;&gt;"",VLOOKUP(M91,'PRODUCT &amp; SERVICES'!$O:$P,2,0),"")</f>
        <v>Others ( Pls. Specify )</v>
      </c>
      <c r="O91" s="226" t="s">
        <v>150</v>
      </c>
      <c r="P91" s="148"/>
      <c r="Q91" s="148" t="s">
        <v>35</v>
      </c>
      <c r="R91" s="149" t="s">
        <v>29</v>
      </c>
      <c r="S91" s="148"/>
      <c r="T91" s="327"/>
      <c r="U91" s="144"/>
    </row>
    <row r="92" spans="1:21" s="87" customFormat="1" ht="15" customHeight="1">
      <c r="A92" s="209" t="s">
        <v>262</v>
      </c>
      <c r="B92" s="106">
        <v>710</v>
      </c>
      <c r="C92" s="106" t="s">
        <v>270</v>
      </c>
      <c r="D92" s="210">
        <v>7485</v>
      </c>
      <c r="E92" s="79" t="s">
        <v>199</v>
      </c>
      <c r="F92" s="211" t="str">
        <f>IF(E92&lt;&gt;"",VLOOKUP(E92,CODE!$B$2:$C$11,2,0),"")</f>
        <v>CHINA BANK - SAVINGS</v>
      </c>
      <c r="G92" s="81">
        <v>43026</v>
      </c>
      <c r="H92" s="212" t="str">
        <f>IF(G92&lt;&gt;"",VLOOKUP(G92,COA!$A$3:$G$1048576,2,0),"")</f>
        <v>Service Income</v>
      </c>
      <c r="I92" s="88" t="s">
        <v>212</v>
      </c>
      <c r="J92" s="213" t="str">
        <f>IF(I92&lt;&gt;"",VLOOKUP(I92,'CUSTOMER LISTS'!$B$3:$E$1048576,2,0),"")</f>
        <v>NONON'S FUEL STATION</v>
      </c>
      <c r="K92" s="76" t="str">
        <f>IF(I92&lt;&gt;"",VLOOKUP(I92,'CUSTOMER LISTS'!$B$3:$E$1048576,3,0),"")</f>
        <v>CRISAN SABIJON HERNANE</v>
      </c>
      <c r="L92" s="86" t="str">
        <f>IF(I92&lt;&gt;"",VLOOKUP(I92,'CUSTOMER LISTS'!$B$3:$E$1048576,4,0),"")</f>
        <v>BRGY. SAN VICENTE BAJO, OROQUIETA CITY, MISAMIS OCCIDENTAL</v>
      </c>
      <c r="M92" s="79">
        <v>761</v>
      </c>
      <c r="N92" s="214" t="str">
        <f>IF(M92&lt;&gt;"",VLOOKUP(M92,'PRODUCT &amp; SERVICES'!$O:$P,2,0),"")</f>
        <v>Others ( Pls. Specify )</v>
      </c>
      <c r="O92" s="86"/>
      <c r="P92" s="213"/>
      <c r="Q92" s="86" t="s">
        <v>271</v>
      </c>
      <c r="R92" s="106" t="s">
        <v>29</v>
      </c>
      <c r="S92" s="86"/>
      <c r="T92" s="328"/>
      <c r="U92" s="215" t="s">
        <v>262</v>
      </c>
    </row>
    <row r="93" spans="1:21" s="133" customFormat="1" ht="15" customHeight="1">
      <c r="A93" s="143" t="s">
        <v>262</v>
      </c>
      <c r="B93" s="144">
        <v>711</v>
      </c>
      <c r="C93" s="144" t="s">
        <v>272</v>
      </c>
      <c r="D93" s="145">
        <v>1400</v>
      </c>
      <c r="E93" s="144" t="s">
        <v>273</v>
      </c>
      <c r="F93" s="122" t="str">
        <f>IF(E93&lt;&gt;"",VLOOKUP(E93,CODE!$B$2:$C$11,2,0),"")</f>
        <v>BDO NETWORK - CHECKING</v>
      </c>
      <c r="G93" s="144">
        <v>21016</v>
      </c>
      <c r="H93" s="146" t="str">
        <f>IF(G93&lt;&gt;"",VLOOKUP(G93,COA!$A$3:$G$1048576,2,0),"")</f>
        <v>Unearned Revenue - OPS</v>
      </c>
      <c r="I93" s="175" t="s">
        <v>274</v>
      </c>
      <c r="J93" s="148" t="str">
        <f>IF(I93&lt;&gt;"",VLOOKUP(I93,'CUSTOMER LISTS'!$B$3:$E$1048576,2,0),"")</f>
        <v>B-PRO GASOLINE STATION</v>
      </c>
      <c r="K93" s="150" t="str">
        <f>IF(I93&lt;&gt;"",VLOOKUP(I93,'CUSTOMER LISTS'!$B$3:$E$1048576,3,0),"")</f>
        <v>DIVINE MAY SALAZAR BUSTILLOS</v>
      </c>
      <c r="L93" s="148" t="str">
        <f>IF(I93&lt;&gt;"",VLOOKUP(I93,'CUSTOMER LISTS'!$B$3:$E$1048576,4,0),"")</f>
        <v>BRGY. MALINTUBOAN, LABASON, ZAMBOANGA DEL NORTE</v>
      </c>
      <c r="M93" s="144">
        <v>761</v>
      </c>
      <c r="N93" s="148" t="str">
        <f>IF(M93&lt;&gt;"",VLOOKUP(M93,'PRODUCT &amp; SERVICES'!$O:$P,2,0),"")</f>
        <v>Others ( Pls. Specify )</v>
      </c>
      <c r="O93" s="148"/>
      <c r="P93" s="148"/>
      <c r="Q93" s="148" t="s">
        <v>35</v>
      </c>
      <c r="R93" s="149" t="s">
        <v>29</v>
      </c>
      <c r="S93" s="148"/>
      <c r="T93" s="327"/>
      <c r="U93" s="176"/>
    </row>
    <row r="94" spans="1:21" ht="15" customHeight="1">
      <c r="A94" s="216" t="s">
        <v>262</v>
      </c>
      <c r="B94" s="108">
        <v>712</v>
      </c>
      <c r="C94" s="108" t="s">
        <v>275</v>
      </c>
      <c r="D94" s="217">
        <v>60000</v>
      </c>
      <c r="E94" s="55"/>
      <c r="F94" s="218" t="str">
        <f>IF(E94&lt;&gt;"",VLOOKUP(E94,CODE!$B$2:$C$12,2,0),"")</f>
        <v/>
      </c>
      <c r="G94" s="51">
        <v>25500</v>
      </c>
      <c r="H94" s="219" t="str">
        <f>IF(G94&lt;&gt;"",VLOOKUP(G94,COA!$A$3:$G$1048576,2,0),"")</f>
        <v>Other Payables_Current - DHPP</v>
      </c>
      <c r="I94" s="42" t="s">
        <v>52</v>
      </c>
      <c r="J94" s="220" t="str">
        <f>IF(I94&lt;&gt;"",VLOOKUP(I94,'CUSTOMER LISTS'!$B$3:$E$1048576,2,0),"")</f>
        <v xml:space="preserve">CLYDE N. REBOLLOS </v>
      </c>
      <c r="K94" s="44" t="str">
        <f>IF(I94&lt;&gt;"",VLOOKUP(I94,'CUSTOMER LISTS'!$B$3:$E$1048576,3,0),"")</f>
        <v xml:space="preserve">CLYDE N. REBOLLOS </v>
      </c>
      <c r="L94" s="221" t="str">
        <f>IF(I94&lt;&gt;"",VLOOKUP(I94,'CUSTOMER LISTS'!$B$3:$E$1048576,4,0),"")</f>
        <v>BRGY. STA.ISABEL, DIPOLOG CITY</v>
      </c>
      <c r="M94" s="6">
        <v>761</v>
      </c>
      <c r="N94" s="222" t="str">
        <f>IF(M94&lt;&gt;"",VLOOKUP(M94,'PRODUCT &amp; SERVICES'!$O:$P,2,0),"")</f>
        <v>Others ( Pls. Specify )</v>
      </c>
      <c r="O94" s="47"/>
      <c r="P94" s="223"/>
      <c r="Q94" s="109" t="s">
        <v>114</v>
      </c>
      <c r="R94" s="109"/>
      <c r="S94" s="109"/>
      <c r="T94" s="329"/>
      <c r="U94" s="108"/>
    </row>
    <row r="95" spans="1:21" s="87" customFormat="1" ht="15" customHeight="1">
      <c r="A95" s="102" t="s">
        <v>262</v>
      </c>
      <c r="B95" s="77">
        <v>713</v>
      </c>
      <c r="C95" s="77" t="s">
        <v>276</v>
      </c>
      <c r="D95" s="78">
        <v>9400</v>
      </c>
      <c r="E95" s="79" t="s">
        <v>74</v>
      </c>
      <c r="F95" s="80" t="str">
        <f>IF(E95&lt;&gt;"",VLOOKUP(E95,CODE!$B$2:$C$12,2,0),"")</f>
        <v>FIRST VALLEY -CHECKING</v>
      </c>
      <c r="G95" s="81">
        <v>21016</v>
      </c>
      <c r="H95" s="82" t="str">
        <f>IF(G95&lt;&gt;"",VLOOKUP(G95,COA!$A$3:$G$1048576,2,0),"")</f>
        <v>Unearned Revenue - OPS</v>
      </c>
      <c r="I95" s="88" t="s">
        <v>140</v>
      </c>
      <c r="J95" s="84" t="str">
        <f>IF(I95&lt;&gt;"",VLOOKUP(I95,'CUSTOMER LISTS'!$B$3:$E$1048576,2,0),"")</f>
        <v>K2J2 GAS REFILLING STATION</v>
      </c>
      <c r="K95" s="76" t="str">
        <f>IF(I95&lt;&gt;"",VLOOKUP(I95,'CUSTOMER LISTS'!$B$3:$E$1048576,3,0),"")</f>
        <v>JENIE FE BALOGBOG ALINSUG</v>
      </c>
      <c r="L95" s="76" t="str">
        <f>IF(I95&lt;&gt;"",VLOOKUP(I95,'CUSTOMER LISTS'!$B$3:$E$1048576,4,0),"")</f>
        <v>BRGY. SAN PEDRO, DUMINGAG, ZAMBOANGA DEL SUR</v>
      </c>
      <c r="M95" s="79">
        <v>712</v>
      </c>
      <c r="N95" s="85" t="str">
        <f>IF(M95&lt;&gt;"",VLOOKUP(M95,'PRODUCT &amp; SERVICES'!$O:$P,2,0),"")</f>
        <v>Sea-Oil</v>
      </c>
      <c r="O95" s="86" t="s">
        <v>277</v>
      </c>
      <c r="P95" s="84" t="s">
        <v>278</v>
      </c>
      <c r="Q95" s="111" t="s">
        <v>279</v>
      </c>
      <c r="R95" s="77" t="s">
        <v>29</v>
      </c>
      <c r="S95" s="76" t="s">
        <v>280</v>
      </c>
      <c r="T95" s="313">
        <v>46169</v>
      </c>
      <c r="U95" s="77"/>
    </row>
    <row r="96" spans="1:21" ht="15" customHeight="1">
      <c r="A96" s="101" t="s">
        <v>262</v>
      </c>
      <c r="B96" s="3">
        <v>714</v>
      </c>
      <c r="C96" s="3" t="s">
        <v>281</v>
      </c>
      <c r="D96" s="48">
        <v>234800</v>
      </c>
      <c r="E96" s="55"/>
      <c r="F96" s="112" t="str">
        <f>IF(E96&lt;&gt;"",VLOOKUP(E96,CODE!$B$2:$C$12,2,0),"")</f>
        <v/>
      </c>
      <c r="G96" s="51">
        <v>25500</v>
      </c>
      <c r="H96" s="49" t="str">
        <f>IF(G96&lt;&gt;"",VLOOKUP(G96,COA!$A$3:$G$1048576,2,0),"")</f>
        <v>Other Payables_Current - DHPP</v>
      </c>
      <c r="I96" s="42" t="s">
        <v>56</v>
      </c>
      <c r="J96" s="43" t="str">
        <f>IF(I96&lt;&gt;"",VLOOKUP(I96,'CUSTOMER LISTS'!$B$3:$E$1048576,2,0),"")</f>
        <v>SEVEN-TRENT PETROLEUM CORP.</v>
      </c>
      <c r="K96" s="44" t="str">
        <f>IF(I96&lt;&gt;"",VLOOKUP(I96,'CUSTOMER LISTS'!$B$3:$E$1048576,3,0),"")</f>
        <v>SEVEN-TRENT PETROLEUM CORP.</v>
      </c>
      <c r="L96" s="44" t="str">
        <f>IF(I96&lt;&gt;"",VLOOKUP(I96,'CUSTOMER LISTS'!$B$3:$E$1048576,4,0),"")</f>
        <v>BRGY. SAN PEDRO, DAPITAN,  ZAMBOANGA DEL NORTE</v>
      </c>
      <c r="M96" s="6">
        <v>761</v>
      </c>
      <c r="N96" s="45" t="str">
        <f>IF(M96&lt;&gt;"",VLOOKUP(M96,'PRODUCT &amp; SERVICES'!$O:$P,2,0),"")</f>
        <v>Others ( Pls. Specify )</v>
      </c>
      <c r="O96" s="47"/>
      <c r="P96" s="39"/>
      <c r="Q96" s="2" t="s">
        <v>282</v>
      </c>
      <c r="R96" s="2"/>
      <c r="S96" s="2"/>
      <c r="T96" s="324"/>
      <c r="U96" s="3"/>
    </row>
    <row r="97" spans="1:21" s="87" customFormat="1" ht="15" customHeight="1">
      <c r="A97" s="102" t="s">
        <v>283</v>
      </c>
      <c r="B97" s="77">
        <v>715</v>
      </c>
      <c r="C97" s="77" t="s">
        <v>284</v>
      </c>
      <c r="D97" s="78">
        <v>9445</v>
      </c>
      <c r="E97" s="79" t="s">
        <v>199</v>
      </c>
      <c r="F97" s="80" t="str">
        <f>IF(E97&lt;&gt;"",VLOOKUP(E97,CODE!$B$2:$C$12,2,0),"")</f>
        <v>CHINA BANK - SAVINGS</v>
      </c>
      <c r="G97" s="81">
        <v>43026</v>
      </c>
      <c r="H97" s="82" t="str">
        <f>IF(G97&lt;&gt;"",VLOOKUP(G97,COA!$A$3:$G$1048576,2,0),"")</f>
        <v>Service Income</v>
      </c>
      <c r="I97" s="88" t="s">
        <v>102</v>
      </c>
      <c r="J97" s="84" t="str">
        <f>IF(I97&lt;&gt;"",VLOOKUP(I97,'CUSTOMER LISTS'!$B$3:$E$1048576,2,0),"")</f>
        <v>JDM-6 FUEL STATION</v>
      </c>
      <c r="K97" s="76" t="str">
        <f>IF(I97&lt;&gt;"",VLOOKUP(I97,'CUSTOMER LISTS'!$B$3:$E$1048576,3,0),"")</f>
        <v>DELIA SAJULGA BACO</v>
      </c>
      <c r="L97" s="76" t="str">
        <f>IF(I97&lt;&gt;"",VLOOKUP(I97,'CUSTOMER LISTS'!$B$3:$E$1048576,4,0),"")</f>
        <v>BRGY. KAHAYAGAN, BAYOG, ZAMBOANGA DEL SUR</v>
      </c>
      <c r="M97" s="79">
        <v>761</v>
      </c>
      <c r="N97" s="85" t="str">
        <f>IF(M97&lt;&gt;"",VLOOKUP(M97,'PRODUCT &amp; SERVICES'!$O:$P,2,0),"")</f>
        <v>Others ( Pls. Specify )</v>
      </c>
      <c r="O97" s="86"/>
      <c r="P97" s="84"/>
      <c r="Q97" s="117" t="s">
        <v>201</v>
      </c>
      <c r="R97" s="76"/>
      <c r="S97" s="76"/>
      <c r="T97" s="314"/>
      <c r="U97" s="115" t="s">
        <v>283</v>
      </c>
    </row>
    <row r="98" spans="1:21" s="87" customFormat="1" ht="15" customHeight="1">
      <c r="A98" s="102" t="s">
        <v>285</v>
      </c>
      <c r="B98" s="77">
        <v>716</v>
      </c>
      <c r="C98" s="77" t="s">
        <v>286</v>
      </c>
      <c r="D98" s="78">
        <v>7485</v>
      </c>
      <c r="E98" s="79" t="s">
        <v>211</v>
      </c>
      <c r="F98" s="80" t="str">
        <f>IF(E98&lt;&gt;"",VLOOKUP(E98,CODE!$B$2:$C$12,2,0),"")</f>
        <v>KATIPUNAN BANK-SAVINGS</v>
      </c>
      <c r="G98" s="81">
        <v>43026</v>
      </c>
      <c r="H98" s="82" t="str">
        <f>IF(G98&lt;&gt;"",VLOOKUP(G98,COA!$A$3:$G$1048576,2,0),"")</f>
        <v>Service Income</v>
      </c>
      <c r="I98" s="88" t="s">
        <v>215</v>
      </c>
      <c r="J98" s="84" t="str">
        <f>IF(I98&lt;&gt;"",VLOOKUP(I98,'CUSTOMER LISTS'!$B$3:$E$1048576,2,0),"")</f>
        <v>LEN GASOLINE STATION</v>
      </c>
      <c r="K98" s="76" t="str">
        <f>IF(I98&lt;&gt;"",VLOOKUP(I98,'CUSTOMER LISTS'!$B$3:$E$1048576,3,0),"")</f>
        <v>ARLENE EDIOS UBA</v>
      </c>
      <c r="L98" s="76" t="str">
        <f>IF(I98&lt;&gt;"",VLOOKUP(I98,'CUSTOMER LISTS'!$B$3:$E$1048576,4,0),"")</f>
        <v>BRGY. VILLAFLOR, OROQUIETA CITY, MISAMIS OCCIDENTAL</v>
      </c>
      <c r="M98" s="79">
        <v>761</v>
      </c>
      <c r="N98" s="85" t="str">
        <f>IF(M98&lt;&gt;"",VLOOKUP(M98,'PRODUCT &amp; SERVICES'!$O:$P,2,0),"")</f>
        <v>Others ( Pls. Specify )</v>
      </c>
      <c r="O98" s="86"/>
      <c r="P98" s="84"/>
      <c r="Q98" s="117" t="s">
        <v>271</v>
      </c>
      <c r="R98" s="76"/>
      <c r="S98" s="76"/>
      <c r="T98" s="314"/>
      <c r="U98" s="115" t="s">
        <v>285</v>
      </c>
    </row>
    <row r="99" spans="1:21" s="133" customFormat="1" ht="15" customHeight="1">
      <c r="A99" s="134" t="s">
        <v>287</v>
      </c>
      <c r="B99" s="119">
        <v>717</v>
      </c>
      <c r="C99" s="119" t="s">
        <v>288</v>
      </c>
      <c r="D99" s="120">
        <v>2350</v>
      </c>
      <c r="E99" s="121" t="s">
        <v>31</v>
      </c>
      <c r="F99" s="122" t="str">
        <f>IF(E99&lt;&gt;"",VLOOKUP(E99,CODE!$B$2:$C$12,2,0),"")</f>
        <v>PSBC- SAVINGS</v>
      </c>
      <c r="G99" s="123">
        <v>21016</v>
      </c>
      <c r="H99" s="124" t="str">
        <f>IF(G99&lt;&gt;"",VLOOKUP(G99,COA!$A$3:$G$1048576,2,0),"")</f>
        <v>Unearned Revenue - OPS</v>
      </c>
      <c r="I99" s="125" t="s">
        <v>164</v>
      </c>
      <c r="J99" s="126" t="str">
        <f>IF(I99&lt;&gt;"",VLOOKUP(I99,'CUSTOMER LISTS'!$B$3:$E$1048576,2,0),"")</f>
        <v>MJ HABAGAT GAS STATION</v>
      </c>
      <c r="K99" s="127" t="str">
        <f>IF(I99&lt;&gt;"",VLOOKUP(I99,'CUSTOMER LISTS'!$B$3:$E$1048576,3,0),"")</f>
        <v>THERESA MEE SARENAS HABAGAT</v>
      </c>
      <c r="L99" s="127" t="str">
        <f>IF(I99&lt;&gt;"",VLOOKUP(I99,'CUSTOMER LISTS'!$B$3:$E$1048576,4,0),"")</f>
        <v>BRGY. DAANGLUNGSOD, KATIPUNAN, ZAMBOANGA DEL NORTE</v>
      </c>
      <c r="M99" s="121">
        <v>712</v>
      </c>
      <c r="N99" s="128" t="str">
        <f>IF(M99&lt;&gt;"",VLOOKUP(M99,'PRODUCT &amp; SERVICES'!$O:$P,2,0),"")</f>
        <v>Sea-Oil</v>
      </c>
      <c r="O99" s="129" t="s">
        <v>39</v>
      </c>
      <c r="P99" s="126" t="s">
        <v>278</v>
      </c>
      <c r="Q99" s="130" t="s">
        <v>289</v>
      </c>
      <c r="R99" s="130"/>
      <c r="S99" s="131" t="s">
        <v>290</v>
      </c>
      <c r="T99" s="318" t="s">
        <v>287</v>
      </c>
      <c r="U99" s="131"/>
    </row>
    <row r="100" spans="1:21" s="87" customFormat="1" ht="15" customHeight="1">
      <c r="A100" s="102" t="s">
        <v>291</v>
      </c>
      <c r="B100" s="77">
        <v>718</v>
      </c>
      <c r="C100" s="77" t="s">
        <v>292</v>
      </c>
      <c r="D100" s="78">
        <v>1200</v>
      </c>
      <c r="E100" s="79" t="s">
        <v>26</v>
      </c>
      <c r="F100" s="80" t="str">
        <f>IF(E100&lt;&gt;"",VLOOKUP(E100,CODE!$B$2:$C$12,2,0),"")</f>
        <v>RCBC -SAVINGS</v>
      </c>
      <c r="G100" s="81">
        <v>43016</v>
      </c>
      <c r="H100" s="82" t="str">
        <f>IF(G100&lt;&gt;"",VLOOKUP(G100,COA!$A$3:$G$1048576,2,0),"")</f>
        <v>Job Orders</v>
      </c>
      <c r="I100" s="88" t="s">
        <v>256</v>
      </c>
      <c r="J100" s="116" t="str">
        <f>IF(I100&lt;&gt;"",VLOOKUP(I100,'CUSTOMER LISTS'!$B$3:$E$1048576,2,0),"")</f>
        <v>MARCUS FUEL STATION</v>
      </c>
      <c r="K100" s="76" t="str">
        <f>IF(I100&lt;&gt;"",VLOOKUP(I100,'CUSTOMER LISTS'!$B$3:$E$1048576,3,0),"")</f>
        <v>MARICRIS FE MAGHINAY ARANDID</v>
      </c>
      <c r="L100" s="117" t="str">
        <f>IF(I100&lt;&gt;"",VLOOKUP(I100,'CUSTOMER LISTS'!$B$3:$E$1048576,4,0),"")</f>
        <v>BRGY. BATO, PLARIDEL, MISAMIS OCCIDENTAL</v>
      </c>
      <c r="M100" s="79">
        <v>761</v>
      </c>
      <c r="N100" s="85" t="str">
        <f>IF(M100&lt;&gt;"",VLOOKUP(M100,'PRODUCT &amp; SERVICES'!$O:$P,2,0),"")</f>
        <v>Others ( Pls. Specify )</v>
      </c>
      <c r="O100" s="86"/>
      <c r="P100" s="84"/>
      <c r="Q100" s="117" t="s">
        <v>293</v>
      </c>
      <c r="R100" s="117"/>
      <c r="S100" s="117"/>
      <c r="T100" s="330"/>
      <c r="U100" s="115" t="s">
        <v>291</v>
      </c>
    </row>
    <row r="101" spans="1:21" ht="15" customHeight="1">
      <c r="A101" s="300" t="s">
        <v>294</v>
      </c>
      <c r="B101" s="200">
        <v>719</v>
      </c>
      <c r="C101" s="200" t="s">
        <v>295</v>
      </c>
      <c r="D101" s="201">
        <v>27000</v>
      </c>
      <c r="E101" s="6" t="s">
        <v>48</v>
      </c>
      <c r="F101" s="202" t="str">
        <f>IF(E101&lt;&gt;"",VLOOKUP(E101,CODE!$B$2:$C$12,2,0),"")</f>
        <v>EASTWEST-CHECKING</v>
      </c>
      <c r="G101" s="51"/>
      <c r="H101" s="203" t="str">
        <f>IF(G101&lt;&gt;"",VLOOKUP(G101,COA!$A$3:$G$1048576,2,0),"")</f>
        <v/>
      </c>
      <c r="I101" s="42" t="s">
        <v>245</v>
      </c>
      <c r="J101" s="204" t="str">
        <f>IF(I101&lt;&gt;"",VLOOKUP(I101,'CUSTOMER LISTS'!$B$3:$E$1048576,2,0),"")</f>
        <v>JANA'S FUEL STATION</v>
      </c>
      <c r="K101" s="205" t="str">
        <f>IF(I101&lt;&gt;"",VLOOKUP(I101,'CUSTOMER LISTS'!$B$3:$E$1048576,3,0),"")</f>
        <v>TOM JERRY TIMBOL SAGARIO</v>
      </c>
      <c r="L101" s="205" t="str">
        <f>IF(I101&lt;&gt;"",VLOOKUP(I101,'CUSTOMER LISTS'!$B$3:$E$1048576,4,0),"")</f>
        <v>BRGY. SAN PEDRO, DAPITAN,  ZAMBOANGA DEL NORTE</v>
      </c>
      <c r="M101" s="79">
        <v>761</v>
      </c>
      <c r="N101" s="206" t="str">
        <f>IF(M101&lt;&gt;"",VLOOKUP(M101,'PRODUCT &amp; SERVICES'!$O:$P,2,0),"")</f>
        <v>Others ( Pls. Specify )</v>
      </c>
      <c r="O101" s="47"/>
      <c r="P101" s="207"/>
      <c r="Q101" s="54" t="s">
        <v>296</v>
      </c>
      <c r="R101" s="54"/>
      <c r="S101" s="54"/>
      <c r="T101" s="331"/>
      <c r="U101" s="208"/>
    </row>
    <row r="102" spans="1:21" ht="15" customHeight="1">
      <c r="A102" s="224" t="s">
        <v>297</v>
      </c>
      <c r="B102" s="177">
        <v>720</v>
      </c>
      <c r="C102" s="177" t="s">
        <v>298</v>
      </c>
      <c r="D102" s="178">
        <v>1400</v>
      </c>
      <c r="E102" s="177" t="s">
        <v>31</v>
      </c>
      <c r="F102" s="50" t="str">
        <f>IF(E102&lt;&gt;"",VLOOKUP(E102,CODE!$B$2:$C$11,2,0),"")</f>
        <v>PSBC- SAVINGS</v>
      </c>
      <c r="G102" s="177">
        <v>21016</v>
      </c>
      <c r="H102" s="179" t="str">
        <f>IF(G102&lt;&gt;"",VLOOKUP(G102,COA!$A$3:$G$1048576,2,0),"")</f>
        <v>Unearned Revenue - OPS</v>
      </c>
      <c r="I102" s="180" t="s">
        <v>299</v>
      </c>
      <c r="J102" s="181" t="str">
        <f>IF(I102&lt;&gt;"",VLOOKUP(I102,'CUSTOMER LISTS'!$B$3:$E$1048576,2,0),"")</f>
        <v>DJ GAS STATION</v>
      </c>
      <c r="K102" s="181" t="str">
        <f>IF(I102&lt;&gt;"",VLOOKUP(I102,'CUSTOMER LISTS'!$B$3:$E$1048576,3,0),"")</f>
        <v>ROLAND MARTINEZ</v>
      </c>
      <c r="L102" s="181" t="str">
        <f>IF(I102&lt;&gt;"",VLOOKUP(I102,'CUSTOMER LISTS'!$B$3:$E$1048576,4,0),"")</f>
        <v>BRGY. GALAS, DIPOLOG CITY</v>
      </c>
      <c r="M102" s="182">
        <v>761</v>
      </c>
      <c r="N102" s="181" t="str">
        <f>IF(M102&lt;&gt;"",VLOOKUP(M102,'PRODUCT &amp; SERVICES'!$O:$P,2,0),"")</f>
        <v>Others ( Pls. Specify )</v>
      </c>
      <c r="O102" s="53"/>
      <c r="P102" s="53"/>
      <c r="Q102" s="53" t="s">
        <v>35</v>
      </c>
      <c r="R102" s="183" t="s">
        <v>29</v>
      </c>
      <c r="S102" s="53" t="s">
        <v>300</v>
      </c>
      <c r="T102" s="332"/>
      <c r="U102" s="177"/>
    </row>
    <row r="103" spans="1:21" ht="15" customHeight="1">
      <c r="A103" s="224" t="s">
        <v>301</v>
      </c>
      <c r="B103" s="177">
        <v>721</v>
      </c>
      <c r="C103" s="177" t="s">
        <v>302</v>
      </c>
      <c r="D103" s="178">
        <v>2500</v>
      </c>
      <c r="E103" s="177" t="s">
        <v>31</v>
      </c>
      <c r="F103" s="50" t="str">
        <f>IF(E103&lt;&gt;"",VLOOKUP(E103,CODE!$B$2:$C$11,2,0),"")</f>
        <v>PSBC- SAVINGS</v>
      </c>
      <c r="G103" s="177">
        <v>21016</v>
      </c>
      <c r="H103" s="179" t="str">
        <f>IF(G103&lt;&gt;"",VLOOKUP(G103,COA!$A$3:$G$1048576,2,0),"")</f>
        <v>Unearned Revenue - OPS</v>
      </c>
      <c r="I103" s="180" t="s">
        <v>236</v>
      </c>
      <c r="J103" s="181" t="str">
        <f>IF(I103&lt;&gt;"",VLOOKUP(I103,'CUSTOMER LISTS'!$B$3:$E$1048576,2,0),"")</f>
        <v xml:space="preserve">GAS DISTRIBUTION SERVICES D-BROTHERS GASOLINAHAN </v>
      </c>
      <c r="K103" s="181" t="str">
        <f>IF(I103&lt;&gt;"",VLOOKUP(I103,'CUSTOMER LISTS'!$B$3:$E$1048576,3,0),"")</f>
        <v>DEMOSTHENES SIARON CASTILLON SR.</v>
      </c>
      <c r="L103" s="181" t="str">
        <f>IF(I103&lt;&gt;"",VLOOKUP(I103,'CUSTOMER LISTS'!$B$3:$E$1048576,4,0),"")</f>
        <v>BRGY. SINUYAK, KATIPUNAN, ZAMBOANGA DEL NORTE</v>
      </c>
      <c r="M103" s="182">
        <v>761</v>
      </c>
      <c r="N103" s="181" t="str">
        <f>IF(M103&lt;&gt;"",VLOOKUP(M103,'PRODUCT &amp; SERVICES'!$O:$P,2,0),"")</f>
        <v>Others ( Pls. Specify )</v>
      </c>
      <c r="O103" s="53" t="s">
        <v>150</v>
      </c>
      <c r="P103" s="53"/>
      <c r="Q103" s="53" t="s">
        <v>303</v>
      </c>
      <c r="R103" s="53"/>
      <c r="S103" s="53" t="s">
        <v>304</v>
      </c>
      <c r="T103" s="333">
        <v>46169</v>
      </c>
      <c r="U103" s="177"/>
    </row>
    <row r="104" spans="1:21" ht="15" customHeight="1">
      <c r="A104" s="224" t="s">
        <v>301</v>
      </c>
      <c r="B104" s="177">
        <v>721</v>
      </c>
      <c r="C104" s="177" t="s">
        <v>305</v>
      </c>
      <c r="D104" s="178">
        <v>1140</v>
      </c>
      <c r="E104" s="177" t="s">
        <v>26</v>
      </c>
      <c r="F104" s="50" t="str">
        <f>IF(E104&lt;&gt;"",VLOOKUP(E104,CODE!$B$2:$C$11,2,0),"")</f>
        <v>RCBC -SAVINGS</v>
      </c>
      <c r="G104" s="177">
        <v>43016</v>
      </c>
      <c r="H104" s="179" t="str">
        <f>IF(G104&lt;&gt;"",VLOOKUP(G104,COA!$A$3:$G$1048576,2,0),"")</f>
        <v>Job Orders</v>
      </c>
      <c r="I104" s="180" t="s">
        <v>236</v>
      </c>
      <c r="J104" s="181" t="str">
        <f>IF(I104&lt;&gt;"",VLOOKUP(I104,'CUSTOMER LISTS'!$B$3:$E$1048576,2,0),"")</f>
        <v xml:space="preserve">GAS DISTRIBUTION SERVICES D-BROTHERS GASOLINAHAN </v>
      </c>
      <c r="K104" s="181" t="str">
        <f>IF(I104&lt;&gt;"",VLOOKUP(I104,'CUSTOMER LISTS'!$B$3:$E$1048576,3,0),"")</f>
        <v>DEMOSTHENES SIARON CASTILLON SR.</v>
      </c>
      <c r="L104" s="181" t="str">
        <f>IF(I104&lt;&gt;"",VLOOKUP(I104,'CUSTOMER LISTS'!$B$3:$E$1048576,4,0),"")</f>
        <v>BRGY. SINUYAK, KATIPUNAN, ZAMBOANGA DEL NORTE</v>
      </c>
      <c r="M104" s="177">
        <v>721</v>
      </c>
      <c r="N104" s="181" t="str">
        <f>IF(M104&lt;&gt;"",VLOOKUP(M104,'PRODUCT &amp; SERVICES'!$O:$P,2,0),"")</f>
        <v>Job Order</v>
      </c>
      <c r="O104" s="53"/>
      <c r="P104" s="53"/>
      <c r="Q104" s="53" t="s">
        <v>293</v>
      </c>
      <c r="R104" s="53"/>
      <c r="S104" s="53"/>
      <c r="T104" s="332"/>
      <c r="U104" s="177"/>
    </row>
    <row r="105" spans="1:21" ht="15" customHeight="1">
      <c r="A105" s="216" t="s">
        <v>306</v>
      </c>
      <c r="B105" s="108">
        <v>722</v>
      </c>
      <c r="C105" s="108" t="s">
        <v>307</v>
      </c>
      <c r="D105" s="217">
        <v>79701.350000000006</v>
      </c>
      <c r="F105" s="231" t="str">
        <f>IF(E105&lt;&gt;"",VLOOKUP(E105,CODE!$B$2:$C$11,2,0),"")</f>
        <v/>
      </c>
      <c r="G105" s="51"/>
      <c r="H105" s="232" t="str">
        <f>IF(G105&lt;&gt;"",VLOOKUP(G105,COA!$A$3:$G$1048576,2,0),"")</f>
        <v/>
      </c>
      <c r="I105" s="42" t="s">
        <v>56</v>
      </c>
      <c r="J105" s="220" t="str">
        <f>IF(I105&lt;&gt;"",VLOOKUP(I105,'CUSTOMER LISTS'!$B$3:$E$1048576,2,0),"")</f>
        <v>SEVEN-TRENT PETROLEUM CORP.</v>
      </c>
      <c r="K105" s="221" t="str">
        <f>IF(I105&lt;&gt;"",VLOOKUP(I105,'CUSTOMER LISTS'!$B$3:$E$1048576,3,0),"")</f>
        <v>SEVEN-TRENT PETROLEUM CORP.</v>
      </c>
      <c r="L105" s="221" t="str">
        <f>IF(I105&lt;&gt;"",VLOOKUP(I105,'CUSTOMER LISTS'!$B$3:$E$1048576,4,0),"")</f>
        <v>BRGY. SAN PEDRO, DAPITAN,  ZAMBOANGA DEL NORTE</v>
      </c>
      <c r="M105" s="6">
        <v>761</v>
      </c>
      <c r="N105" s="222" t="str">
        <f>IF(M105&lt;&gt;"",VLOOKUP(M105,'PRODUCT &amp; SERVICES'!$O:$P,2,0),"")</f>
        <v>Others ( Pls. Specify )</v>
      </c>
      <c r="O105" s="47"/>
      <c r="P105" s="223"/>
      <c r="Q105" s="233" t="s">
        <v>49</v>
      </c>
      <c r="R105" s="109"/>
      <c r="S105" s="109"/>
      <c r="T105" s="329"/>
      <c r="U105" s="108"/>
    </row>
    <row r="106" spans="1:21" ht="15" customHeight="1">
      <c r="A106" s="101" t="s">
        <v>262</v>
      </c>
      <c r="B106" s="108">
        <v>723</v>
      </c>
      <c r="C106" s="108" t="s">
        <v>308</v>
      </c>
      <c r="D106" s="48">
        <v>106020.47</v>
      </c>
      <c r="F106" s="50" t="str">
        <f>IF(E106&lt;&gt;"",VLOOKUP(E106,CODE!$B$2:$C$11,2,0),"")</f>
        <v/>
      </c>
      <c r="G106" s="51"/>
      <c r="H106" s="179" t="str">
        <f>IF(G106&lt;&gt;"",VLOOKUP(G106,COA!$A$3:$G$1048576,2,0),"")</f>
        <v/>
      </c>
      <c r="I106" s="42" t="s">
        <v>56</v>
      </c>
      <c r="J106" s="43" t="str">
        <f>IF(I106&lt;&gt;"",VLOOKUP(I106,'CUSTOMER LISTS'!$B$3:$E$1048576,2,0),"")</f>
        <v>SEVEN-TRENT PETROLEUM CORP.</v>
      </c>
      <c r="K106" s="44" t="str">
        <f>IF(I106&lt;&gt;"",VLOOKUP(I106,'CUSTOMER LISTS'!$B$3:$E$1048576,3,0),"")</f>
        <v>SEVEN-TRENT PETROLEUM CORP.</v>
      </c>
      <c r="L106" s="44" t="str">
        <f>IF(I106&lt;&gt;"",VLOOKUP(I106,'CUSTOMER LISTS'!$B$3:$E$1048576,4,0),"")</f>
        <v>BRGY. SAN PEDRO, DAPITAN,  ZAMBOANGA DEL NORTE</v>
      </c>
      <c r="M106" s="6">
        <v>761</v>
      </c>
      <c r="N106" s="222" t="str">
        <f>IF(M106&lt;&gt;"",VLOOKUP(M106,'PRODUCT &amp; SERVICES'!$O:$P,2,0),"")</f>
        <v>Others ( Pls. Specify )</v>
      </c>
      <c r="O106" s="47"/>
      <c r="P106" s="39"/>
      <c r="Q106" s="233" t="s">
        <v>49</v>
      </c>
      <c r="R106" s="2"/>
      <c r="S106" s="2"/>
      <c r="T106" s="324"/>
      <c r="U106" s="3"/>
    </row>
    <row r="107" spans="1:21" ht="15" customHeight="1">
      <c r="A107" s="101" t="s">
        <v>309</v>
      </c>
      <c r="B107" s="108">
        <v>724</v>
      </c>
      <c r="C107" s="108" t="s">
        <v>310</v>
      </c>
      <c r="D107" s="48">
        <v>100000</v>
      </c>
      <c r="E107" s="6" t="s">
        <v>48</v>
      </c>
      <c r="F107" s="50" t="str">
        <f>IF(E107&lt;&gt;"",VLOOKUP(E107,CODE!$B$2:$C$11,2,0),"")</f>
        <v>EASTWEST-CHECKING</v>
      </c>
      <c r="G107" s="51">
        <v>21000</v>
      </c>
      <c r="H107" s="179" t="str">
        <f>IF(G107&lt;&gt;"",VLOOKUP(G107,COA!$A$3:$G$1048576,2,0),"")</f>
        <v>Unearned Revenue - DHPP</v>
      </c>
      <c r="I107" s="42" t="s">
        <v>224</v>
      </c>
      <c r="J107" s="43" t="str">
        <f>IF(I107&lt;&gt;"",VLOOKUP(I107,'CUSTOMER LISTS'!$B$3:$E$1048576,2,0),"")</f>
        <v>JRM FUEL REFILLING STATION</v>
      </c>
      <c r="K107" s="44" t="str">
        <f>IF(I107&lt;&gt;"",VLOOKUP(I107,'CUSTOMER LISTS'!$B$3:$E$1048576,3,0),"")</f>
        <v>MELVA MACAPAZ NICOLAS</v>
      </c>
      <c r="L107" s="44" t="str">
        <f>IF(I107&lt;&gt;"",VLOOKUP(I107,'CUSTOMER LISTS'!$B$3:$E$1048576,4,0),"")</f>
        <v>BRGY. TAMIL, JOSE DALMAN, ZAMBOANGA DEL NORTE</v>
      </c>
      <c r="M107" s="6">
        <v>761</v>
      </c>
      <c r="N107" s="222" t="str">
        <f>IF(M107&lt;&gt;"",VLOOKUP(M107,'PRODUCT &amp; SERVICES'!$O:$P,2,0),"")</f>
        <v>Others ( Pls. Specify )</v>
      </c>
      <c r="O107" s="47"/>
      <c r="P107" s="39"/>
      <c r="Q107" s="2" t="s">
        <v>311</v>
      </c>
      <c r="R107" s="2"/>
      <c r="S107" s="2"/>
      <c r="T107" s="324"/>
      <c r="U107" s="3"/>
    </row>
    <row r="108" spans="1:21" s="350" customFormat="1" ht="15" customHeight="1">
      <c r="A108" s="336" t="s">
        <v>312</v>
      </c>
      <c r="B108" s="337">
        <v>725</v>
      </c>
      <c r="C108" s="337" t="s">
        <v>313</v>
      </c>
      <c r="D108" s="338">
        <v>86463</v>
      </c>
      <c r="E108" s="339" t="s">
        <v>48</v>
      </c>
      <c r="F108" s="340" t="str">
        <f>IF(E108&lt;&gt;"",VLOOKUP(E108,CODE!$B$2:$C$11,2,0),"")</f>
        <v>EASTWEST-CHECKING</v>
      </c>
      <c r="G108" s="341">
        <v>21000</v>
      </c>
      <c r="H108" s="342" t="str">
        <f>IF(G108&lt;&gt;"",VLOOKUP(G108,COA!$A$3:$G$1048576,2,0),"")</f>
        <v>Unearned Revenue - DHPP</v>
      </c>
      <c r="I108" s="343" t="s">
        <v>224</v>
      </c>
      <c r="J108" s="344" t="str">
        <f>IF(I108&lt;&gt;"",VLOOKUP(I108,'CUSTOMER LISTS'!$B$3:$E$1048576,2,0),"")</f>
        <v>JRM FUEL REFILLING STATION</v>
      </c>
      <c r="K108" s="345" t="str">
        <f>IF(I108&lt;&gt;"",VLOOKUP(I108,'CUSTOMER LISTS'!$B$3:$E$1048576,3,0),"")</f>
        <v>MELVA MACAPAZ NICOLAS</v>
      </c>
      <c r="L108" s="345" t="str">
        <f>IF(I108&lt;&gt;"",VLOOKUP(I108,'CUSTOMER LISTS'!$B$3:$E$1048576,4,0),"")</f>
        <v>BRGY. TAMIL, JOSE DALMAN, ZAMBOANGA DEL NORTE</v>
      </c>
      <c r="M108" s="339">
        <v>761</v>
      </c>
      <c r="N108" s="346" t="str">
        <f>IF(M108&lt;&gt;"",VLOOKUP(M108,'PRODUCT &amp; SERVICES'!$O:$P,2,0),"")</f>
        <v>Others ( Pls. Specify )</v>
      </c>
      <c r="O108" s="347"/>
      <c r="P108" s="344"/>
      <c r="Q108" s="345" t="s">
        <v>311</v>
      </c>
      <c r="R108" s="345"/>
      <c r="S108" s="345"/>
      <c r="T108" s="348"/>
      <c r="U108" s="349"/>
    </row>
    <row r="109" spans="1:21" ht="15" customHeight="1">
      <c r="A109" s="101" t="s">
        <v>314</v>
      </c>
      <c r="B109" s="108">
        <v>726</v>
      </c>
      <c r="C109" s="108" t="s">
        <v>315</v>
      </c>
      <c r="D109" s="48">
        <v>951000</v>
      </c>
      <c r="E109" s="6" t="s">
        <v>51</v>
      </c>
      <c r="F109" s="50" t="str">
        <f>IF(E109&lt;&gt;"",VLOOKUP(E109,CODE!$B$2:$C$11,2,0),"")</f>
        <v>METROBANK-CHECKING</v>
      </c>
      <c r="G109" s="6">
        <v>25500</v>
      </c>
      <c r="H109" s="179" t="str">
        <f>IF(G109&lt;&gt;"",VLOOKUP(G109,COA!$A$3:$G$1048576,2,0),"")</f>
        <v>Other Payables_Current - DHPP</v>
      </c>
      <c r="I109" s="41" t="s">
        <v>52</v>
      </c>
      <c r="J109" s="43" t="str">
        <f>IF(I109&lt;&gt;"",VLOOKUP(I109,'CUSTOMER LISTS'!$B$3:$E$1048576,2,0),"")</f>
        <v xml:space="preserve">CLYDE N. REBOLLOS </v>
      </c>
      <c r="K109" s="44" t="str">
        <f>IF(I109&lt;&gt;"",VLOOKUP(I109,'CUSTOMER LISTS'!$B$3:$E$1048576,3,0),"")</f>
        <v xml:space="preserve">CLYDE N. REBOLLOS </v>
      </c>
      <c r="L109" s="44" t="str">
        <f>IF(I109&lt;&gt;"",VLOOKUP(I109,'CUSTOMER LISTS'!$B$3:$E$1048576,4,0),"")</f>
        <v>BRGY. STA.ISABEL, DIPOLOG CITY</v>
      </c>
      <c r="M109" s="6">
        <v>761</v>
      </c>
      <c r="N109" s="45" t="str">
        <f>IF(M109&lt;&gt;"",VLOOKUP(M109,'PRODUCT &amp; SERVICES'!$O:$P,2,0),"")</f>
        <v>Others ( Pls. Specify )</v>
      </c>
      <c r="O109" s="47"/>
      <c r="P109" s="39"/>
      <c r="Q109" s="2" t="s">
        <v>316</v>
      </c>
      <c r="R109" s="2"/>
      <c r="S109" s="2"/>
      <c r="T109" s="324"/>
      <c r="U109" s="3"/>
    </row>
    <row r="110" spans="1:21" s="350" customFormat="1" ht="15" customHeight="1">
      <c r="A110" s="336" t="s">
        <v>314</v>
      </c>
      <c r="B110" s="337">
        <v>727</v>
      </c>
      <c r="C110" s="337" t="s">
        <v>317</v>
      </c>
      <c r="D110" s="338">
        <v>1400</v>
      </c>
      <c r="E110" s="339" t="s">
        <v>31</v>
      </c>
      <c r="F110" s="340" t="str">
        <f>IF(E110&lt;&gt;"",VLOOKUP(E110,CODE!$B$2:$C$11,2,0),"")</f>
        <v>PSBC- SAVINGS</v>
      </c>
      <c r="G110" s="339">
        <v>21016</v>
      </c>
      <c r="H110" s="342" t="str">
        <f>IF(G110&lt;&gt;"",VLOOKUP(G110,COA!$A$3:$G$1048576,2,0),"")</f>
        <v>Unearned Revenue - OPS</v>
      </c>
      <c r="I110" s="351" t="s">
        <v>318</v>
      </c>
      <c r="J110" s="344" t="str">
        <f>IF(I110&lt;&gt;"",VLOOKUP(I110,'CUSTOMER LISTS'!$B$3:$E$1048576,2,0),"")</f>
        <v>C &amp; N GAS REFILLING STATION</v>
      </c>
      <c r="K110" s="345" t="str">
        <f>IF(I110&lt;&gt;"",VLOOKUP(I110,'CUSTOMER LISTS'!$B$3:$E$1048576,3,0),"")</f>
        <v>WILSON ENOJARDO PLANTERAS</v>
      </c>
      <c r="L110" s="345" t="str">
        <f>IF(I110&lt;&gt;"",VLOOKUP(I110,'CUSTOMER LISTS'!$B$3:$E$1048576,4,0),"")</f>
        <v>BRGY. PANGALALAN, SINDANGAN, ZAMBOANGA DEL NORTE</v>
      </c>
      <c r="M110" s="339">
        <v>761</v>
      </c>
      <c r="N110" s="346" t="str">
        <f>IF(M110&lt;&gt;"",VLOOKUP(M110,'PRODUCT &amp; SERVICES'!$O:$P,2,0),"")</f>
        <v>Others ( Pls. Specify )</v>
      </c>
      <c r="O110" s="347"/>
      <c r="P110" s="344"/>
      <c r="Q110" s="352" t="s">
        <v>35</v>
      </c>
      <c r="R110" s="353" t="s">
        <v>29</v>
      </c>
      <c r="S110" s="345"/>
      <c r="T110" s="348"/>
      <c r="U110" s="349"/>
    </row>
    <row r="111" spans="1:21" s="350" customFormat="1" ht="15" customHeight="1">
      <c r="A111" s="336" t="s">
        <v>319</v>
      </c>
      <c r="B111" s="337">
        <v>728</v>
      </c>
      <c r="C111" s="337" t="s">
        <v>320</v>
      </c>
      <c r="D111" s="338">
        <v>2400</v>
      </c>
      <c r="E111" s="339" t="s">
        <v>31</v>
      </c>
      <c r="F111" s="340" t="str">
        <f>IF(E111&lt;&gt;"",VLOOKUP(E111,CODE!$B$2:$C$11,2,0),"")</f>
        <v>PSBC- SAVINGS</v>
      </c>
      <c r="G111" s="339">
        <v>21016</v>
      </c>
      <c r="H111" s="342" t="str">
        <f>IF(G111&lt;&gt;"",VLOOKUP(G111,COA!$A$3:$G$1048576,2,0),"")</f>
        <v>Unearned Revenue - OPS</v>
      </c>
      <c r="I111" s="351" t="s">
        <v>68</v>
      </c>
      <c r="J111" s="344" t="str">
        <f>IF(I111&lt;&gt;"",VLOOKUP(I111,'CUSTOMER LISTS'!$B$3:$E$1048576,2,0),"")</f>
        <v>MJ FUEL REFILLING STATION</v>
      </c>
      <c r="K111" s="345" t="str">
        <f>IF(I111&lt;&gt;"",VLOOKUP(I111,'CUSTOMER LISTS'!$B$3:$E$1048576,3,0),"")</f>
        <v>JERELYN MONTEZA AWA</v>
      </c>
      <c r="L111" s="345" t="str">
        <f>IF(I111&lt;&gt;"",VLOOKUP(I111,'CUSTOMER LISTS'!$B$3:$E$1048576,4,0),"")</f>
        <v>BRGY. DANSULLAN, POLANCO, ZAMBOANGA DEL NORTE</v>
      </c>
      <c r="M111" s="339">
        <v>712</v>
      </c>
      <c r="N111" s="346" t="str">
        <f>IF(M111&lt;&gt;"",VLOOKUP(M111,'PRODUCT &amp; SERVICES'!$O:$P,2,0),"")</f>
        <v>Sea-Oil</v>
      </c>
      <c r="O111" s="347" t="s">
        <v>39</v>
      </c>
      <c r="P111" s="344" t="s">
        <v>278</v>
      </c>
      <c r="Q111" s="354" t="s">
        <v>289</v>
      </c>
      <c r="R111" s="345" t="s">
        <v>29</v>
      </c>
      <c r="S111" s="345" t="s">
        <v>321</v>
      </c>
      <c r="T111" s="355">
        <v>46177</v>
      </c>
      <c r="U111" s="349"/>
    </row>
    <row r="112" spans="1:21" s="350" customFormat="1" ht="15" customHeight="1">
      <c r="A112" s="336" t="s">
        <v>319</v>
      </c>
      <c r="B112" s="337">
        <v>729</v>
      </c>
      <c r="C112" s="337" t="s">
        <v>322</v>
      </c>
      <c r="D112" s="338">
        <v>9445</v>
      </c>
      <c r="E112" s="339" t="s">
        <v>199</v>
      </c>
      <c r="F112" s="340" t="str">
        <f>IF(E112&lt;&gt;"",VLOOKUP(E112,CODE!$B$2:$C$11,2,0),"")</f>
        <v>CHINA BANK - SAVINGS</v>
      </c>
      <c r="G112" s="339">
        <v>43026</v>
      </c>
      <c r="H112" s="342" t="str">
        <f>IF(G112&lt;&gt;"",VLOOKUP(G112,COA!$A$3:$G$1048576,2,0),"")</f>
        <v>Service Income</v>
      </c>
      <c r="I112" s="356" t="s">
        <v>102</v>
      </c>
      <c r="J112" s="345" t="str">
        <f>IF(I112&lt;&gt;"",VLOOKUP(I112,'CUSTOMER LISTS'!$B$3:$E$1048576,2,0),"")</f>
        <v>JDM-6 FUEL STATION</v>
      </c>
      <c r="K112" s="345" t="str">
        <f>IF(I112&lt;&gt;"",VLOOKUP(I112,'CUSTOMER LISTS'!$B$3:$E$1048576,3,0),"")</f>
        <v>DELIA SAJULGA BACO</v>
      </c>
      <c r="L112" s="345" t="str">
        <f>IF(I112&lt;&gt;"",VLOOKUP(I112,'CUSTOMER LISTS'!$B$3:$E$1048576,4,0),"")</f>
        <v>BRGY. KAHAYAGAN, BAYOG, ZAMBOANGA DEL SUR</v>
      </c>
      <c r="M112" s="339">
        <v>761</v>
      </c>
      <c r="N112" s="346" t="str">
        <f>IF(M112&lt;&gt;"",VLOOKUP(M112,'PRODUCT &amp; SERVICES'!$O:$P,2,0),"")</f>
        <v>Others ( Pls. Specify )</v>
      </c>
      <c r="O112" s="347"/>
      <c r="P112" s="344"/>
      <c r="Q112" s="354" t="s">
        <v>323</v>
      </c>
      <c r="R112" s="345"/>
      <c r="S112" s="345"/>
      <c r="T112" s="348"/>
      <c r="U112" s="349"/>
    </row>
    <row r="113" spans="1:21" s="350" customFormat="1" ht="15" customHeight="1">
      <c r="A113" s="336" t="s">
        <v>319</v>
      </c>
      <c r="B113" s="337">
        <v>730</v>
      </c>
      <c r="C113" s="337" t="s">
        <v>324</v>
      </c>
      <c r="D113" s="338">
        <v>1550</v>
      </c>
      <c r="E113" s="339" t="s">
        <v>199</v>
      </c>
      <c r="F113" s="340" t="str">
        <f>IF(E113&lt;&gt;"",VLOOKUP(E113,CODE!$B$2:$C$11,2,0),"")</f>
        <v>CHINA BANK - SAVINGS</v>
      </c>
      <c r="G113" s="339">
        <v>43046</v>
      </c>
      <c r="H113" s="342" t="str">
        <f>IF(G113&lt;&gt;"",VLOOKUP(G113,COA!$A$3:$G$1048576,2,0),"")</f>
        <v>Miscellaneous Income - OPS</v>
      </c>
      <c r="I113" s="356" t="s">
        <v>153</v>
      </c>
      <c r="J113" s="345" t="str">
        <f>IF(I113&lt;&gt;"",VLOOKUP(I113,'CUSTOMER LISTS'!$B$3:$E$1048576,2,0),"")</f>
        <v>TANAKAMI GAS STATION</v>
      </c>
      <c r="K113" s="345" t="str">
        <f>IF(I113&lt;&gt;"",VLOOKUP(I113,'CUSTOMER LISTS'!$B$3:$E$1048576,3,0),"")</f>
        <v>WEDILYN ONRADA ROSALES</v>
      </c>
      <c r="L113" s="345" t="str">
        <f>IF(I113&lt;&gt;"",VLOOKUP(I113,'CUSTOMER LISTS'!$B$3:$E$1048576,4,0),"")</f>
        <v>BRGY. LOWER LANDING, DUMINGAG, ZAMBOANGA DEL SUR</v>
      </c>
      <c r="M113" s="339">
        <v>761</v>
      </c>
      <c r="N113" s="346" t="str">
        <f>IF(M113&lt;&gt;"",VLOOKUP(M113,'PRODUCT &amp; SERVICES'!$O:$P,2,0),"")</f>
        <v>Others ( Pls. Specify )</v>
      </c>
      <c r="O113" s="347"/>
      <c r="P113" s="344"/>
      <c r="Q113" s="345" t="s">
        <v>325</v>
      </c>
      <c r="R113" s="345"/>
      <c r="S113" s="345"/>
      <c r="T113" s="348"/>
      <c r="U113" s="349"/>
    </row>
    <row r="114" spans="1:21" s="350" customFormat="1" ht="15" customHeight="1">
      <c r="A114" s="336" t="s">
        <v>326</v>
      </c>
      <c r="B114" s="337">
        <v>731</v>
      </c>
      <c r="C114" s="337" t="s">
        <v>327</v>
      </c>
      <c r="D114" s="338">
        <v>1550</v>
      </c>
      <c r="E114" s="339" t="s">
        <v>199</v>
      </c>
      <c r="F114" s="340" t="str">
        <f>IF(E114&lt;&gt;"",VLOOKUP(E114,CODE!$B$2:$C$11,2,0),"")</f>
        <v>CHINA BANK - SAVINGS</v>
      </c>
      <c r="G114" s="339">
        <v>43046</v>
      </c>
      <c r="H114" s="342" t="str">
        <f>IF(G114&lt;&gt;"",VLOOKUP(G114,COA!$A$3:$G$1048576,2,0),"")</f>
        <v>Miscellaneous Income - OPS</v>
      </c>
      <c r="I114" s="356" t="s">
        <v>106</v>
      </c>
      <c r="J114" s="345" t="str">
        <f>IF(I114&lt;&gt;"",VLOOKUP(I114,'CUSTOMER LISTS'!$B$3:$E$1048576,2,0),"")</f>
        <v>CM-POWER FUEL REFILLING STATION</v>
      </c>
      <c r="K114" s="345" t="str">
        <f>IF(I114&lt;&gt;"",VLOOKUP(I114,'CUSTOMER LISTS'!$B$3:$E$1048576,3,0),"")</f>
        <v>CHARLENE ESTRADA MANDANTES</v>
      </c>
      <c r="L114" s="345" t="str">
        <f>IF(I114&lt;&gt;"",VLOOKUP(I114,'CUSTOMER LISTS'!$B$3:$E$1048576,4,0),"")</f>
        <v>BRGY. VILLAHERMOSA, POLANCO, ZAMBOANGA DEL NORTE</v>
      </c>
      <c r="M114" s="339">
        <v>761</v>
      </c>
      <c r="N114" s="346" t="str">
        <f>IF(M114&lt;&gt;"",VLOOKUP(M114,'PRODUCT &amp; SERVICES'!$O:$P,2,0),"")</f>
        <v>Others ( Pls. Specify )</v>
      </c>
      <c r="O114" s="347"/>
      <c r="P114" s="344"/>
      <c r="Q114" s="345" t="s">
        <v>325</v>
      </c>
      <c r="R114" s="345"/>
      <c r="S114" s="345"/>
      <c r="T114" s="348"/>
      <c r="U114" s="349"/>
    </row>
    <row r="115" spans="1:21" s="350" customFormat="1" ht="15" customHeight="1">
      <c r="A115" s="336" t="s">
        <v>326</v>
      </c>
      <c r="B115" s="337">
        <v>732</v>
      </c>
      <c r="C115" s="337" t="s">
        <v>328</v>
      </c>
      <c r="D115" s="338">
        <v>7485</v>
      </c>
      <c r="E115" s="339" t="s">
        <v>199</v>
      </c>
      <c r="F115" s="340" t="str">
        <f>IF(E115&lt;&gt;"",VLOOKUP(E115,CODE!$B$2:$C$11,2,0),"")</f>
        <v>CHINA BANK - SAVINGS</v>
      </c>
      <c r="G115" s="339">
        <v>43026</v>
      </c>
      <c r="H115" s="342" t="str">
        <f>IF(G115&lt;&gt;"",VLOOKUP(G115,COA!$A$3:$G$1048576,2,0),"")</f>
        <v>Service Income</v>
      </c>
      <c r="I115" s="356" t="s">
        <v>183</v>
      </c>
      <c r="J115" s="345" t="str">
        <f>IF(I115&lt;&gt;"",VLOOKUP(I115,'CUSTOMER LISTS'!$B$3:$E$1048576,2,0),"")</f>
        <v>K.M. GAS REFILLING STATION</v>
      </c>
      <c r="K115" s="345" t="str">
        <f>IF(I115&lt;&gt;"",VLOOKUP(I115,'CUSTOMER LISTS'!$B$3:$E$1048576,3,0),"")</f>
        <v>MANUEL LUCANAS DELOS SANTOS JR.</v>
      </c>
      <c r="L115" s="345" t="str">
        <f>IF(I115&lt;&gt;"",VLOOKUP(I115,'CUSTOMER LISTS'!$B$3:$E$1048576,4,0),"")</f>
        <v>BRGY. COMPRA, LILOY, ZAMBOANGA DEL NORTE</v>
      </c>
      <c r="M115" s="339">
        <v>761</v>
      </c>
      <c r="N115" s="346" t="str">
        <f>IF(M115&lt;&gt;"",VLOOKUP(M115,'PRODUCT &amp; SERVICES'!$O:$P,2,0),"")</f>
        <v>Others ( Pls. Specify )</v>
      </c>
      <c r="O115" s="347"/>
      <c r="P115" s="344"/>
      <c r="Q115" s="345" t="s">
        <v>201</v>
      </c>
      <c r="R115" s="345"/>
      <c r="S115" s="345"/>
      <c r="T115" s="348"/>
      <c r="U115" s="349"/>
    </row>
    <row r="116" spans="1:21" s="350" customFormat="1" ht="15" customHeight="1">
      <c r="A116" s="336" t="s">
        <v>326</v>
      </c>
      <c r="B116" s="337">
        <v>733</v>
      </c>
      <c r="C116" s="337" t="s">
        <v>329</v>
      </c>
      <c r="D116" s="338">
        <v>1550</v>
      </c>
      <c r="E116" s="339" t="s">
        <v>199</v>
      </c>
      <c r="F116" s="340" t="str">
        <f>IF(E116&lt;&gt;"",VLOOKUP(E116,CODE!$B$2:$C$11,2,0),"")</f>
        <v>CHINA BANK - SAVINGS</v>
      </c>
      <c r="G116" s="339">
        <v>43046</v>
      </c>
      <c r="H116" s="342" t="str">
        <f>IF(G116&lt;&gt;"",VLOOKUP(G116,COA!$A$3:$G$1048576,2,0),"")</f>
        <v>Miscellaneous Income - OPS</v>
      </c>
      <c r="I116" s="356" t="s">
        <v>330</v>
      </c>
      <c r="J116" s="345" t="str">
        <f>IF(I116&lt;&gt;"",VLOOKUP(I116,'CUSTOMER LISTS'!$B$3:$E$1048576,2,0),"")</f>
        <v>JOEF GAS STATION</v>
      </c>
      <c r="K116" s="345" t="str">
        <f>IF(I116&lt;&gt;"",VLOOKUP(I116,'CUSTOMER LISTS'!$B$3:$E$1048576,3,0),"")</f>
        <v>JONATHAN BOTER MEDICO</v>
      </c>
      <c r="L116" s="345" t="str">
        <f>IF(I116&lt;&gt;"",VLOOKUP(I116,'CUSTOMER LISTS'!$B$3:$E$1048576,4,0),"")</f>
        <v>BRGY. PANTAD, SAN PABLO, ZAMBOANGA DEL SUR</v>
      </c>
      <c r="M116" s="339">
        <v>761</v>
      </c>
      <c r="N116" s="346" t="str">
        <f>IF(M116&lt;&gt;"",VLOOKUP(M116,'PRODUCT &amp; SERVICES'!$O:$P,2,0),"")</f>
        <v>Others ( Pls. Specify )</v>
      </c>
      <c r="O116" s="347"/>
      <c r="P116" s="344"/>
      <c r="Q116" s="345" t="s">
        <v>325</v>
      </c>
      <c r="R116" s="345"/>
      <c r="S116" s="345"/>
      <c r="T116" s="348"/>
      <c r="U116" s="349"/>
    </row>
    <row r="117" spans="1:21" s="350" customFormat="1" ht="15" customHeight="1">
      <c r="A117" s="336" t="s">
        <v>326</v>
      </c>
      <c r="B117" s="337">
        <v>734</v>
      </c>
      <c r="C117" s="337" t="s">
        <v>331</v>
      </c>
      <c r="D117" s="338">
        <v>1550</v>
      </c>
      <c r="E117" s="339" t="s">
        <v>199</v>
      </c>
      <c r="F117" s="340" t="str">
        <f>IF(E117&lt;&gt;"",VLOOKUP(E117,CODE!$B$2:$C$11,2,0),"")</f>
        <v>CHINA BANK - SAVINGS</v>
      </c>
      <c r="G117" s="339">
        <v>43046</v>
      </c>
      <c r="H117" s="342" t="str">
        <f>IF(G117&lt;&gt;"",VLOOKUP(G117,COA!$A$3:$G$1048576,2,0),"")</f>
        <v>Miscellaneous Income - OPS</v>
      </c>
      <c r="I117" s="356" t="s">
        <v>332</v>
      </c>
      <c r="J117" s="345" t="str">
        <f>IF(I117&lt;&gt;"",VLOOKUP(I117,'CUSTOMER LISTS'!$B$3:$E$1048576,2,0),"")</f>
        <v>MBB FUEL REFILLING STATION</v>
      </c>
      <c r="K117" s="345" t="str">
        <f>IF(I117&lt;&gt;"",VLOOKUP(I117,'CUSTOMER LISTS'!$B$3:$E$1048576,3,0),"")</f>
        <v>BRENDO BIASCA MALAHAY</v>
      </c>
      <c r="L117" s="345" t="str">
        <f>IF(I117&lt;&gt;"",VLOOKUP(I117,'CUSTOMER LISTS'!$B$3:$E$1048576,4,0),"")</f>
        <v>BRGY. POBLACION, SIAYAN, ZAMBONGA DEL NORTE</v>
      </c>
      <c r="M117" s="339">
        <v>761</v>
      </c>
      <c r="N117" s="346" t="str">
        <f>IF(M117&lt;&gt;"",VLOOKUP(M117,'PRODUCT &amp; SERVICES'!$O:$P,2,0),"")</f>
        <v>Others ( Pls. Specify )</v>
      </c>
      <c r="O117" s="347"/>
      <c r="P117" s="344"/>
      <c r="Q117" s="345" t="s">
        <v>325</v>
      </c>
      <c r="R117" s="345"/>
      <c r="S117" s="345"/>
      <c r="T117" s="348"/>
      <c r="U117" s="349"/>
    </row>
    <row r="118" spans="1:21" s="350" customFormat="1" ht="15" customHeight="1">
      <c r="A118" s="336" t="s">
        <v>333</v>
      </c>
      <c r="B118" s="337">
        <v>735</v>
      </c>
      <c r="C118" s="337" t="s">
        <v>334</v>
      </c>
      <c r="D118" s="338">
        <v>1550</v>
      </c>
      <c r="E118" s="339" t="s">
        <v>199</v>
      </c>
      <c r="F118" s="340" t="str">
        <f>IF(E118&lt;&gt;"",VLOOKUP(E118,CODE!$B$2:$C$11,2,0),"")</f>
        <v>CHINA BANK - SAVINGS</v>
      </c>
      <c r="G118" s="339">
        <v>43046</v>
      </c>
      <c r="H118" s="342" t="str">
        <f>IF(G118&lt;&gt;"",VLOOKUP(G118,COA!$A$3:$G$1048576,2,0),"")</f>
        <v>Miscellaneous Income - OPS</v>
      </c>
      <c r="I118" s="356" t="s">
        <v>335</v>
      </c>
      <c r="J118" s="345" t="str">
        <f>IF(I118&lt;&gt;"",VLOOKUP(I118,'CUSTOMER LISTS'!$B$3:$E$1048576,2,0),"")</f>
        <v>RIVAS GAS REFILLING STATION</v>
      </c>
      <c r="K118" s="345" t="str">
        <f>IF(I118&lt;&gt;"",VLOOKUP(I118,'CUSTOMER LISTS'!$B$3:$E$1048576,3,0),"")</f>
        <v>RIEL MONTEFALCON RIVAS</v>
      </c>
      <c r="L118" s="345" t="str">
        <f>IF(I118&lt;&gt;"",VLOOKUP(I118,'CUSTOMER LISTS'!$B$3:$E$1048576,4,0),"")</f>
        <v>BRGY. MOTIBOT, SINDANGAN, ZAMBOANGA DEL NORTE</v>
      </c>
      <c r="M118" s="339">
        <v>761</v>
      </c>
      <c r="N118" s="346" t="str">
        <f>IF(M118&lt;&gt;"",VLOOKUP(M118,'PRODUCT &amp; SERVICES'!$O:$P,2,0),"")</f>
        <v>Others ( Pls. Specify )</v>
      </c>
      <c r="O118" s="347"/>
      <c r="P118" s="344"/>
      <c r="Q118" s="345" t="s">
        <v>325</v>
      </c>
      <c r="R118" s="345"/>
      <c r="S118" s="345"/>
      <c r="T118" s="348"/>
      <c r="U118" s="349"/>
    </row>
    <row r="119" spans="1:21" s="350" customFormat="1" ht="15" customHeight="1">
      <c r="A119" s="357" t="s">
        <v>336</v>
      </c>
      <c r="B119" s="337">
        <v>736</v>
      </c>
      <c r="C119" s="337" t="s">
        <v>337</v>
      </c>
      <c r="D119" s="338">
        <v>9445</v>
      </c>
      <c r="E119" s="339" t="s">
        <v>199</v>
      </c>
      <c r="F119" s="340" t="str">
        <f>IF(E119&lt;&gt;"",VLOOKUP(E119,CODE!$B$2:$C$11,2,0),"")</f>
        <v>CHINA BANK - SAVINGS</v>
      </c>
      <c r="G119" s="339">
        <v>43026</v>
      </c>
      <c r="H119" s="358" t="str">
        <f>IF(G119&lt;&gt;"",VLOOKUP(G119,COA!$A$3:$G$1048576,2,0),"")</f>
        <v>Service Income</v>
      </c>
      <c r="I119" s="356" t="s">
        <v>250</v>
      </c>
      <c r="J119" s="345" t="str">
        <f>IF(I119&lt;&gt;"",VLOOKUP(I119,'CUSTOMER LISTS'!$B$3:$E$1048576,2,0),"")</f>
        <v>CHUCK GAS REFILLING STATION</v>
      </c>
      <c r="K119" s="345" t="str">
        <f>IF(I119&lt;&gt;"",VLOOKUP(I119,'CUSTOMER LISTS'!$B$3:$E$1048576,3,0),"")</f>
        <v>MAREBEL VILLACURA HICALDE</v>
      </c>
      <c r="L119" s="345" t="str">
        <f>IF(I119&lt;&gt;"",VLOOKUP(I119,'CUSTOMER LISTS'!$B$3:$E$1048576,4,0),"")</f>
        <v>BRGY. TIMAN, LILOY, ZAMBOANGA DEL NORTE</v>
      </c>
      <c r="M119" s="339">
        <v>761</v>
      </c>
      <c r="N119" s="346" t="str">
        <f>IF(M119&lt;&gt;"",VLOOKUP(M119,'PRODUCT &amp; SERVICES'!$O:$P,2,0),"")</f>
        <v>Others ( Pls. Specify )</v>
      </c>
      <c r="O119" s="347"/>
      <c r="P119" s="344"/>
      <c r="Q119" s="354" t="s">
        <v>323</v>
      </c>
      <c r="R119" s="345"/>
      <c r="S119" s="345"/>
      <c r="T119" s="348"/>
      <c r="U119" s="349"/>
    </row>
    <row r="120" spans="1:21" s="350" customFormat="1" ht="15" customHeight="1">
      <c r="A120" s="357" t="s">
        <v>336</v>
      </c>
      <c r="B120" s="337">
        <v>737</v>
      </c>
      <c r="C120" s="337" t="s">
        <v>338</v>
      </c>
      <c r="D120" s="338">
        <v>1550</v>
      </c>
      <c r="E120" s="339" t="s">
        <v>199</v>
      </c>
      <c r="F120" s="340" t="str">
        <f>IF(E120&lt;&gt;"",VLOOKUP(E120,CODE!$B$2:$C$11,2,0),"")</f>
        <v>CHINA BANK - SAVINGS</v>
      </c>
      <c r="G120" s="339">
        <v>43046</v>
      </c>
      <c r="H120" s="358" t="str">
        <f>IF(G120&lt;&gt;"",VLOOKUP(G120,COA!$A$3:$G$1048576,2,0),"")</f>
        <v>Miscellaneous Income - OPS</v>
      </c>
      <c r="I120" s="356" t="s">
        <v>250</v>
      </c>
      <c r="J120" s="345" t="str">
        <f>IF(I120&lt;&gt;"",VLOOKUP(I120,'CUSTOMER LISTS'!$B$3:$E$1048576,2,0),"")</f>
        <v>CHUCK GAS REFILLING STATION</v>
      </c>
      <c r="K120" s="345" t="str">
        <f>IF(I120&lt;&gt;"",VLOOKUP(I120,'CUSTOMER LISTS'!$B$3:$E$1048576,3,0),"")</f>
        <v>MAREBEL VILLACURA HICALDE</v>
      </c>
      <c r="L120" s="345" t="str">
        <f>IF(I120&lt;&gt;"",VLOOKUP(I120,'CUSTOMER LISTS'!$B$3:$E$1048576,4,0),"")</f>
        <v>BRGY. TIMAN, LILOY, ZAMBOANGA DEL NORTE</v>
      </c>
      <c r="M120" s="339">
        <v>761</v>
      </c>
      <c r="N120" s="346" t="str">
        <f>IF(M120&lt;&gt;"",VLOOKUP(M120,'PRODUCT &amp; SERVICES'!$O:$P,2,0),"")</f>
        <v>Others ( Pls. Specify )</v>
      </c>
      <c r="O120" s="347"/>
      <c r="P120" s="344"/>
      <c r="Q120" s="345" t="s">
        <v>325</v>
      </c>
      <c r="R120" s="345"/>
      <c r="S120" s="345"/>
      <c r="T120" s="348"/>
      <c r="U120" s="349"/>
    </row>
    <row r="121" spans="1:21" s="350" customFormat="1" ht="15" customHeight="1">
      <c r="A121" s="357" t="s">
        <v>336</v>
      </c>
      <c r="B121" s="337">
        <v>738</v>
      </c>
      <c r="C121" s="337" t="s">
        <v>339</v>
      </c>
      <c r="D121" s="338">
        <v>1550</v>
      </c>
      <c r="E121" s="339" t="s">
        <v>199</v>
      </c>
      <c r="F121" s="340" t="str">
        <f>IF(E121&lt;&gt;"",VLOOKUP(E121,CODE!$B$2:$C$11,2,0),"")</f>
        <v>CHINA BANK - SAVINGS</v>
      </c>
      <c r="G121" s="339">
        <v>43046</v>
      </c>
      <c r="H121" s="358" t="str">
        <f>IF(G121&lt;&gt;"",VLOOKUP(G121,COA!$A$3:$G$1048576,2,0),"")</f>
        <v>Miscellaneous Income - OPS</v>
      </c>
      <c r="I121" s="359" t="s">
        <v>221</v>
      </c>
      <c r="J121" s="345" t="str">
        <f>IF(I121&lt;&gt;"",VLOOKUP(I121,'CUSTOMER LISTS'!$B$3:$E$1048576,2,0),"")</f>
        <v>JMS FUEL REFILLING STATION</v>
      </c>
      <c r="K121" s="345" t="str">
        <f>IF(I121&lt;&gt;"",VLOOKUP(I121,'CUSTOMER LISTS'!$B$3:$E$1048576,3,0),"")</f>
        <v>JESSA CAMAC ACAYLAR</v>
      </c>
      <c r="L121" s="345" t="str">
        <f>IF(I121&lt;&gt;"",VLOOKUP(I121,'CUSTOMER LISTS'!$B$3:$E$1048576,4,0),"")</f>
        <v>BRGY. SAN ANTONIO, TITAY, ZAMBOANGA SIBUGAY</v>
      </c>
      <c r="M121" s="339">
        <v>761</v>
      </c>
      <c r="N121" s="346" t="str">
        <f>IF(M121&lt;&gt;"",VLOOKUP(M121,'PRODUCT &amp; SERVICES'!$O:$P,2,0),"")</f>
        <v>Others ( Pls. Specify )</v>
      </c>
      <c r="O121" s="347"/>
      <c r="P121" s="344"/>
      <c r="Q121" s="345" t="s">
        <v>325</v>
      </c>
      <c r="R121" s="345"/>
      <c r="S121" s="345"/>
      <c r="T121" s="348"/>
      <c r="U121" s="349"/>
    </row>
    <row r="122" spans="1:21" s="350" customFormat="1" ht="15" customHeight="1">
      <c r="A122" s="357" t="s">
        <v>336</v>
      </c>
      <c r="B122" s="360">
        <v>739</v>
      </c>
      <c r="C122" s="360" t="s">
        <v>340</v>
      </c>
      <c r="D122" s="361">
        <v>7485</v>
      </c>
      <c r="E122" s="339" t="s">
        <v>199</v>
      </c>
      <c r="F122" s="362" t="str">
        <f>IF(E122&lt;&gt;"",VLOOKUP(E122,CODE!$B$2:$C$11,2,0),"")</f>
        <v>CHINA BANK - SAVINGS</v>
      </c>
      <c r="G122" s="339">
        <v>43026</v>
      </c>
      <c r="H122" s="363" t="str">
        <f>IF(G122&lt;&gt;"",VLOOKUP(G122,COA!$A$3:$G$1048576,2,0),"")</f>
        <v>Service Income</v>
      </c>
      <c r="I122" s="359" t="s">
        <v>221</v>
      </c>
      <c r="J122" s="364" t="str">
        <f>IF(I122&lt;&gt;"",VLOOKUP(I122,'CUSTOMER LISTS'!$B$3:$E$1048576,2,0),"")</f>
        <v>JMS FUEL REFILLING STATION</v>
      </c>
      <c r="K122" s="364" t="str">
        <f>IF(I122&lt;&gt;"",VLOOKUP(I122,'CUSTOMER LISTS'!$B$3:$E$1048576,3,0),"")</f>
        <v>JESSA CAMAC ACAYLAR</v>
      </c>
      <c r="L122" s="364" t="str">
        <f>IF(I122&lt;&gt;"",VLOOKUP(I122,'CUSTOMER LISTS'!$B$3:$E$1048576,4,0),"")</f>
        <v>BRGY. SAN ANTONIO, TITAY, ZAMBOANGA SIBUGAY</v>
      </c>
      <c r="M122" s="339">
        <v>761</v>
      </c>
      <c r="N122" s="365" t="str">
        <f>IF(M122&lt;&gt;"",VLOOKUP(M122,'PRODUCT &amp; SERVICES'!$O:$P,2,0),"")</f>
        <v>Others ( Pls. Specify )</v>
      </c>
      <c r="O122" s="347"/>
      <c r="P122" s="366"/>
      <c r="Q122" s="364" t="s">
        <v>201</v>
      </c>
      <c r="R122" s="364"/>
      <c r="S122" s="364"/>
      <c r="T122" s="367"/>
      <c r="U122" s="368"/>
    </row>
    <row r="123" spans="1:21" s="350" customFormat="1" ht="15" customHeight="1">
      <c r="A123" s="357" t="s">
        <v>336</v>
      </c>
      <c r="B123" s="369">
        <v>740</v>
      </c>
      <c r="C123" s="369" t="s">
        <v>341</v>
      </c>
      <c r="D123" s="370">
        <v>1550</v>
      </c>
      <c r="E123" s="339" t="s">
        <v>199</v>
      </c>
      <c r="F123" s="340" t="str">
        <f>IF(E123&lt;&gt;"",VLOOKUP(E123,CODE!$B$2:$C$11,2,0),"")</f>
        <v>CHINA BANK - SAVINGS</v>
      </c>
      <c r="G123" s="339">
        <v>43046</v>
      </c>
      <c r="H123" s="342" t="str">
        <f>IF(G123&lt;&gt;"",VLOOKUP(G123,COA!$A$3:$G$1048576,2,0),"")</f>
        <v>Miscellaneous Income - OPS</v>
      </c>
      <c r="I123" s="371" t="s">
        <v>342</v>
      </c>
      <c r="J123" s="352" t="str">
        <f>IF(I123&lt;&gt;"",VLOOKUP(I123,'CUSTOMER LISTS'!$B$3:$E$1048576,2,0),"")</f>
        <v>TONY GAS REFILLING STATION</v>
      </c>
      <c r="K123" s="352" t="str">
        <f>IF(I123&lt;&gt;"",VLOOKUP(I123,'CUSTOMER LISTS'!$B$3:$E$1048576,3,0),"")</f>
        <v>ANTONIO VALLECER GONZALES</v>
      </c>
      <c r="L123" s="352" t="str">
        <f>IF(I123&lt;&gt;"",VLOOKUP(I123,'CUSTOMER LISTS'!$B$3:$E$1048576,4,0),"")</f>
        <v>PUROK MADASIGON, DOHINOB, ROXAS, ZAMBOANGA DEL SUR</v>
      </c>
      <c r="M123" s="339">
        <v>761</v>
      </c>
      <c r="N123" s="352" t="str">
        <f>IF(M123&lt;&gt;"",VLOOKUP(M123,'PRODUCT &amp; SERVICES'!$O:$P,2,0),"")</f>
        <v>Others ( Pls. Specify )</v>
      </c>
      <c r="O123" s="352"/>
      <c r="P123" s="352"/>
      <c r="Q123" s="345" t="s">
        <v>325</v>
      </c>
      <c r="R123" s="352"/>
      <c r="S123" s="352"/>
      <c r="T123" s="372"/>
      <c r="U123" s="369"/>
    </row>
    <row r="124" spans="1:21" s="350" customFormat="1" ht="15" customHeight="1">
      <c r="A124" s="357" t="s">
        <v>336</v>
      </c>
      <c r="B124" s="369">
        <v>741</v>
      </c>
      <c r="C124" s="369" t="s">
        <v>343</v>
      </c>
      <c r="D124" s="370">
        <v>1140</v>
      </c>
      <c r="E124" s="369" t="s">
        <v>44</v>
      </c>
      <c r="F124" s="340" t="str">
        <f>IF(E124&lt;&gt;"",VLOOKUP(E124,CODE!$B$2:$C$11,2,0),"")</f>
        <v>PNB - CHECKING</v>
      </c>
      <c r="G124" s="369">
        <v>43016</v>
      </c>
      <c r="H124" s="342" t="str">
        <f>IF(G124&lt;&gt;"",VLOOKUP(G124,COA!$A$3:$G$1048576,2,0),"")</f>
        <v>Job Orders</v>
      </c>
      <c r="I124" s="371" t="s">
        <v>344</v>
      </c>
      <c r="J124" s="352" t="str">
        <f>IF(I124&lt;&gt;"",VLOOKUP(I124,'CUSTOMER LISTS'!$B$3:$E$1048576,2,0),"")</f>
        <v>IAP'S GASOLINE STATION</v>
      </c>
      <c r="K124" s="352" t="str">
        <f>IF(I124&lt;&gt;"",VLOOKUP(I124,'CUSTOMER LISTS'!$B$3:$E$1048576,3,0),"")</f>
        <v>ALLAN FEROLINO OBAS</v>
      </c>
      <c r="L124" s="352" t="str">
        <f>IF(I124&lt;&gt;"",VLOOKUP(I124,'CUSTOMER LISTS'!$B$3:$E$1048576,4,0),"")</f>
        <v>BRGY. ASENIERO, DAPITAN, ZAMBOANGA DEL NORTE</v>
      </c>
      <c r="M124" s="369">
        <v>761</v>
      </c>
      <c r="N124" s="352" t="str">
        <f>IF(M124&lt;&gt;"",VLOOKUP(M124,'PRODUCT &amp; SERVICES'!$O:$P,2,0),"")</f>
        <v>Others ( Pls. Specify )</v>
      </c>
      <c r="O124" s="352"/>
      <c r="P124" s="352"/>
      <c r="Q124" s="352" t="s">
        <v>345</v>
      </c>
      <c r="R124" s="369" t="s">
        <v>29</v>
      </c>
      <c r="S124" s="352"/>
      <c r="T124" s="372"/>
      <c r="U124" s="369"/>
    </row>
    <row r="125" spans="1:21" s="350" customFormat="1" ht="15" customHeight="1">
      <c r="A125" s="357" t="s">
        <v>336</v>
      </c>
      <c r="B125" s="369">
        <v>741</v>
      </c>
      <c r="C125" s="369" t="s">
        <v>343</v>
      </c>
      <c r="D125" s="370">
        <v>2500</v>
      </c>
      <c r="E125" s="369" t="s">
        <v>44</v>
      </c>
      <c r="F125" s="340" t="str">
        <f>IF(E125&lt;&gt;"",VLOOKUP(E125,CODE!$B$2:$C$11,2,0),"")</f>
        <v>PNB - CHECKING</v>
      </c>
      <c r="G125" s="369">
        <v>21016</v>
      </c>
      <c r="H125" s="342" t="str">
        <f>IF(G125&lt;&gt;"",VLOOKUP(G125,COA!$A$3:$G$1048576,2,0),"")</f>
        <v>Unearned Revenue - OPS</v>
      </c>
      <c r="I125" s="371" t="s">
        <v>344</v>
      </c>
      <c r="J125" s="352" t="str">
        <f>IF(I125&lt;&gt;"",VLOOKUP(I125,'CUSTOMER LISTS'!$B$3:$E$1048576,2,0),"")</f>
        <v>IAP'S GASOLINE STATION</v>
      </c>
      <c r="K125" s="352" t="str">
        <f>IF(I125&lt;&gt;"",VLOOKUP(I125,'CUSTOMER LISTS'!$B$3:$E$1048576,3,0),"")</f>
        <v>ALLAN FEROLINO OBAS</v>
      </c>
      <c r="L125" s="352" t="str">
        <f>IF(I125&lt;&gt;"",VLOOKUP(I125,'CUSTOMER LISTS'!$B$3:$E$1048576,4,0),"")</f>
        <v>BRGY. ASENIERO, DAPITAN, ZAMBOANGA DEL NORTE</v>
      </c>
      <c r="M125" s="369">
        <v>761</v>
      </c>
      <c r="N125" s="352" t="str">
        <f>IF(M125&lt;&gt;"",VLOOKUP(M125,'PRODUCT &amp; SERVICES'!$O:$P,2,0),"")</f>
        <v>Others ( Pls. Specify )</v>
      </c>
      <c r="O125" s="352" t="s">
        <v>150</v>
      </c>
      <c r="P125" s="352"/>
      <c r="Q125" s="352" t="s">
        <v>257</v>
      </c>
      <c r="R125" s="369" t="s">
        <v>29</v>
      </c>
      <c r="S125" s="352"/>
      <c r="T125" s="372"/>
      <c r="U125" s="369"/>
    </row>
    <row r="126" spans="1:21" s="350" customFormat="1" ht="15" customHeight="1">
      <c r="A126" s="357" t="s">
        <v>336</v>
      </c>
      <c r="B126" s="369">
        <v>742</v>
      </c>
      <c r="C126" s="369" t="s">
        <v>346</v>
      </c>
      <c r="D126" s="370">
        <v>1550</v>
      </c>
      <c r="E126" s="369" t="s">
        <v>199</v>
      </c>
      <c r="F126" s="340" t="str">
        <f>IF(E126&lt;&gt;"",VLOOKUP(E126,CODE!$B$2:$C$11,2,0),"")</f>
        <v>CHINA BANK - SAVINGS</v>
      </c>
      <c r="G126" s="369">
        <v>43046</v>
      </c>
      <c r="H126" s="342" t="str">
        <f>IF(G126&lt;&gt;"",VLOOKUP(G126,COA!$A$3:$G$1048576,2,0),"")</f>
        <v>Miscellaneous Income - OPS</v>
      </c>
      <c r="I126" s="371" t="s">
        <v>68</v>
      </c>
      <c r="J126" s="352" t="str">
        <f>IF(I126&lt;&gt;"",VLOOKUP(I126,'CUSTOMER LISTS'!$B$3:$E$1048576,2,0),"")</f>
        <v>MJ FUEL REFILLING STATION</v>
      </c>
      <c r="K126" s="352" t="str">
        <f>IF(I126&lt;&gt;"",VLOOKUP(I126,'CUSTOMER LISTS'!$B$3:$E$1048576,3,0),"")</f>
        <v>JERELYN MONTEZA AWA</v>
      </c>
      <c r="L126" s="352" t="str">
        <f>IF(I126&lt;&gt;"",VLOOKUP(I126,'CUSTOMER LISTS'!$B$3:$E$1048576,4,0),"")</f>
        <v>BRGY. DANSULLAN, POLANCO, ZAMBOANGA DEL NORTE</v>
      </c>
      <c r="M126" s="369">
        <v>761</v>
      </c>
      <c r="N126" s="352" t="str">
        <f>IF(M126&lt;&gt;"",VLOOKUP(M126,'PRODUCT &amp; SERVICES'!$O:$P,2,0),"")</f>
        <v>Others ( Pls. Specify )</v>
      </c>
      <c r="O126" s="352"/>
      <c r="P126" s="352"/>
      <c r="Q126" s="345" t="s">
        <v>325</v>
      </c>
      <c r="R126" s="369" t="s">
        <v>29</v>
      </c>
      <c r="S126" s="352"/>
      <c r="T126" s="372"/>
      <c r="U126" s="369"/>
    </row>
    <row r="127" spans="1:21" s="350" customFormat="1" ht="15" customHeight="1">
      <c r="A127" s="357" t="s">
        <v>333</v>
      </c>
      <c r="B127" s="369">
        <v>743</v>
      </c>
      <c r="C127" s="369" t="s">
        <v>347</v>
      </c>
      <c r="D127" s="370">
        <v>1550</v>
      </c>
      <c r="E127" s="369" t="s">
        <v>199</v>
      </c>
      <c r="F127" s="340" t="str">
        <f>IF(E127&lt;&gt;"",VLOOKUP(E127,CODE!$B$2:$C$11,2,0),"")</f>
        <v>CHINA BANK - SAVINGS</v>
      </c>
      <c r="G127" s="369">
        <v>43046</v>
      </c>
      <c r="H127" s="342" t="str">
        <f>IF(G127&lt;&gt;"",VLOOKUP(G127,COA!$A$3:$G$1048576,2,0),"")</f>
        <v>Miscellaneous Income - OPS</v>
      </c>
      <c r="I127" s="371" t="s">
        <v>348</v>
      </c>
      <c r="J127" s="352" t="str">
        <f>IF(I127&lt;&gt;"",VLOOKUP(I127,'CUSTOMER LISTS'!$B$3:$E$1048576,2,0),"")</f>
        <v>HI-LAND FUEL REFILLING STATION</v>
      </c>
      <c r="K127" s="352" t="str">
        <f>IF(I127&lt;&gt;"",VLOOKUP(I127,'CUSTOMER LISTS'!$B$3:$E$1048576,3,0),"")</f>
        <v>SITTI MAIRA LANGAN ANDAL</v>
      </c>
      <c r="L127" s="352" t="str">
        <f>IF(I127&lt;&gt;"",VLOOKUP(I127,'CUSTOMER LISTS'!$B$3:$E$1048576,4,0),"")</f>
        <v>BRGY. BACONG, SALUG, ZAMBONGA DEL  NORTE</v>
      </c>
      <c r="M127" s="369">
        <v>761</v>
      </c>
      <c r="N127" s="352" t="str">
        <f>IF(M127&lt;&gt;"",VLOOKUP(M127,'PRODUCT &amp; SERVICES'!$O:$P,2,0),"")</f>
        <v>Others ( Pls. Specify )</v>
      </c>
      <c r="O127" s="352"/>
      <c r="P127" s="352"/>
      <c r="Q127" s="345" t="s">
        <v>325</v>
      </c>
      <c r="R127" s="369" t="s">
        <v>29</v>
      </c>
      <c r="S127" s="352"/>
      <c r="T127" s="372"/>
      <c r="U127" s="369"/>
    </row>
    <row r="128" spans="1:21" s="350" customFormat="1" ht="15" customHeight="1">
      <c r="A128" s="357" t="s">
        <v>333</v>
      </c>
      <c r="B128" s="369">
        <v>744</v>
      </c>
      <c r="C128" s="369" t="s">
        <v>349</v>
      </c>
      <c r="D128" s="370">
        <v>4650</v>
      </c>
      <c r="E128" s="369" t="s">
        <v>199</v>
      </c>
      <c r="F128" s="340" t="str">
        <f>IF(E128&lt;&gt;"",VLOOKUP(E128,CODE!$B$2:$C$11,2,0),"")</f>
        <v>CHINA BANK - SAVINGS</v>
      </c>
      <c r="G128" s="369">
        <v>43046</v>
      </c>
      <c r="H128" s="342" t="str">
        <f>IF(G128&lt;&gt;"",VLOOKUP(G128,COA!$A$3:$G$1048576,2,0),"")</f>
        <v>Miscellaneous Income - OPS</v>
      </c>
      <c r="I128" s="371" t="s">
        <v>350</v>
      </c>
      <c r="J128" s="352" t="str">
        <f>IF(I128&lt;&gt;"",VLOOKUP(I128,'CUSTOMER LISTS'!$B$3:$E$1048576,2,0),"")</f>
        <v>PNP MULTI-PURPOSE COOPERATIVE</v>
      </c>
      <c r="K128" s="352">
        <f>IF(I128&lt;&gt;"",VLOOKUP(I128,'CUSTOMER LISTS'!$B$3:$E$1048576,3,0),"")</f>
        <v>0</v>
      </c>
      <c r="L128" s="352" t="str">
        <f>IF(I128&lt;&gt;"",VLOOKUP(I128,'CUSTOMER LISTS'!$B$3:$E$1048576,4,0),"")</f>
        <v>BRGY. MARCEDEZ, ZAMBOANGA  CITY</v>
      </c>
      <c r="M128" s="369">
        <v>761</v>
      </c>
      <c r="N128" s="352" t="str">
        <f>IF(M128&lt;&gt;"",VLOOKUP(M128,'PRODUCT &amp; SERVICES'!$O:$P,2,0),"")</f>
        <v>Others ( Pls. Specify )</v>
      </c>
      <c r="O128" s="373"/>
      <c r="P128" s="352"/>
      <c r="Q128" s="345" t="s">
        <v>325</v>
      </c>
      <c r="R128" s="369" t="s">
        <v>29</v>
      </c>
      <c r="S128" s="352"/>
      <c r="T128" s="372"/>
      <c r="U128" s="369"/>
    </row>
    <row r="129" spans="1:21" s="350" customFormat="1" ht="15" customHeight="1">
      <c r="A129" s="357" t="s">
        <v>333</v>
      </c>
      <c r="B129" s="369">
        <v>745</v>
      </c>
      <c r="C129" s="369" t="s">
        <v>351</v>
      </c>
      <c r="D129" s="370">
        <v>2250</v>
      </c>
      <c r="E129" s="369" t="s">
        <v>199</v>
      </c>
      <c r="F129" s="340" t="str">
        <f>IF(E129&lt;&gt;"",VLOOKUP(E129,CODE!$B$2:$C$11,2,0),"")</f>
        <v>CHINA BANK - SAVINGS</v>
      </c>
      <c r="G129" s="369">
        <v>43046</v>
      </c>
      <c r="H129" s="342" t="str">
        <f>IF(G129&lt;&gt;"",VLOOKUP(G129,COA!$A$3:$G$1048576,2,0),"")</f>
        <v>Miscellaneous Income - OPS</v>
      </c>
      <c r="I129" s="371" t="s">
        <v>125</v>
      </c>
      <c r="J129" s="352" t="str">
        <f>IF(I129&lt;&gt;"",VLOOKUP(I129,'CUSTOMER LISTS'!$B$3:$E$1048576,2,0),"")</f>
        <v>CALAMBA FUEL REFILLING STATION</v>
      </c>
      <c r="K129" s="352" t="str">
        <f>IF(I129&lt;&gt;"",VLOOKUP(I129,'CUSTOMER LISTS'!$B$3:$E$1048576,3,0),"")</f>
        <v>RONAN CASTILLON</v>
      </c>
      <c r="L129" s="352" t="str">
        <f>IF(I129&lt;&gt;"",VLOOKUP(I129,'CUSTOMER LISTS'!$B$3:$E$1048576,4,0),"")</f>
        <v>BRGY. MAGCAMIGUING, CALAMBA, ZAMBOANGA DEL NORTE</v>
      </c>
      <c r="M129" s="369">
        <v>761</v>
      </c>
      <c r="N129" s="352" t="str">
        <f>IF(M129&lt;&gt;"",VLOOKUP(M129,'PRODUCT &amp; SERVICES'!$O:$P,2,0),"")</f>
        <v>Others ( Pls. Specify )</v>
      </c>
      <c r="O129" s="352"/>
      <c r="P129" s="352"/>
      <c r="Q129" s="345" t="s">
        <v>325</v>
      </c>
      <c r="R129" s="369" t="s">
        <v>29</v>
      </c>
      <c r="S129" s="352"/>
      <c r="T129" s="372"/>
      <c r="U129" s="369"/>
    </row>
    <row r="130" spans="1:21" s="350" customFormat="1" ht="15" customHeight="1">
      <c r="A130" s="357" t="s">
        <v>336</v>
      </c>
      <c r="B130" s="369">
        <v>746</v>
      </c>
      <c r="C130" s="369" t="s">
        <v>352</v>
      </c>
      <c r="D130" s="370">
        <v>1550</v>
      </c>
      <c r="E130" s="369" t="s">
        <v>199</v>
      </c>
      <c r="F130" s="340" t="str">
        <f>IF(E130&lt;&gt;"",VLOOKUP(E130,CODE!$B$2:$C$11,2,0),"")</f>
        <v>CHINA BANK - SAVINGS</v>
      </c>
      <c r="G130" s="369">
        <v>43046</v>
      </c>
      <c r="H130" s="342" t="str">
        <f>IF(G130&lt;&gt;"",VLOOKUP(G130,COA!$A$3:$G$1048576,2,0),"")</f>
        <v>Miscellaneous Income - OPS</v>
      </c>
      <c r="I130" s="371" t="s">
        <v>256</v>
      </c>
      <c r="J130" s="352" t="str">
        <f>IF(I130&lt;&gt;"",VLOOKUP(I130,'CUSTOMER LISTS'!$B$3:$E$1048576,2,0),"")</f>
        <v>MARCUS FUEL STATION</v>
      </c>
      <c r="K130" s="352" t="str">
        <f>IF(I130&lt;&gt;"",VLOOKUP(I130,'CUSTOMER LISTS'!$B$3:$E$1048576,3,0),"")</f>
        <v>MARICRIS FE MAGHINAY ARANDID</v>
      </c>
      <c r="L130" s="352" t="str">
        <f>IF(I130&lt;&gt;"",VLOOKUP(I130,'CUSTOMER LISTS'!$B$3:$E$1048576,4,0),"")</f>
        <v>BRGY. BATO, PLARIDEL, MISAMIS OCCIDENTAL</v>
      </c>
      <c r="M130" s="369">
        <v>761</v>
      </c>
      <c r="N130" s="352" t="str">
        <f>IF(M130&lt;&gt;"",VLOOKUP(M130,'PRODUCT &amp; SERVICES'!$O:$P,2,0),"")</f>
        <v>Others ( Pls. Specify )</v>
      </c>
      <c r="O130" s="352"/>
      <c r="P130" s="352"/>
      <c r="Q130" s="345" t="s">
        <v>325</v>
      </c>
      <c r="R130" s="369" t="s">
        <v>29</v>
      </c>
      <c r="S130" s="352"/>
      <c r="T130" s="372"/>
      <c r="U130" s="369"/>
    </row>
    <row r="131" spans="1:21" s="350" customFormat="1" ht="15" customHeight="1">
      <c r="A131" s="357" t="s">
        <v>336</v>
      </c>
      <c r="B131" s="369">
        <v>747</v>
      </c>
      <c r="C131" s="369" t="s">
        <v>353</v>
      </c>
      <c r="D131" s="370">
        <v>3100</v>
      </c>
      <c r="E131" s="369" t="s">
        <v>199</v>
      </c>
      <c r="F131" s="340" t="str">
        <f>IF(E131&lt;&gt;"",VLOOKUP(E131,CODE!$B$2:$C$11,2,0),"")</f>
        <v>CHINA BANK - SAVINGS</v>
      </c>
      <c r="G131" s="369">
        <v>43046</v>
      </c>
      <c r="H131" s="342" t="str">
        <f>IF(G131&lt;&gt;"",VLOOKUP(G131,COA!$A$3:$G$1048576,2,0),"")</f>
        <v>Miscellaneous Income - OPS</v>
      </c>
      <c r="I131" s="371" t="s">
        <v>200</v>
      </c>
      <c r="J131" s="352" t="str">
        <f>IF(I131&lt;&gt;"",VLOOKUP(I131,'CUSTOMER LISTS'!$B$3:$E$1048576,2,0),"")</f>
        <v>SR GAS STATION</v>
      </c>
      <c r="K131" s="352" t="str">
        <f>IF(I131&lt;&gt;"",VLOOKUP(I131,'CUSTOMER LISTS'!$B$3:$E$1048576,3,0),"")</f>
        <v>RADHATA SALBANI HAMBALI</v>
      </c>
      <c r="L131" s="352" t="str">
        <f>IF(I131&lt;&gt;"",VLOOKUP(I131,'CUSTOMER LISTS'!$B$3:$E$1048576,4,0),"")</f>
        <v>BRGY. RIZON, BACUNGAN, ZAMBOANGA DEL NORTE</v>
      </c>
      <c r="M131" s="369">
        <v>761</v>
      </c>
      <c r="N131" s="352" t="str">
        <f>IF(M131&lt;&gt;"",VLOOKUP(M131,'PRODUCT &amp; SERVICES'!$O:$P,2,0),"")</f>
        <v>Others ( Pls. Specify )</v>
      </c>
      <c r="O131" s="352"/>
      <c r="P131" s="352"/>
      <c r="Q131" s="345" t="s">
        <v>325</v>
      </c>
      <c r="R131" s="369" t="s">
        <v>29</v>
      </c>
      <c r="S131" s="352"/>
      <c r="T131" s="372"/>
      <c r="U131" s="369"/>
    </row>
    <row r="132" spans="1:21" ht="15" customHeight="1">
      <c r="A132" s="224" t="s">
        <v>336</v>
      </c>
      <c r="B132" s="177">
        <v>748</v>
      </c>
      <c r="C132" s="177" t="s">
        <v>354</v>
      </c>
      <c r="D132" s="178">
        <v>1550</v>
      </c>
      <c r="E132" s="177" t="s">
        <v>199</v>
      </c>
      <c r="F132" s="50" t="str">
        <f>IF(E132&lt;&gt;"",VLOOKUP(E132,CODE!$B$2:$C$11,2,0),"")</f>
        <v>CHINA BANK - SAVINGS</v>
      </c>
      <c r="G132" s="177">
        <v>43046</v>
      </c>
      <c r="H132" s="179" t="str">
        <f>IF(G132&lt;&gt;"",VLOOKUP(G132,COA!$A$3:$G$1048576,2,0),"")</f>
        <v>Miscellaneous Income - OPS</v>
      </c>
      <c r="I132" s="234" t="s">
        <v>274</v>
      </c>
      <c r="J132" s="181" t="str">
        <f>IF(I132&lt;&gt;"",VLOOKUP(I132,'CUSTOMER LISTS'!$B$3:$E$1048576,2,0),"")</f>
        <v>B-PRO GASOLINE STATION</v>
      </c>
      <c r="K132" s="181" t="str">
        <f>IF(I132&lt;&gt;"",VLOOKUP(I132,'CUSTOMER LISTS'!$B$3:$E$1048576,3,0),"")</f>
        <v>DIVINE MAY SALAZAR BUSTILLOS</v>
      </c>
      <c r="L132" s="181" t="str">
        <f>IF(I132&lt;&gt;"",VLOOKUP(I132,'CUSTOMER LISTS'!$B$3:$E$1048576,4,0),"")</f>
        <v>BRGY. MALINTUBOAN, LABASON, ZAMBOANGA DEL NORTE</v>
      </c>
      <c r="M132" s="177">
        <v>761</v>
      </c>
      <c r="N132" s="181" t="str">
        <f>IF(M132&lt;&gt;"",VLOOKUP(M132,'PRODUCT &amp; SERVICES'!$O:$P,2,0),"")</f>
        <v>Others ( Pls. Specify )</v>
      </c>
      <c r="O132" s="53"/>
      <c r="P132" s="53"/>
      <c r="Q132" s="2" t="s">
        <v>325</v>
      </c>
      <c r="R132" s="177" t="s">
        <v>29</v>
      </c>
      <c r="S132" s="53"/>
      <c r="T132" s="332"/>
      <c r="U132" s="177"/>
    </row>
    <row r="133" spans="1:21" ht="15" customHeight="1">
      <c r="A133" s="224" t="s">
        <v>336</v>
      </c>
      <c r="B133" s="177">
        <v>749</v>
      </c>
      <c r="C133" s="177" t="s">
        <v>355</v>
      </c>
      <c r="D133" s="178">
        <v>1550</v>
      </c>
      <c r="E133" s="177" t="s">
        <v>199</v>
      </c>
      <c r="F133" s="50" t="str">
        <f>IF(E133&lt;&gt;"",VLOOKUP(E133,CODE!$B$2:$C$11,2,0),"")</f>
        <v>CHINA BANK - SAVINGS</v>
      </c>
      <c r="G133" s="177">
        <v>43046</v>
      </c>
      <c r="H133" s="179" t="str">
        <f>IF(G133&lt;&gt;"",VLOOKUP(G133,COA!$A$3:$G$1048576,2,0),"")</f>
        <v>Miscellaneous Income - OPS</v>
      </c>
      <c r="I133" s="234" t="s">
        <v>75</v>
      </c>
      <c r="J133" s="181" t="str">
        <f>IF(I133&lt;&gt;"",VLOOKUP(I133,'CUSTOMER LISTS'!$B$3:$E$1048576,2,0),"")</f>
        <v>SUERTE GAS STATION</v>
      </c>
      <c r="K133" s="181" t="str">
        <f>IF(I133&lt;&gt;"",VLOOKUP(I133,'CUSTOMER LISTS'!$B$3:$E$1048576,3,0),"")</f>
        <v>ALJUN LATA SUERTE</v>
      </c>
      <c r="L133" s="181" t="str">
        <f>IF(I133&lt;&gt;"",VLOOKUP(I133,'CUSTOMER LISTS'!$B$3:$E$1048576,4,0),"")</f>
        <v>BRGY. GUITRAN, DUMINGAG, ZAMBOANGA DEL SUR</v>
      </c>
      <c r="M133" s="177">
        <v>761</v>
      </c>
      <c r="N133" s="181" t="str">
        <f>IF(M133&lt;&gt;"",VLOOKUP(M133,'PRODUCT &amp; SERVICES'!$O:$P,2,0),"")</f>
        <v>Others ( Pls. Specify )</v>
      </c>
      <c r="O133" s="53"/>
      <c r="P133" s="53"/>
      <c r="Q133" s="2" t="s">
        <v>325</v>
      </c>
      <c r="R133" s="177" t="s">
        <v>29</v>
      </c>
      <c r="S133" s="53"/>
      <c r="T133" s="332"/>
      <c r="U133" s="177"/>
    </row>
    <row r="134" spans="1:21" ht="15" customHeight="1">
      <c r="A134" s="224" t="s">
        <v>336</v>
      </c>
      <c r="B134" s="177">
        <v>750</v>
      </c>
      <c r="C134" s="177" t="s">
        <v>356</v>
      </c>
      <c r="D134" s="178">
        <v>2250</v>
      </c>
      <c r="E134" s="177" t="s">
        <v>199</v>
      </c>
      <c r="F134" s="50" t="str">
        <f>IF(E134&lt;&gt;"",VLOOKUP(E134,CODE!$B$2:$C$11,2,0),"")</f>
        <v>CHINA BANK - SAVINGS</v>
      </c>
      <c r="G134" s="177">
        <v>43046</v>
      </c>
      <c r="H134" s="179" t="str">
        <f>IF(G134&lt;&gt;"",VLOOKUP(G134,COA!$A$3:$G$1048576,2,0),"")</f>
        <v>Miscellaneous Income - OPS</v>
      </c>
      <c r="I134" s="234" t="s">
        <v>61</v>
      </c>
      <c r="J134" s="181" t="str">
        <f>IF(I134&lt;&gt;"",VLOOKUP(I134,'CUSTOMER LISTS'!$B$3:$E$1048576,2,0),"")</f>
        <v>TM'S GAS REFILLING STATION</v>
      </c>
      <c r="K134" s="181" t="str">
        <f>IF(I134&lt;&gt;"",VLOOKUP(I134,'CUSTOMER LISTS'!$B$3:$E$1048576,3,0),"")</f>
        <v>ISABELO A. VILLANUEVA III</v>
      </c>
      <c r="L134" s="181" t="str">
        <f>IF(I134&lt;&gt;"",VLOOKUP(I134,'CUSTOMER LISTS'!$B$3:$E$1048576,4,0),"")</f>
        <v>BRGY. SOUTHWESTERN POBLACION, CALAMBA, MISAMIS OCCIDENTAL</v>
      </c>
      <c r="M134" s="177">
        <v>761</v>
      </c>
      <c r="N134" s="181" t="str">
        <f>IF(M134&lt;&gt;"",VLOOKUP(M134,'PRODUCT &amp; SERVICES'!$O:$P,2,0),"")</f>
        <v>Others ( Pls. Specify )</v>
      </c>
      <c r="O134" s="53"/>
      <c r="P134" s="53"/>
      <c r="Q134" s="2" t="s">
        <v>325</v>
      </c>
      <c r="R134" s="177" t="s">
        <v>29</v>
      </c>
      <c r="S134" s="53"/>
      <c r="T134" s="332"/>
      <c r="U134" s="177"/>
    </row>
    <row r="135" spans="1:21" ht="15" customHeight="1">
      <c r="A135" s="224" t="s">
        <v>336</v>
      </c>
      <c r="B135" s="177">
        <v>751</v>
      </c>
      <c r="C135" s="177" t="s">
        <v>357</v>
      </c>
      <c r="D135" s="178">
        <v>2550</v>
      </c>
      <c r="E135" s="177" t="s">
        <v>199</v>
      </c>
      <c r="F135" s="50" t="str">
        <f>IF(E135&lt;&gt;"",VLOOKUP(E135,CODE!$B$2:$C$11,2,0),"")</f>
        <v>CHINA BANK - SAVINGS</v>
      </c>
      <c r="G135" s="177">
        <v>43046</v>
      </c>
      <c r="H135" s="179" t="str">
        <f>IF(G135&lt;&gt;"",VLOOKUP(G135,COA!$A$3:$G$1048576,2,0),"")</f>
        <v>Miscellaneous Income - OPS</v>
      </c>
      <c r="I135" s="234" t="s">
        <v>299</v>
      </c>
      <c r="J135" s="181" t="str">
        <f>IF(I135&lt;&gt;"",VLOOKUP(I135,'CUSTOMER LISTS'!$B$3:$E$1048576,2,0),"")</f>
        <v>DJ GAS STATION</v>
      </c>
      <c r="K135" s="181" t="str">
        <f>IF(I135&lt;&gt;"",VLOOKUP(I135,'CUSTOMER LISTS'!$B$3:$E$1048576,3,0),"")</f>
        <v>ROLAND MARTINEZ</v>
      </c>
      <c r="L135" s="181" t="str">
        <f>IF(I135&lt;&gt;"",VLOOKUP(I135,'CUSTOMER LISTS'!$B$3:$E$1048576,4,0),"")</f>
        <v>BRGY. GALAS, DIPOLOG CITY</v>
      </c>
      <c r="M135" s="177">
        <v>761</v>
      </c>
      <c r="N135" s="181" t="str">
        <f>IF(M135&lt;&gt;"",VLOOKUP(M135,'PRODUCT &amp; SERVICES'!$O:$P,2,0),"")</f>
        <v>Others ( Pls. Specify )</v>
      </c>
      <c r="O135" s="53"/>
      <c r="P135" s="53"/>
      <c r="Q135" s="2" t="s">
        <v>325</v>
      </c>
      <c r="R135" s="177" t="s">
        <v>29</v>
      </c>
      <c r="S135" s="53"/>
      <c r="T135" s="332"/>
      <c r="U135" s="177"/>
    </row>
    <row r="136" spans="1:21" ht="15" customHeight="1">
      <c r="A136" s="224" t="s">
        <v>336</v>
      </c>
      <c r="B136" s="177">
        <v>752</v>
      </c>
      <c r="C136" s="177" t="s">
        <v>358</v>
      </c>
      <c r="D136" s="178">
        <v>1250</v>
      </c>
      <c r="E136" s="177" t="s">
        <v>199</v>
      </c>
      <c r="F136" s="50" t="str">
        <f>IF(E136&lt;&gt;"",VLOOKUP(E136,CODE!$B$2:$C$11,2,0),"")</f>
        <v>CHINA BANK - SAVINGS</v>
      </c>
      <c r="G136" s="177">
        <v>43046</v>
      </c>
      <c r="H136" s="179" t="str">
        <f>IF(G136&lt;&gt;"",VLOOKUP(G136,COA!$A$3:$G$1048576,2,0),"")</f>
        <v>Miscellaneous Income - OPS</v>
      </c>
      <c r="I136" s="234" t="s">
        <v>359</v>
      </c>
      <c r="J136" s="181" t="str">
        <f>IF(I136&lt;&gt;"",VLOOKUP(I136,'CUSTOMER LISTS'!$B$3:$E$1048576,2,0),"")</f>
        <v>O'S FUEL REFILLING STATION</v>
      </c>
      <c r="K136" s="181" t="str">
        <f>IF(I136&lt;&gt;"",VLOOKUP(I136,'CUSTOMER LISTS'!$B$3:$E$1048576,3,0),"")</f>
        <v>OGIE S. SAGBED</v>
      </c>
      <c r="L136" s="181" t="str">
        <f>IF(I136&lt;&gt;"",VLOOKUP(I136,'CUSTOMER LISTS'!$B$3:$E$1048576,4,0),"")</f>
        <v>BRGY.  BOGABONGAN, LEON B. POSTIGO</v>
      </c>
      <c r="M136" s="177">
        <v>761</v>
      </c>
      <c r="N136" s="181" t="str">
        <f>IF(M136&lt;&gt;"",VLOOKUP(M136,'PRODUCT &amp; SERVICES'!$O:$P,2,0),"")</f>
        <v>Others ( Pls. Specify )</v>
      </c>
      <c r="O136" s="53"/>
      <c r="P136" s="53"/>
      <c r="Q136" s="2" t="s">
        <v>325</v>
      </c>
      <c r="R136" s="177" t="s">
        <v>29</v>
      </c>
      <c r="S136" s="53"/>
      <c r="T136" s="332"/>
      <c r="U136" s="177"/>
    </row>
    <row r="137" spans="1:21" ht="15" customHeight="1">
      <c r="A137" s="224" t="s">
        <v>336</v>
      </c>
      <c r="B137" s="177">
        <v>753</v>
      </c>
      <c r="C137" s="177" t="s">
        <v>360</v>
      </c>
      <c r="D137" s="178">
        <v>1550</v>
      </c>
      <c r="E137" s="177" t="s">
        <v>199</v>
      </c>
      <c r="F137" s="50" t="str">
        <f>IF(E137&lt;&gt;"",VLOOKUP(E137,CODE!$B$2:$C$11,2,0),"")</f>
        <v>CHINA BANK - SAVINGS</v>
      </c>
      <c r="G137" s="177">
        <v>43046</v>
      </c>
      <c r="H137" s="179" t="str">
        <f>IF(G137&lt;&gt;"",VLOOKUP(G137,COA!$A$3:$G$1048576,2,0),"")</f>
        <v>Miscellaneous Income - OPS</v>
      </c>
      <c r="I137" s="234" t="s">
        <v>140</v>
      </c>
      <c r="J137" s="181" t="str">
        <f>IF(I137&lt;&gt;"",VLOOKUP(I137,'CUSTOMER LISTS'!$B$3:$E$1048576,2,0),"")</f>
        <v>K2J2 GAS REFILLING STATION</v>
      </c>
      <c r="K137" s="181" t="str">
        <f>IF(I137&lt;&gt;"",VLOOKUP(I137,'CUSTOMER LISTS'!$B$3:$E$1048576,3,0),"")</f>
        <v>JENIE FE BALOGBOG ALINSUG</v>
      </c>
      <c r="L137" s="181" t="str">
        <f>IF(I137&lt;&gt;"",VLOOKUP(I137,'CUSTOMER LISTS'!$B$3:$E$1048576,4,0),"")</f>
        <v>BRGY. SAN PEDRO, DUMINGAG, ZAMBOANGA DEL SUR</v>
      </c>
      <c r="M137" s="177">
        <v>761</v>
      </c>
      <c r="N137" s="181" t="str">
        <f>IF(M137&lt;&gt;"",VLOOKUP(M137,'PRODUCT &amp; SERVICES'!$O:$P,2,0),"")</f>
        <v>Others ( Pls. Specify )</v>
      </c>
      <c r="O137" s="53"/>
      <c r="P137" s="53"/>
      <c r="Q137" s="2" t="s">
        <v>325</v>
      </c>
      <c r="R137" s="177" t="s">
        <v>29</v>
      </c>
      <c r="S137" s="53"/>
      <c r="T137" s="332"/>
      <c r="U137" s="177"/>
    </row>
    <row r="138" spans="1:21" ht="15" customHeight="1">
      <c r="A138" s="224" t="s">
        <v>336</v>
      </c>
      <c r="B138" s="177">
        <v>754</v>
      </c>
      <c r="C138" s="177" t="s">
        <v>361</v>
      </c>
      <c r="D138" s="178">
        <v>1550</v>
      </c>
      <c r="E138" s="177" t="s">
        <v>199</v>
      </c>
      <c r="F138" s="50" t="str">
        <f>IF(E138&lt;&gt;"",VLOOKUP(E138,CODE!$B$2:$C$11,2,0),"")</f>
        <v>CHINA BANK - SAVINGS</v>
      </c>
      <c r="G138" s="177">
        <v>43046</v>
      </c>
      <c r="H138" s="179" t="str">
        <f>IF(G138&lt;&gt;"",VLOOKUP(G138,COA!$A$3:$G$1048576,2,0),"")</f>
        <v>Miscellaneous Income - OPS</v>
      </c>
      <c r="I138" s="234" t="s">
        <v>362</v>
      </c>
      <c r="J138" s="181" t="str">
        <f>IF(I138&lt;&gt;"",VLOOKUP(I138,'CUSTOMER LISTS'!$B$3:$E$1048576,2,0),"")</f>
        <v>RJ-CEL FUEL STATION</v>
      </c>
      <c r="K138" s="181" t="str">
        <f>IF(I138&lt;&gt;"",VLOOKUP(I138,'CUSTOMER LISTS'!$B$3:$E$1048576,3,0),"")</f>
        <v>REY JEVIER GAÑOLON CELERINOS</v>
      </c>
      <c r="L138" s="181" t="str">
        <f>IF(I138&lt;&gt;"",VLOOKUP(I138,'CUSTOMER LISTS'!$B$3:$E$1048576,4,0),"")</f>
        <v>PUROK 3, BRGY. UPPER INUMAN, SINDANGAN, ZAMBOANGA DEL NORTE</v>
      </c>
      <c r="M138" s="177">
        <v>761</v>
      </c>
      <c r="N138" s="181" t="str">
        <f>IF(M138&lt;&gt;"",VLOOKUP(M138,'PRODUCT &amp; SERVICES'!$O:$P,2,0),"")</f>
        <v>Others ( Pls. Specify )</v>
      </c>
      <c r="O138" s="53"/>
      <c r="P138" s="53"/>
      <c r="Q138" s="2" t="s">
        <v>325</v>
      </c>
      <c r="R138" s="177" t="s">
        <v>29</v>
      </c>
      <c r="S138" s="53"/>
      <c r="T138" s="332"/>
      <c r="U138" s="177"/>
    </row>
    <row r="139" spans="1:21" ht="15" customHeight="1">
      <c r="A139" s="224" t="s">
        <v>336</v>
      </c>
      <c r="B139" s="177">
        <v>755</v>
      </c>
      <c r="C139" s="177" t="s">
        <v>363</v>
      </c>
      <c r="D139" s="178">
        <v>1550</v>
      </c>
      <c r="E139" s="177" t="s">
        <v>199</v>
      </c>
      <c r="F139" s="50" t="str">
        <f>IF(E139&lt;&gt;"",VLOOKUP(E139,CODE!$B$2:$C$11,2,0),"")</f>
        <v>CHINA BANK - SAVINGS</v>
      </c>
      <c r="G139" s="177">
        <v>43046</v>
      </c>
      <c r="H139" s="179" t="str">
        <f>IF(G139&lt;&gt;"",VLOOKUP(G139,COA!$A$3:$G$1048576,2,0),"")</f>
        <v>Miscellaneous Income - OPS</v>
      </c>
      <c r="I139" s="234" t="s">
        <v>230</v>
      </c>
      <c r="J139" s="181" t="str">
        <f>IF(I139&lt;&gt;"",VLOOKUP(I139,'CUSTOMER LISTS'!$B$3:$E$1048576,2,0),"")</f>
        <v>RHOIE GAS STATION</v>
      </c>
      <c r="K139" s="181" t="str">
        <f>IF(I139&lt;&gt;"",VLOOKUP(I139,'CUSTOMER LISTS'!$B$3:$E$1048576,3,0),"")</f>
        <v>LEROY CAYASAN EGONIA</v>
      </c>
      <c r="L139" s="181" t="str">
        <f>IF(I139&lt;&gt;"",VLOOKUP(I139,'CUSTOMER LISTS'!$B$3:$E$1048576,4,0),"")</f>
        <v>BRGY. SAGASAN, SAN PABLO, ZAMBOANGA DEL SUR</v>
      </c>
      <c r="M139" s="177">
        <v>761</v>
      </c>
      <c r="N139" s="181" t="str">
        <f>IF(M139&lt;&gt;"",VLOOKUP(M139,'PRODUCT &amp; SERVICES'!$O:$P,2,0),"")</f>
        <v>Others ( Pls. Specify )</v>
      </c>
      <c r="O139" s="53"/>
      <c r="P139" s="53"/>
      <c r="Q139" s="2" t="s">
        <v>325</v>
      </c>
      <c r="R139" s="177" t="s">
        <v>29</v>
      </c>
      <c r="S139" s="53"/>
      <c r="T139" s="332"/>
      <c r="U139" s="177"/>
    </row>
    <row r="140" spans="1:21" ht="15" customHeight="1">
      <c r="A140" s="224" t="s">
        <v>364</v>
      </c>
      <c r="B140" s="177">
        <v>756</v>
      </c>
      <c r="C140" s="177" t="s">
        <v>365</v>
      </c>
      <c r="D140" s="178">
        <v>1550</v>
      </c>
      <c r="E140" s="177" t="s">
        <v>199</v>
      </c>
      <c r="F140" s="50" t="str">
        <f>IF(E140&lt;&gt;"",VLOOKUP(E140,CODE!$B$2:$C$11,2,0),"")</f>
        <v>CHINA BANK - SAVINGS</v>
      </c>
      <c r="G140" s="177">
        <v>43046</v>
      </c>
      <c r="H140" s="179" t="str">
        <f>IF(G140&lt;&gt;"",VLOOKUP(G140,COA!$A$3:$G$1048576,2,0),"")</f>
        <v>Miscellaneous Income - OPS</v>
      </c>
      <c r="I140" s="234" t="s">
        <v>236</v>
      </c>
      <c r="J140" s="181" t="str">
        <f>IF(I140&lt;&gt;"",VLOOKUP(I140,'CUSTOMER LISTS'!$B$3:$E$1048576,2,0),"")</f>
        <v xml:space="preserve">GAS DISTRIBUTION SERVICES D-BROTHERS GASOLINAHAN </v>
      </c>
      <c r="K140" s="181" t="str">
        <f>IF(I140&lt;&gt;"",VLOOKUP(I140,'CUSTOMER LISTS'!$B$3:$E$1048576,3,0),"")</f>
        <v>DEMOSTHENES SIARON CASTILLON SR.</v>
      </c>
      <c r="L140" s="181" t="str">
        <f>IF(I140&lt;&gt;"",VLOOKUP(I140,'CUSTOMER LISTS'!$B$3:$E$1048576,4,0),"")</f>
        <v>BRGY. SINUYAK, KATIPUNAN, ZAMBOANGA DEL NORTE</v>
      </c>
      <c r="M140" s="177">
        <v>761</v>
      </c>
      <c r="N140" s="181" t="str">
        <f>IF(M140&lt;&gt;"",VLOOKUP(M140,'PRODUCT &amp; SERVICES'!$O:$P,2,0),"")</f>
        <v>Others ( Pls. Specify )</v>
      </c>
      <c r="O140" s="53"/>
      <c r="P140" s="53"/>
      <c r="Q140" s="2" t="s">
        <v>325</v>
      </c>
      <c r="R140" s="177" t="s">
        <v>29</v>
      </c>
      <c r="S140" s="53"/>
      <c r="T140" s="332"/>
      <c r="U140" s="177"/>
    </row>
    <row r="141" spans="1:21" ht="15" customHeight="1">
      <c r="A141" s="224" t="s">
        <v>364</v>
      </c>
      <c r="B141" s="177">
        <v>757</v>
      </c>
      <c r="C141" s="177" t="s">
        <v>366</v>
      </c>
      <c r="D141" s="178">
        <v>1550</v>
      </c>
      <c r="E141" s="177" t="s">
        <v>199</v>
      </c>
      <c r="F141" s="50" t="str">
        <f>IF(E141&lt;&gt;"",VLOOKUP(E141,CODE!$B$2:$C$11,2,0),"")</f>
        <v>CHINA BANK - SAVINGS</v>
      </c>
      <c r="G141" s="177">
        <v>43046</v>
      </c>
      <c r="H141" s="179" t="str">
        <f>IF(G141&lt;&gt;"",VLOOKUP(G141,COA!$A$3:$G$1048576,2,0),"")</f>
        <v>Miscellaneous Income - OPS</v>
      </c>
      <c r="I141" s="234" t="s">
        <v>367</v>
      </c>
      <c r="J141" s="181" t="str">
        <f>IF(I141&lt;&gt;"",VLOOKUP(I141,'CUSTOMER LISTS'!$B$3:$E$1048576,2,0),"")</f>
        <v>GD FUEL REFILLING STATION</v>
      </c>
      <c r="K141" s="181" t="str">
        <f>IF(I141&lt;&gt;"",VLOOKUP(I141,'CUSTOMER LISTS'!$B$3:$E$1048576,3,0),"")</f>
        <v>DOUET PEPITO AMARILLE</v>
      </c>
      <c r="L141" s="181" t="str">
        <f>IF(I141&lt;&gt;"",VLOOKUP(I141,'CUSTOMER LISTS'!$B$3:$E$1048576,4,0),"")</f>
        <v>BRGY. DANSULLAN, POLANCO, ZAMBOANGA DEL NORTE</v>
      </c>
      <c r="M141" s="177">
        <v>761</v>
      </c>
      <c r="N141" s="181" t="str">
        <f>IF(M141&lt;&gt;"",VLOOKUP(M141,'PRODUCT &amp; SERVICES'!$O:$P,2,0),"")</f>
        <v>Others ( Pls. Specify )</v>
      </c>
      <c r="O141" s="53"/>
      <c r="P141" s="53"/>
      <c r="Q141" s="2" t="s">
        <v>325</v>
      </c>
      <c r="R141" s="177" t="s">
        <v>29</v>
      </c>
      <c r="S141" s="53"/>
      <c r="T141" s="332"/>
      <c r="U141" s="177"/>
    </row>
    <row r="142" spans="1:21" ht="15" customHeight="1">
      <c r="A142" s="224" t="s">
        <v>364</v>
      </c>
      <c r="B142" s="177">
        <v>758</v>
      </c>
      <c r="C142" s="177" t="s">
        <v>368</v>
      </c>
      <c r="D142" s="178">
        <v>1550</v>
      </c>
      <c r="E142" s="177" t="s">
        <v>199</v>
      </c>
      <c r="F142" s="50" t="str">
        <f>IF(E142&lt;&gt;"",VLOOKUP(E142,CODE!$B$2:$C$11,2,0),"")</f>
        <v>CHINA BANK - SAVINGS</v>
      </c>
      <c r="G142" s="177">
        <v>43046</v>
      </c>
      <c r="H142" s="179" t="str">
        <f>IF(G142&lt;&gt;"",VLOOKUP(G142,COA!$A$3:$G$1048576,2,0),"")</f>
        <v>Miscellaneous Income - OPS</v>
      </c>
      <c r="I142" s="234" t="s">
        <v>369</v>
      </c>
      <c r="J142" s="181" t="str">
        <f>IF(I142&lt;&gt;"",VLOOKUP(I142,'CUSTOMER LISTS'!$B$3:$E$1048576,2,0),"")</f>
        <v>TAMPARONG GAS STATION</v>
      </c>
      <c r="K142" s="181" t="str">
        <f>IF(I142&lt;&gt;"",VLOOKUP(I142,'CUSTOMER LISTS'!$B$3:$E$1048576,3,0),"")</f>
        <v>ROMNICK DEBUYAN TAMPARONG</v>
      </c>
      <c r="L142" s="181" t="str">
        <f>IF(I142&lt;&gt;"",VLOOKUP(I142,'CUSTOMER LISTS'!$B$3:$E$1048576,4,0),"")</f>
        <v>BRGY. SAN JUAN, SERGIO OSMEÑA, ZAMBOANGA DEL NORTE</v>
      </c>
      <c r="M142" s="177">
        <v>761</v>
      </c>
      <c r="N142" s="181" t="str">
        <f>IF(M142&lt;&gt;"",VLOOKUP(M142,'PRODUCT &amp; SERVICES'!$O:$P,2,0),"")</f>
        <v>Others ( Pls. Specify )</v>
      </c>
      <c r="O142" s="53"/>
      <c r="P142" s="53"/>
      <c r="Q142" s="2" t="s">
        <v>325</v>
      </c>
      <c r="R142" s="177" t="s">
        <v>29</v>
      </c>
      <c r="S142" s="53"/>
      <c r="T142" s="332"/>
      <c r="U142" s="177"/>
    </row>
    <row r="143" spans="1:21" ht="15" customHeight="1">
      <c r="A143" s="224" t="s">
        <v>364</v>
      </c>
      <c r="B143" s="177">
        <v>759</v>
      </c>
      <c r="C143" s="177" t="s">
        <v>370</v>
      </c>
      <c r="D143" s="178">
        <v>1550</v>
      </c>
      <c r="E143" s="177" t="s">
        <v>199</v>
      </c>
      <c r="F143" s="50" t="str">
        <f>IF(E143&lt;&gt;"",VLOOKUP(E143,CODE!$B$2:$C$11,2,0),"")</f>
        <v>CHINA BANK - SAVINGS</v>
      </c>
      <c r="G143" s="177">
        <v>43046</v>
      </c>
      <c r="H143" s="179" t="str">
        <f>IF(G143&lt;&gt;"",VLOOKUP(G143,COA!$A$3:$G$1048576,2,0),"")</f>
        <v>Miscellaneous Income - OPS</v>
      </c>
      <c r="I143" s="234" t="s">
        <v>344</v>
      </c>
      <c r="J143" s="181" t="str">
        <f>IF(I143&lt;&gt;"",VLOOKUP(I143,'CUSTOMER LISTS'!$B$3:$E$1048576,2,0),"")</f>
        <v>IAP'S GASOLINE STATION</v>
      </c>
      <c r="K143" s="181" t="str">
        <f>IF(I143&lt;&gt;"",VLOOKUP(I143,'CUSTOMER LISTS'!$B$3:$E$1048576,3,0),"")</f>
        <v>ALLAN FEROLINO OBAS</v>
      </c>
      <c r="L143" s="181" t="str">
        <f>IF(I143&lt;&gt;"",VLOOKUP(I143,'CUSTOMER LISTS'!$B$3:$E$1048576,4,0),"")</f>
        <v>BRGY. ASENIERO, DAPITAN, ZAMBOANGA DEL NORTE</v>
      </c>
      <c r="M143" s="177">
        <v>761</v>
      </c>
      <c r="N143" s="181" t="str">
        <f>IF(M143&lt;&gt;"",VLOOKUP(M143,'PRODUCT &amp; SERVICES'!$O:$P,2,0),"")</f>
        <v>Others ( Pls. Specify )</v>
      </c>
      <c r="O143" s="53"/>
      <c r="P143" s="53"/>
      <c r="Q143" s="2" t="s">
        <v>325</v>
      </c>
      <c r="R143" s="177" t="s">
        <v>29</v>
      </c>
      <c r="S143" s="53"/>
      <c r="T143" s="332"/>
      <c r="U143" s="177"/>
    </row>
    <row r="144" spans="1:21" ht="15" customHeight="1">
      <c r="A144" s="224" t="s">
        <v>364</v>
      </c>
      <c r="B144" s="177">
        <v>760</v>
      </c>
      <c r="C144" s="177" t="s">
        <v>371</v>
      </c>
      <c r="D144" s="178">
        <v>1550</v>
      </c>
      <c r="E144" s="177" t="s">
        <v>199</v>
      </c>
      <c r="F144" s="50" t="str">
        <f>IF(E144&lt;&gt;"",VLOOKUP(E144,CODE!$B$2:$C$11,2,0),"")</f>
        <v>CHINA BANK - SAVINGS</v>
      </c>
      <c r="G144" s="177">
        <v>43046</v>
      </c>
      <c r="H144" s="179" t="str">
        <f>IF(G144&lt;&gt;"",VLOOKUP(G144,COA!$A$3:$G$1048576,2,0),"")</f>
        <v>Miscellaneous Income - OPS</v>
      </c>
      <c r="I144" s="234" t="s">
        <v>372</v>
      </c>
      <c r="J144" s="181" t="str">
        <f>IF(I144&lt;&gt;"",VLOOKUP(I144,'CUSTOMER LISTS'!$B$3:$E$1048576,2,0),"")</f>
        <v>JC GAS REFILLING STATION</v>
      </c>
      <c r="K144" s="181" t="str">
        <f>IF(I144&lt;&gt;"",VLOOKUP(I144,'CUSTOMER LISTS'!$B$3:$E$1048576,3,0),"")</f>
        <v>JESRELL SYBECO CANOY</v>
      </c>
      <c r="L144" s="181" t="str">
        <f>IF(I144&lt;&gt;"",VLOOKUP(I144,'CUSTOMER LISTS'!$B$3:$E$1048576,4,0),"")</f>
        <v>BRGY. TABON, JOSE DALMAN, ZAMBOANGA DEL NORTE</v>
      </c>
      <c r="M144" s="177">
        <v>761</v>
      </c>
      <c r="N144" s="181" t="str">
        <f>IF(M144&lt;&gt;"",VLOOKUP(M144,'PRODUCT &amp; SERVICES'!$O:$P,2,0),"")</f>
        <v>Others ( Pls. Specify )</v>
      </c>
      <c r="O144" s="53"/>
      <c r="P144" s="53"/>
      <c r="Q144" s="2" t="s">
        <v>325</v>
      </c>
      <c r="R144" s="177" t="s">
        <v>29</v>
      </c>
      <c r="S144" s="53"/>
      <c r="T144" s="332"/>
      <c r="U144" s="177"/>
    </row>
    <row r="145" spans="1:21" ht="15" customHeight="1">
      <c r="A145" s="224" t="s">
        <v>364</v>
      </c>
      <c r="B145" s="177">
        <v>761</v>
      </c>
      <c r="C145" s="177" t="s">
        <v>373</v>
      </c>
      <c r="D145" s="178">
        <v>1550</v>
      </c>
      <c r="E145" s="177" t="s">
        <v>199</v>
      </c>
      <c r="F145" s="50" t="str">
        <f>IF(E145&lt;&gt;"",VLOOKUP(E145,CODE!$B$2:$C$11,2,0),"")</f>
        <v>CHINA BANK - SAVINGS</v>
      </c>
      <c r="G145" s="177">
        <v>43046</v>
      </c>
      <c r="H145" s="179" t="str">
        <f>IF(G145&lt;&gt;"",VLOOKUP(G145,COA!$A$3:$G$1048576,2,0),"")</f>
        <v>Miscellaneous Income - OPS</v>
      </c>
      <c r="I145" s="234" t="s">
        <v>171</v>
      </c>
      <c r="J145" s="181" t="str">
        <f>IF(I145&lt;&gt;"",VLOOKUP(I145,'CUSTOMER LISTS'!$B$3:$E$1048576,2,0),"")</f>
        <v>AM-MON FUEL STATION</v>
      </c>
      <c r="K145" s="181" t="str">
        <f>IF(I145&lt;&gt;"",VLOOKUP(I145,'CUSTOMER LISTS'!$B$3:$E$1048576,3,0),"")</f>
        <v>LUCILLE MANANQUIL  SINARILLOS</v>
      </c>
      <c r="L145" s="181" t="str">
        <f>IF(I145&lt;&gt;"",VLOOKUP(I145,'CUSTOMER LISTS'!$B$3:$E$1048576,4,0),"")</f>
        <v>BRGY. SICAYAB, DIPOLOG CITY, ZAMBOANGA DEL NORTE</v>
      </c>
      <c r="M145" s="177">
        <v>761</v>
      </c>
      <c r="N145" s="181" t="str">
        <f>IF(M145&lt;&gt;"",VLOOKUP(M145,'PRODUCT &amp; SERVICES'!$O:$P,2,0),"")</f>
        <v>Others ( Pls. Specify )</v>
      </c>
      <c r="O145" s="53"/>
      <c r="P145" s="53"/>
      <c r="Q145" s="2" t="s">
        <v>325</v>
      </c>
      <c r="R145" s="177" t="s">
        <v>29</v>
      </c>
      <c r="S145" s="53"/>
      <c r="T145" s="332"/>
      <c r="U145" s="177"/>
    </row>
    <row r="146" spans="1:21" ht="15" customHeight="1">
      <c r="A146" s="224" t="s">
        <v>364</v>
      </c>
      <c r="B146" s="177">
        <v>762</v>
      </c>
      <c r="C146" s="177" t="s">
        <v>374</v>
      </c>
      <c r="D146" s="178">
        <v>1550</v>
      </c>
      <c r="E146" s="177" t="s">
        <v>199</v>
      </c>
      <c r="F146" s="50" t="str">
        <f>IF(E146&lt;&gt;"",VLOOKUP(E146,CODE!$B$2:$C$11,2,0),"")</f>
        <v>CHINA BANK - SAVINGS</v>
      </c>
      <c r="G146" s="177">
        <v>43046</v>
      </c>
      <c r="H146" s="179" t="str">
        <f>IF(G146&lt;&gt;"",VLOOKUP(G146,COA!$A$3:$G$1048576,2,0),"")</f>
        <v>Miscellaneous Income - OPS</v>
      </c>
      <c r="I146" s="234" t="s">
        <v>375</v>
      </c>
      <c r="J146" s="181" t="str">
        <f>IF(I146&lt;&gt;"",VLOOKUP(I146,'CUSTOMER LISTS'!$B$3:$E$1048576,2,0),"")</f>
        <v xml:space="preserve">DJ FUEL REFILLING STATION </v>
      </c>
      <c r="K146" s="181" t="str">
        <f>IF(I146&lt;&gt;"",VLOOKUP(I146,'CUSTOMER LISTS'!$B$3:$E$1048576,3,0),"")</f>
        <v xml:space="preserve">DAPHNE CLAIRE ABARCA MARQUINA </v>
      </c>
      <c r="L146" s="181" t="str">
        <f>IF(I146&lt;&gt;"",VLOOKUP(I146,'CUSTOMER LISTS'!$B$3:$E$1048576,4,0),"")</f>
        <v>BRGY. COGON, DIPOLOG CITY, ZAMBOANGA DEL NORTE</v>
      </c>
      <c r="M146" s="177">
        <v>761</v>
      </c>
      <c r="N146" s="181" t="str">
        <f>IF(M146&lt;&gt;"",VLOOKUP(M146,'PRODUCT &amp; SERVICES'!$O:$P,2,0),"")</f>
        <v>Others ( Pls. Specify )</v>
      </c>
      <c r="O146" s="53"/>
      <c r="P146" s="53"/>
      <c r="Q146" s="2" t="s">
        <v>325</v>
      </c>
      <c r="R146" s="177" t="s">
        <v>29</v>
      </c>
      <c r="S146" s="53"/>
      <c r="T146" s="332"/>
      <c r="U146" s="177"/>
    </row>
    <row r="147" spans="1:21" ht="15" customHeight="1">
      <c r="A147" s="224" t="s">
        <v>364</v>
      </c>
      <c r="B147" s="177">
        <v>763</v>
      </c>
      <c r="C147" s="177" t="s">
        <v>376</v>
      </c>
      <c r="D147" s="178">
        <v>1550</v>
      </c>
      <c r="E147" s="177" t="s">
        <v>199</v>
      </c>
      <c r="F147" s="50" t="str">
        <f>IF(E147&lt;&gt;"",VLOOKUP(E147,CODE!$B$2:$C$11,2,0),"")</f>
        <v>CHINA BANK - SAVINGS</v>
      </c>
      <c r="G147" s="177">
        <v>43046</v>
      </c>
      <c r="H147" s="179" t="str">
        <f>IF(G147&lt;&gt;"",VLOOKUP(G147,COA!$A$3:$G$1048576,2,0),"")</f>
        <v>Miscellaneous Income - OPS</v>
      </c>
      <c r="I147" s="234" t="s">
        <v>219</v>
      </c>
      <c r="J147" s="181" t="str">
        <f>IF(I147&lt;&gt;"",VLOOKUP(I147,'CUSTOMER LISTS'!$B$3:$E$1048576,2,0),"")</f>
        <v>GUNIX GAS STATION</v>
      </c>
      <c r="K147" s="181" t="str">
        <f>IF(I147&lt;&gt;"",VLOOKUP(I147,'CUSTOMER LISTS'!$B$3:$E$1048576,3,0),"")</f>
        <v>SEM UDTOHAN PANGASIAN</v>
      </c>
      <c r="L147" s="181" t="str">
        <f>IF(I147&lt;&gt;"",VLOOKUP(I147,'CUSTOMER LISTS'!$B$3:$E$1048576,4,0),"")</f>
        <v>BRGY. MARALAG, DUMINGAG, ZAMBOANGA DEL SUR</v>
      </c>
      <c r="M147" s="177">
        <v>761</v>
      </c>
      <c r="N147" s="181" t="str">
        <f>IF(M147&lt;&gt;"",VLOOKUP(M147,'PRODUCT &amp; SERVICES'!$O:$P,2,0),"")</f>
        <v>Others ( Pls. Specify )</v>
      </c>
      <c r="O147" s="53"/>
      <c r="P147" s="53"/>
      <c r="Q147" s="2" t="s">
        <v>325</v>
      </c>
      <c r="R147" s="177" t="s">
        <v>29</v>
      </c>
      <c r="S147" s="53"/>
      <c r="T147" s="332"/>
      <c r="U147" s="177"/>
    </row>
    <row r="148" spans="1:21" ht="15" customHeight="1">
      <c r="A148" s="224" t="s">
        <v>364</v>
      </c>
      <c r="B148" s="177">
        <v>764</v>
      </c>
      <c r="C148" s="177" t="s">
        <v>377</v>
      </c>
      <c r="D148" s="178">
        <v>1550</v>
      </c>
      <c r="E148" s="177" t="s">
        <v>199</v>
      </c>
      <c r="F148" s="50" t="str">
        <f>IF(E148&lt;&gt;"",VLOOKUP(E148,CODE!$B$2:$C$11,2,0),"")</f>
        <v>CHINA BANK - SAVINGS</v>
      </c>
      <c r="G148" s="177">
        <v>43046</v>
      </c>
      <c r="H148" s="179" t="str">
        <f>IF(G148&lt;&gt;"",VLOOKUP(G148,COA!$A$3:$G$1048576,2,0),"")</f>
        <v>Miscellaneous Income - OPS</v>
      </c>
      <c r="I148" s="234" t="s">
        <v>132</v>
      </c>
      <c r="J148" s="181" t="str">
        <f>IF(I148&lt;&gt;"",VLOOKUP(I148,'CUSTOMER LISTS'!$B$3:$E$1048576,2,0),"")</f>
        <v>FAME GAS REFILLING STATION</v>
      </c>
      <c r="K148" s="181" t="str">
        <f>IF(I148&lt;&gt;"",VLOOKUP(I148,'CUSTOMER LISTS'!$B$3:$E$1048576,3,0),"")</f>
        <v>FERNANDO DELA ROSA PARAN</v>
      </c>
      <c r="L148" s="181" t="str">
        <f>IF(I148&lt;&gt;"",VLOOKUP(I148,'CUSTOMER LISTS'!$B$3:$E$1048576,4,0),"")</f>
        <v>BRGY. NEW SICAYAB, POLANCO, ZAMBOANGA DEL NORTE</v>
      </c>
      <c r="M148" s="177">
        <v>761</v>
      </c>
      <c r="N148" s="181" t="str">
        <f>IF(M148&lt;&gt;"",VLOOKUP(M148,'PRODUCT &amp; SERVICES'!$O:$P,2,0),"")</f>
        <v>Others ( Pls. Specify )</v>
      </c>
      <c r="O148" s="53"/>
      <c r="P148" s="53"/>
      <c r="Q148" s="2" t="s">
        <v>325</v>
      </c>
      <c r="R148" s="177" t="s">
        <v>29</v>
      </c>
      <c r="S148" s="53"/>
      <c r="T148" s="332"/>
      <c r="U148" s="177"/>
    </row>
    <row r="149" spans="1:21" ht="15" customHeight="1">
      <c r="A149" s="224" t="s">
        <v>336</v>
      </c>
      <c r="B149" s="177">
        <v>765</v>
      </c>
      <c r="C149" s="177" t="s">
        <v>378</v>
      </c>
      <c r="D149" s="178">
        <v>1550</v>
      </c>
      <c r="E149" s="177" t="s">
        <v>199</v>
      </c>
      <c r="F149" s="50" t="str">
        <f>IF(E149&lt;&gt;"",VLOOKUP(E149,CODE!$B$2:$C$11,2,0),"")</f>
        <v>CHINA BANK - SAVINGS</v>
      </c>
      <c r="G149" s="177">
        <v>43046</v>
      </c>
      <c r="H149" s="179" t="str">
        <f>IF(G149&lt;&gt;"",VLOOKUP(G149,COA!$A$3:$G$1048576,2,0),"")</f>
        <v>Miscellaneous Income - OPS</v>
      </c>
      <c r="I149" s="234" t="s">
        <v>379</v>
      </c>
      <c r="J149" s="181" t="str">
        <f>IF(I149&lt;&gt;"",VLOOKUP(I149,'CUSTOMER LISTS'!$B$3:$E$1048576,2,0),"")</f>
        <v>LIA-FRAN-LILY FUEL STATION</v>
      </c>
      <c r="K149" s="181" t="str">
        <f>IF(I149&lt;&gt;"",VLOOKUP(I149,'CUSTOMER LISTS'!$B$3:$E$1048576,3,0),"")</f>
        <v>LILIA CAMBE UNITO</v>
      </c>
      <c r="L149" s="181" t="str">
        <f>IF(I149&lt;&gt;"",VLOOKUP(I149,'CUSTOMER LISTS'!$B$3:$E$1048576,4,0),"")</f>
        <v>BRGY. COLORAN, SIAY, ZAMBOANGA DEL SUR</v>
      </c>
      <c r="M149" s="177">
        <v>761</v>
      </c>
      <c r="N149" s="181" t="str">
        <f>IF(M149&lt;&gt;"",VLOOKUP(M149,'PRODUCT &amp; SERVICES'!$O:$P,2,0),"")</f>
        <v>Others ( Pls. Specify )</v>
      </c>
      <c r="O149" s="53"/>
      <c r="P149" s="53"/>
      <c r="Q149" s="2" t="s">
        <v>325</v>
      </c>
      <c r="R149" s="177" t="s">
        <v>29</v>
      </c>
      <c r="S149" s="53"/>
      <c r="T149" s="332"/>
      <c r="U149" s="177"/>
    </row>
    <row r="150" spans="1:21" ht="15" customHeight="1">
      <c r="A150" s="224" t="s">
        <v>380</v>
      </c>
      <c r="B150" s="177">
        <v>766</v>
      </c>
      <c r="C150" s="177" t="s">
        <v>381</v>
      </c>
      <c r="D150" s="178">
        <v>1550</v>
      </c>
      <c r="E150" s="177" t="s">
        <v>199</v>
      </c>
      <c r="F150" s="50" t="str">
        <f>IF(E150&lt;&gt;"",VLOOKUP(E150,CODE!$B$2:$C$11,2,0),"")</f>
        <v>CHINA BANK - SAVINGS</v>
      </c>
      <c r="G150" s="177">
        <v>43046</v>
      </c>
      <c r="H150" s="179" t="str">
        <f>IF(G150&lt;&gt;"",VLOOKUP(G150,COA!$A$3:$G$1048576,2,0),"")</f>
        <v>Miscellaneous Income - OPS</v>
      </c>
      <c r="I150" s="234" t="s">
        <v>382</v>
      </c>
      <c r="J150" s="181" t="str">
        <f>IF(I150&lt;&gt;"",VLOOKUP(I150,'CUSTOMER LISTS'!$B$3:$E$1048576,2,0),"")</f>
        <v>JRG GAS REFILLING STATION</v>
      </c>
      <c r="K150" s="181" t="str">
        <f>IF(I150&lt;&gt;"",VLOOKUP(I150,'CUSTOMER LISTS'!$B$3:$E$1048576,3,0),"")</f>
        <v>JUDY ASISTER GONDULA</v>
      </c>
      <c r="L150" s="181" t="str">
        <f>IF(I150&lt;&gt;"",VLOOKUP(I150,'CUSTOMER LISTS'!$B$3:$E$1048576,4,0),"")</f>
        <v>BRGY. DINASAN, JOSE DALMAN, ZAMBOANGA DEL NORTE</v>
      </c>
      <c r="M150" s="177">
        <v>761</v>
      </c>
      <c r="N150" s="181" t="str">
        <f>IF(M150&lt;&gt;"",VLOOKUP(M150,'PRODUCT &amp; SERVICES'!$O:$P,2,0),"")</f>
        <v>Others ( Pls. Specify )</v>
      </c>
      <c r="O150" s="53"/>
      <c r="P150" s="53"/>
      <c r="Q150" s="2" t="s">
        <v>325</v>
      </c>
      <c r="R150" s="177" t="s">
        <v>29</v>
      </c>
      <c r="S150" s="53"/>
      <c r="T150" s="332"/>
      <c r="U150" s="177"/>
    </row>
    <row r="151" spans="1:21" ht="15" customHeight="1">
      <c r="A151" s="224" t="s">
        <v>380</v>
      </c>
      <c r="B151" s="177">
        <v>767</v>
      </c>
      <c r="C151" s="177" t="s">
        <v>383</v>
      </c>
      <c r="D151" s="178">
        <v>1550</v>
      </c>
      <c r="E151" s="177" t="s">
        <v>199</v>
      </c>
      <c r="F151" s="50" t="str">
        <f>IF(E151&lt;&gt;"",VLOOKUP(E151,CODE!$B$2:$C$11,2,0),"")</f>
        <v>CHINA BANK - SAVINGS</v>
      </c>
      <c r="G151" s="177">
        <v>43046</v>
      </c>
      <c r="H151" s="179" t="str">
        <f>IF(G151&lt;&gt;"",VLOOKUP(G151,COA!$A$3:$G$1048576,2,0),"")</f>
        <v>Miscellaneous Income - OPS</v>
      </c>
      <c r="I151" s="234" t="s">
        <v>132</v>
      </c>
      <c r="J151" s="181" t="str">
        <f>IF(I151&lt;&gt;"",VLOOKUP(I151,'CUSTOMER LISTS'!$B$3:$E$1048576,2,0),"")</f>
        <v>FAME GAS REFILLING STATION</v>
      </c>
      <c r="K151" s="181" t="str">
        <f>IF(I151&lt;&gt;"",VLOOKUP(I151,'CUSTOMER LISTS'!$B$3:$E$1048576,3,0),"")</f>
        <v>FERNANDO DELA ROSA PARAN</v>
      </c>
      <c r="L151" s="181" t="str">
        <f>IF(I151&lt;&gt;"",VLOOKUP(I151,'CUSTOMER LISTS'!$B$3:$E$1048576,4,0),"")</f>
        <v>BRGY. NEW SICAYAB, POLANCO, ZAMBOANGA DEL NORTE</v>
      </c>
      <c r="M151" s="177">
        <v>761</v>
      </c>
      <c r="N151" s="181" t="str">
        <f>IF(M151&lt;&gt;"",VLOOKUP(M151,'PRODUCT &amp; SERVICES'!$O:$P,2,0),"")</f>
        <v>Others ( Pls. Specify )</v>
      </c>
      <c r="O151" s="53"/>
      <c r="P151" s="53"/>
      <c r="Q151" s="2" t="s">
        <v>325</v>
      </c>
      <c r="R151" s="177" t="s">
        <v>29</v>
      </c>
      <c r="S151" s="53"/>
      <c r="T151" s="332"/>
      <c r="U151" s="177"/>
    </row>
    <row r="152" spans="1:21" ht="15" customHeight="1">
      <c r="A152" s="224" t="s">
        <v>380</v>
      </c>
      <c r="B152" s="237">
        <v>768</v>
      </c>
      <c r="C152" s="177" t="s">
        <v>384</v>
      </c>
      <c r="D152" s="178">
        <v>1550</v>
      </c>
      <c r="E152" s="177" t="s">
        <v>199</v>
      </c>
      <c r="F152" s="50" t="str">
        <f>IF(E152&lt;&gt;"",VLOOKUP(E152,CODE!$B$2:$C$11,2,0),"")</f>
        <v>CHINA BANK - SAVINGS</v>
      </c>
      <c r="G152" s="177">
        <v>43046</v>
      </c>
      <c r="H152" s="179" t="str">
        <f>IF(G152&lt;&gt;"",VLOOKUP(G152,COA!$A$3:$G$1048576,2,0),"")</f>
        <v>Miscellaneous Income - OPS</v>
      </c>
      <c r="I152" s="234" t="s">
        <v>195</v>
      </c>
      <c r="J152" s="181" t="str">
        <f>IF(I152&lt;&gt;"",VLOOKUP(I152,'CUSTOMER LISTS'!$B$3:$E$1048576,2,0),"")</f>
        <v>KJ FUEL REFILLING STATION</v>
      </c>
      <c r="K152" s="181" t="str">
        <f>IF(I152&lt;&gt;"",VLOOKUP(I152,'CUSTOMER LISTS'!$B$3:$E$1048576,3,0),"")</f>
        <v>MARCOS MABANSAG ARAGON</v>
      </c>
      <c r="L152" s="181" t="str">
        <f>IF(I152&lt;&gt;"",VLOOKUP(I152,'CUSTOMER LISTS'!$B$3:$E$1048576,4,0),"")</f>
        <v>BRGY. PALANDOK, LEON POSTIGO, ZAMBOANGA DEL NORTE</v>
      </c>
      <c r="M152" s="177">
        <v>761</v>
      </c>
      <c r="N152" s="181" t="str">
        <f>IF(M152&lt;&gt;"",VLOOKUP(M152,'PRODUCT &amp; SERVICES'!$O:$P,2,0),"")</f>
        <v>Others ( Pls. Specify )</v>
      </c>
      <c r="O152" s="53"/>
      <c r="P152" s="53"/>
      <c r="Q152" s="2" t="s">
        <v>325</v>
      </c>
      <c r="R152" s="177" t="s">
        <v>29</v>
      </c>
      <c r="S152" s="53"/>
      <c r="T152" s="332"/>
      <c r="U152" s="177"/>
    </row>
    <row r="153" spans="1:21" ht="15" customHeight="1">
      <c r="A153" s="224" t="s">
        <v>380</v>
      </c>
      <c r="B153" s="237">
        <v>769</v>
      </c>
      <c r="C153" s="177" t="s">
        <v>385</v>
      </c>
      <c r="D153" s="178">
        <v>1550</v>
      </c>
      <c r="E153" s="177" t="s">
        <v>199</v>
      </c>
      <c r="F153" s="50" t="str">
        <f>IF(E153&lt;&gt;"",VLOOKUP(E153,CODE!$B$2:$C$11,2,0),"")</f>
        <v>CHINA BANK - SAVINGS</v>
      </c>
      <c r="G153" s="177">
        <v>43046</v>
      </c>
      <c r="H153" s="179" t="str">
        <f>IF(G153&lt;&gt;"",VLOOKUP(G153,COA!$A$3:$G$1048576,2,0),"")</f>
        <v>Miscellaneous Income - OPS</v>
      </c>
      <c r="I153" s="234" t="s">
        <v>386</v>
      </c>
      <c r="J153" s="181" t="str">
        <f>IF(I153&lt;&gt;"",VLOOKUP(I153,'CUSTOMER LISTS'!$B$3:$E$1048576,2,0),"")</f>
        <v>KRD MICRO GAS STATION</v>
      </c>
      <c r="K153" s="181" t="str">
        <f>IF(I153&lt;&gt;"",VLOOKUP(I153,'CUSTOMER LISTS'!$B$3:$E$1048576,3,0),"")</f>
        <v>KELVIN ENOT DULA</v>
      </c>
      <c r="L153" s="181" t="str">
        <f>IF(I153&lt;&gt;"",VLOOKUP(I153,'CUSTOMER LISTS'!$B$3:$E$1048576,4,0),"")</f>
        <v>BRGY. LEGARDA 1, DINAS, ZAMBOANGA DEL SUR</v>
      </c>
      <c r="M153" s="177">
        <v>761</v>
      </c>
      <c r="N153" s="181" t="str">
        <f>IF(M153&lt;&gt;"",VLOOKUP(M153,'PRODUCT &amp; SERVICES'!$O:$P,2,0),"")</f>
        <v>Others ( Pls. Specify )</v>
      </c>
      <c r="O153" s="53"/>
      <c r="P153" s="53"/>
      <c r="Q153" s="2" t="s">
        <v>325</v>
      </c>
      <c r="R153" s="177" t="s">
        <v>29</v>
      </c>
      <c r="S153" s="53"/>
      <c r="T153" s="332"/>
      <c r="U153" s="177"/>
    </row>
    <row r="154" spans="1:21" ht="15" customHeight="1">
      <c r="A154" s="224" t="s">
        <v>380</v>
      </c>
      <c r="B154" s="237">
        <v>770</v>
      </c>
      <c r="C154" s="177" t="s">
        <v>387</v>
      </c>
      <c r="D154" s="238">
        <v>1550</v>
      </c>
      <c r="E154" s="177" t="s">
        <v>199</v>
      </c>
      <c r="F154" s="50" t="str">
        <f>IF(E154&lt;&gt;"",VLOOKUP(E154,CODE!$B$2:$C$11,2,0),"")</f>
        <v>CHINA BANK - SAVINGS</v>
      </c>
      <c r="G154" s="177">
        <v>43046</v>
      </c>
      <c r="H154" s="179" t="str">
        <f>IF(G154&lt;&gt;"",VLOOKUP(G154,COA!$A$3:$G$1048576,2,0),"")</f>
        <v>Miscellaneous Income - OPS</v>
      </c>
      <c r="I154" s="234" t="s">
        <v>388</v>
      </c>
      <c r="J154" s="181" t="str">
        <f>IF(I154&lt;&gt;"",VLOOKUP(I154,'CUSTOMER LISTS'!$B$3:$E$1048576,2,0),"")</f>
        <v>CLARITA'S FUEL  STATION</v>
      </c>
      <c r="K154" s="181" t="str">
        <f>IF(I154&lt;&gt;"",VLOOKUP(I154,'CUSTOMER LISTS'!$B$3:$E$1048576,3,0),"")</f>
        <v>HEINZ  BERNHARD  YUMOL MANREZ</v>
      </c>
      <c r="L154" s="181" t="str">
        <f>IF(I154&lt;&gt;"",VLOOKUP(I154,'CUSTOMER LISTS'!$B$3:$E$1048576,4,0),"")</f>
        <v>BRGY. TIPOLO,  PLARIDEL, MISAMIS OCCIDENTAL</v>
      </c>
      <c r="M154" s="177">
        <v>761</v>
      </c>
      <c r="N154" s="181" t="str">
        <f>IF(M154&lt;&gt;"",VLOOKUP(M154,'PRODUCT &amp; SERVICES'!$O:$P,2,0),"")</f>
        <v>Others ( Pls. Specify )</v>
      </c>
      <c r="O154" s="53"/>
      <c r="P154" s="53"/>
      <c r="Q154" s="2" t="s">
        <v>325</v>
      </c>
      <c r="R154" s="177" t="s">
        <v>29</v>
      </c>
      <c r="S154" s="53"/>
      <c r="T154" s="332"/>
      <c r="U154" s="177"/>
    </row>
    <row r="155" spans="1:21" ht="15" customHeight="1">
      <c r="A155" s="224" t="s">
        <v>380</v>
      </c>
      <c r="B155" s="237">
        <v>771</v>
      </c>
      <c r="C155" s="236" t="s">
        <v>389</v>
      </c>
      <c r="D155" s="178">
        <v>2250</v>
      </c>
      <c r="E155" s="237" t="s">
        <v>199</v>
      </c>
      <c r="F155" s="50" t="str">
        <f>IF(E155&lt;&gt;"",VLOOKUP(E155,CODE!$B$2:$C$11,2,0),"")</f>
        <v>CHINA BANK - SAVINGS</v>
      </c>
      <c r="G155" s="177">
        <v>43046</v>
      </c>
      <c r="H155" s="179" t="str">
        <f>IF(G155&lt;&gt;"",VLOOKUP(G155,COA!$A$3:$G$1048576,2,0),"")</f>
        <v>Miscellaneous Income - OPS</v>
      </c>
      <c r="I155" s="234" t="s">
        <v>102</v>
      </c>
      <c r="J155" s="181" t="str">
        <f>IF(I155&lt;&gt;"",VLOOKUP(I155,'CUSTOMER LISTS'!$B$3:$E$1048576,2,0),"")</f>
        <v>JDM-6 FUEL STATION</v>
      </c>
      <c r="K155" s="181" t="str">
        <f>IF(I155&lt;&gt;"",VLOOKUP(I155,'CUSTOMER LISTS'!$B$3:$E$1048576,3,0),"")</f>
        <v>DELIA SAJULGA BACO</v>
      </c>
      <c r="L155" s="181" t="str">
        <f>IF(I155&lt;&gt;"",VLOOKUP(I155,'CUSTOMER LISTS'!$B$3:$E$1048576,4,0),"")</f>
        <v>BRGY. KAHAYAGAN, BAYOG, ZAMBOANGA DEL SUR</v>
      </c>
      <c r="M155" s="177">
        <v>761</v>
      </c>
      <c r="N155" s="181" t="str">
        <f>IF(M155&lt;&gt;"",VLOOKUP(M155,'PRODUCT &amp; SERVICES'!$O:$P,2,0),"")</f>
        <v>Others ( Pls. Specify )</v>
      </c>
      <c r="O155" s="53"/>
      <c r="P155" s="53"/>
      <c r="Q155" s="2" t="s">
        <v>325</v>
      </c>
      <c r="R155" s="177" t="s">
        <v>29</v>
      </c>
      <c r="S155" s="53"/>
      <c r="T155" s="332"/>
      <c r="U155" s="177"/>
    </row>
    <row r="156" spans="1:21" ht="15" customHeight="1">
      <c r="A156" s="224" t="s">
        <v>380</v>
      </c>
      <c r="B156" s="237">
        <v>772</v>
      </c>
      <c r="C156" s="236" t="s">
        <v>390</v>
      </c>
      <c r="D156" s="178">
        <v>3100</v>
      </c>
      <c r="E156" s="237" t="s">
        <v>199</v>
      </c>
      <c r="F156" s="50" t="str">
        <f>IF(E156&lt;&gt;"",VLOOKUP(E156,CODE!$B$2:$C$11,2,0),"")</f>
        <v>CHINA BANK - SAVINGS</v>
      </c>
      <c r="G156" s="177">
        <v>43046</v>
      </c>
      <c r="H156" s="179" t="str">
        <f>IF(G156&lt;&gt;"",VLOOKUP(G156,COA!$A$3:$G$1048576,2,0),"")</f>
        <v>Miscellaneous Income - OPS</v>
      </c>
      <c r="I156" s="234" t="s">
        <v>391</v>
      </c>
      <c r="J156" s="181" t="str">
        <f>IF(I156&lt;&gt;"",VLOOKUP(I156,'CUSTOMER LISTS'!$B$3:$E$1048576,2,0),"")</f>
        <v>DLIME GASOLINE STATION</v>
      </c>
      <c r="K156" s="181" t="str">
        <f>IF(I156&lt;&gt;"",VLOOKUP(I156,'CUSTOMER LISTS'!$B$3:$E$1048576,3,0),"")</f>
        <v>LEX IVOR MANGOMPIT ETAC</v>
      </c>
      <c r="L156" s="181" t="str">
        <f>IF(I156&lt;&gt;"",VLOOKUP(I156,'CUSTOMER LISTS'!$B$3:$E$1048576,4,0),"")</f>
        <v>BRGY. UPPER BAGONG TUDELA, JOSEFINA, ZAMBOANGA DEL SUR</v>
      </c>
      <c r="M156" s="177">
        <v>761</v>
      </c>
      <c r="N156" s="181" t="str">
        <f>IF(M156&lt;&gt;"",VLOOKUP(M156,'PRODUCT &amp; SERVICES'!$O:$P,2,0),"")</f>
        <v>Others ( Pls. Specify )</v>
      </c>
      <c r="O156" s="53"/>
      <c r="P156" s="53"/>
      <c r="Q156" s="2" t="s">
        <v>325</v>
      </c>
      <c r="R156" s="177" t="s">
        <v>29</v>
      </c>
      <c r="S156" s="53"/>
      <c r="T156" s="332"/>
      <c r="U156" s="177"/>
    </row>
    <row r="157" spans="1:21" ht="15" customHeight="1">
      <c r="A157" s="224" t="s">
        <v>380</v>
      </c>
      <c r="B157" s="237">
        <v>773</v>
      </c>
      <c r="C157" s="236" t="s">
        <v>392</v>
      </c>
      <c r="D157" s="178">
        <v>1550</v>
      </c>
      <c r="E157" s="237" t="s">
        <v>199</v>
      </c>
      <c r="F157" s="50" t="str">
        <f>IF(E157&lt;&gt;"",VLOOKUP(E157,CODE!$B$2:$C$11,2,0),"")</f>
        <v>CHINA BANK - SAVINGS</v>
      </c>
      <c r="G157" s="177">
        <v>43046</v>
      </c>
      <c r="H157" s="179" t="str">
        <f>IF(G157&lt;&gt;"",VLOOKUP(G157,COA!$A$3:$G$1048576,2,0),"")</f>
        <v>Miscellaneous Income - OPS</v>
      </c>
      <c r="I157" s="234" t="s">
        <v>393</v>
      </c>
      <c r="J157" s="181" t="str">
        <f>IF(I157&lt;&gt;"",VLOOKUP(I157,'CUSTOMER LISTS'!$B$3:$E$1048576,2,0),"")</f>
        <v>G-P GAS REFILLING STATION</v>
      </c>
      <c r="K157" s="181" t="str">
        <f>IF(I157&lt;&gt;"",VLOOKUP(I157,'CUSTOMER LISTS'!$B$3:$E$1048576,3,0),"")</f>
        <v>JAYNALYN GUIO PACAÑA</v>
      </c>
      <c r="L157" s="181" t="str">
        <f>IF(I157&lt;&gt;"",VLOOKUP(I157,'CUSTOMER LISTS'!$B$3:$E$1048576,4,0),"")</f>
        <v>BRGY. DILAWA, PIÑAN, ZAMBOANGA DEL NORTE</v>
      </c>
      <c r="M157" s="177">
        <v>761</v>
      </c>
      <c r="N157" s="181" t="str">
        <f>IF(M157&lt;&gt;"",VLOOKUP(M157,'PRODUCT &amp; SERVICES'!$O:$P,2,0),"")</f>
        <v>Others ( Pls. Specify )</v>
      </c>
      <c r="O157" s="53"/>
      <c r="P157" s="53"/>
      <c r="Q157" s="2" t="s">
        <v>325</v>
      </c>
      <c r="R157" s="177" t="s">
        <v>29</v>
      </c>
      <c r="S157" s="53"/>
      <c r="T157" s="332"/>
      <c r="U157" s="177"/>
    </row>
    <row r="158" spans="1:21" ht="15" customHeight="1">
      <c r="A158" s="224" t="s">
        <v>394</v>
      </c>
      <c r="B158" s="237">
        <v>774</v>
      </c>
      <c r="C158" s="236" t="s">
        <v>395</v>
      </c>
      <c r="D158" s="178">
        <v>1550</v>
      </c>
      <c r="E158" s="237" t="s">
        <v>199</v>
      </c>
      <c r="F158" s="50" t="str">
        <f>IF(E158&lt;&gt;"",VLOOKUP(E158,CODE!$B$2:$C$11,2,0),"")</f>
        <v>CHINA BANK - SAVINGS</v>
      </c>
      <c r="G158" s="177">
        <v>43046</v>
      </c>
      <c r="H158" s="179" t="str">
        <f>IF(G158&lt;&gt;"",VLOOKUP(G158,COA!$A$3:$G$1048576,2,0),"")</f>
        <v>Miscellaneous Income - OPS</v>
      </c>
      <c r="I158" s="234" t="s">
        <v>396</v>
      </c>
      <c r="J158" s="181" t="str">
        <f>IF(I158&lt;&gt;"",VLOOKUP(I158,'CUSTOMER LISTS'!$B$3:$E$1048576,2,0),"")</f>
        <v>FOUR ANGELS  FUEL REFILLING STATION</v>
      </c>
      <c r="K158" s="181" t="str">
        <f>IF(I158&lt;&gt;"",VLOOKUP(I158,'CUSTOMER LISTS'!$B$3:$E$1048576,3,0),"")</f>
        <v>FREMIE ALFON PALCONAYO</v>
      </c>
      <c r="L158" s="181" t="str">
        <f>IF(I158&lt;&gt;"",VLOOKUP(I158,'CUSTOMER LISTS'!$B$3:$E$1048576,4,0),"")</f>
        <v>BRGY. CALICAN, PIÑAN, ZAMBOANGA DEL NORTE</v>
      </c>
      <c r="M158" s="177">
        <v>761</v>
      </c>
      <c r="N158" s="181" t="str">
        <f>IF(M158&lt;&gt;"",VLOOKUP(M158,'PRODUCT &amp; SERVICES'!$O:$P,2,0),"")</f>
        <v>Others ( Pls. Specify )</v>
      </c>
      <c r="O158" s="53"/>
      <c r="P158" s="53"/>
      <c r="Q158" s="2" t="s">
        <v>325</v>
      </c>
      <c r="R158" s="177" t="s">
        <v>29</v>
      </c>
      <c r="S158" s="53"/>
      <c r="T158" s="332"/>
      <c r="U158" s="177"/>
    </row>
    <row r="159" spans="1:21" ht="15" customHeight="1">
      <c r="A159" s="224" t="s">
        <v>394</v>
      </c>
      <c r="B159" s="237">
        <v>775</v>
      </c>
      <c r="C159" s="236" t="s">
        <v>397</v>
      </c>
      <c r="D159" s="178">
        <v>1550</v>
      </c>
      <c r="E159" s="237" t="s">
        <v>199</v>
      </c>
      <c r="F159" s="50" t="str">
        <f>IF(E159&lt;&gt;"",VLOOKUP(E159,CODE!$B$2:$C$11,2,0),"")</f>
        <v>CHINA BANK - SAVINGS</v>
      </c>
      <c r="G159" s="177">
        <v>43046</v>
      </c>
      <c r="H159" s="179" t="str">
        <f>IF(G159&lt;&gt;"",VLOOKUP(G159,COA!$A$3:$G$1048576,2,0),"")</f>
        <v>Miscellaneous Income - OPS</v>
      </c>
      <c r="I159" s="234" t="s">
        <v>398</v>
      </c>
      <c r="J159" s="181" t="str">
        <f>IF(I159&lt;&gt;"",VLOOKUP(I159,'CUSTOMER LISTS'!$B$3:$E$1048576,2,0),"")</f>
        <v>MP POWER GAS STATION</v>
      </c>
      <c r="K159" s="181" t="str">
        <f>IF(I159&lt;&gt;"",VLOOKUP(I159,'CUSTOMER LISTS'!$B$3:$E$1048576,3,0),"")</f>
        <v>BIENVENIDO MATUTE</v>
      </c>
      <c r="L159" s="181" t="str">
        <f>IF(I159&lt;&gt;"",VLOOKUP(I159,'CUSTOMER LISTS'!$B$3:$E$1048576,4,0),"")</f>
        <v>BRGY. POBLACION, SEGIO OSMEÑA, ZAMBOANGA DEL NORTE</v>
      </c>
      <c r="M159" s="177">
        <v>761</v>
      </c>
      <c r="N159" s="181" t="str">
        <f>IF(M159&lt;&gt;"",VLOOKUP(M159,'PRODUCT &amp; SERVICES'!$O:$P,2,0),"")</f>
        <v>Others ( Pls. Specify )</v>
      </c>
      <c r="O159" s="53"/>
      <c r="P159" s="53"/>
      <c r="Q159" s="2" t="s">
        <v>325</v>
      </c>
      <c r="R159" s="177" t="s">
        <v>29</v>
      </c>
      <c r="S159" s="53"/>
      <c r="T159" s="332"/>
      <c r="U159" s="177"/>
    </row>
    <row r="160" spans="1:21" ht="15" customHeight="1">
      <c r="A160" s="224" t="s">
        <v>399</v>
      </c>
      <c r="B160" s="237">
        <v>776</v>
      </c>
      <c r="C160" s="236" t="s">
        <v>400</v>
      </c>
      <c r="D160" s="178">
        <v>1550</v>
      </c>
      <c r="E160" s="237" t="s">
        <v>199</v>
      </c>
      <c r="F160" s="50" t="str">
        <f>IF(E160&lt;&gt;"",VLOOKUP(E160,CODE!$B$2:$C$11,2,0),"")</f>
        <v>CHINA BANK - SAVINGS</v>
      </c>
      <c r="G160" s="177">
        <v>43046</v>
      </c>
      <c r="H160" s="179" t="str">
        <f>IF(G160&lt;&gt;"",VLOOKUP(G160,COA!$A$3:$G$1048576,2,0),"")</f>
        <v>Miscellaneous Income - OPS</v>
      </c>
      <c r="I160" s="234" t="s">
        <v>38</v>
      </c>
      <c r="J160" s="181" t="str">
        <f>IF(I160&lt;&gt;"",VLOOKUP(I160,'CUSTOMER LISTS'!$B$3:$E$1048576,2,0),"")</f>
        <v>ARQUIZA FUEL REFILLING STATION</v>
      </c>
      <c r="K160" s="181" t="str">
        <f>IF(I160&lt;&gt;"",VLOOKUP(I160,'CUSTOMER LISTS'!$B$3:$E$1048576,3,0),"")</f>
        <v>ANTONIO MANINGO ARQUIZA</v>
      </c>
      <c r="L160" s="181" t="str">
        <f>IF(I160&lt;&gt;"",VLOOKUP(I160,'CUSTOMER LISTS'!$B$3:$E$1048576,4,0),"")</f>
        <v>BRGY. LINGASAD, POLANCO, ZAMBOANGA DEL NORTE</v>
      </c>
      <c r="M160" s="177">
        <v>761</v>
      </c>
      <c r="N160" s="181" t="str">
        <f>IF(M160&lt;&gt;"",VLOOKUP(M160,'PRODUCT &amp; SERVICES'!$O:$P,2,0),"")</f>
        <v>Others ( Pls. Specify )</v>
      </c>
      <c r="O160" s="53"/>
      <c r="P160" s="53"/>
      <c r="Q160" s="2" t="s">
        <v>325</v>
      </c>
      <c r="R160" s="177" t="s">
        <v>29</v>
      </c>
      <c r="S160" s="53"/>
      <c r="T160" s="332"/>
      <c r="U160" s="177"/>
    </row>
    <row r="161" spans="1:21" ht="15" customHeight="1">
      <c r="A161" s="224" t="s">
        <v>336</v>
      </c>
      <c r="B161" s="237">
        <v>777</v>
      </c>
      <c r="C161" s="236" t="s">
        <v>401</v>
      </c>
      <c r="D161" s="178">
        <v>1550</v>
      </c>
      <c r="E161" s="237" t="s">
        <v>199</v>
      </c>
      <c r="F161" s="50" t="str">
        <f>IF(E161&lt;&gt;"",VLOOKUP(E161,CODE!$B$2:$C$11,2,0),"")</f>
        <v>CHINA BANK - SAVINGS</v>
      </c>
      <c r="G161" s="177">
        <v>43046</v>
      </c>
      <c r="H161" s="179" t="str">
        <f>IF(G161&lt;&gt;"",VLOOKUP(G161,COA!$A$3:$G$1048576,2,0),"")</f>
        <v>Miscellaneous Income - OPS</v>
      </c>
      <c r="I161" s="234" t="s">
        <v>261</v>
      </c>
      <c r="J161" s="181" t="str">
        <f>IF(I161&lt;&gt;"",VLOOKUP(I161,'CUSTOMER LISTS'!$B$3:$E$1048576,2,0),"")</f>
        <v>ZAHRA'S GAS REFILLING STATION</v>
      </c>
      <c r="K161" s="181" t="str">
        <f>IF(I161&lt;&gt;"",VLOOKUP(I161,'CUSTOMER LISTS'!$B$3:$E$1048576,3,0),"")</f>
        <v>ZAHRA KATE MENDIOLA</v>
      </c>
      <c r="L161" s="181" t="str">
        <f>IF(I161&lt;&gt;"",VLOOKUP(I161,'CUSTOMER LISTS'!$B$3:$E$1048576,4,0),"")</f>
        <v>BRGY. POBLACION, LAPUYAN, ZAMBOANGA DEL SUR</v>
      </c>
      <c r="M161" s="177">
        <v>761</v>
      </c>
      <c r="N161" s="181" t="str">
        <f>IF(M161&lt;&gt;"",VLOOKUP(M161,'PRODUCT &amp; SERVICES'!$O:$P,2,0),"")</f>
        <v>Others ( Pls. Specify )</v>
      </c>
      <c r="O161" s="53"/>
      <c r="P161" s="53"/>
      <c r="Q161" s="2" t="s">
        <v>325</v>
      </c>
      <c r="R161" s="177" t="s">
        <v>29</v>
      </c>
      <c r="S161" s="53"/>
      <c r="T161" s="332"/>
      <c r="U161" s="177"/>
    </row>
    <row r="162" spans="1:21" ht="15" customHeight="1">
      <c r="A162" s="224" t="s">
        <v>399</v>
      </c>
      <c r="B162" s="237">
        <v>778</v>
      </c>
      <c r="C162" s="236" t="s">
        <v>402</v>
      </c>
      <c r="D162" s="178">
        <v>1550</v>
      </c>
      <c r="E162" s="237" t="s">
        <v>199</v>
      </c>
      <c r="F162" s="50" t="str">
        <f>IF(E162&lt;&gt;"",VLOOKUP(E162,CODE!$B$2:$C$11,2,0),"")</f>
        <v>CHINA BANK - SAVINGS</v>
      </c>
      <c r="G162" s="177">
        <v>43046</v>
      </c>
      <c r="H162" s="269" t="str">
        <f>IF(G162&lt;&gt;"",VLOOKUP(G162,COA!$A$3:$G$1048576,2,0),"")</f>
        <v>Miscellaneous Income - OPS</v>
      </c>
      <c r="I162" s="234" t="s">
        <v>215</v>
      </c>
      <c r="J162" s="181" t="str">
        <f>IF(I162&lt;&gt;"",VLOOKUP(I162,'CUSTOMER LISTS'!$B$3:$E$1048576,2,0),"")</f>
        <v>LEN GASOLINE STATION</v>
      </c>
      <c r="K162" s="181" t="str">
        <f>IF(I162&lt;&gt;"",VLOOKUP(I162,'CUSTOMER LISTS'!$B$3:$E$1048576,3,0),"")</f>
        <v>ARLENE EDIOS UBA</v>
      </c>
      <c r="L162" s="181" t="str">
        <f>IF(I162&lt;&gt;"",VLOOKUP(I162,'CUSTOMER LISTS'!$B$3:$E$1048576,4,0),"")</f>
        <v>BRGY. VILLAFLOR, OROQUIETA CITY, MISAMIS OCCIDENTAL</v>
      </c>
      <c r="M162" s="177">
        <v>761</v>
      </c>
      <c r="N162" s="181" t="str">
        <f>IF(M162&lt;&gt;"",VLOOKUP(M162,'PRODUCT &amp; SERVICES'!$O:$P,2,0),"")</f>
        <v>Others ( Pls. Specify )</v>
      </c>
      <c r="O162" s="53"/>
      <c r="P162" s="53"/>
      <c r="Q162" s="2" t="s">
        <v>325</v>
      </c>
      <c r="R162" s="177" t="s">
        <v>29</v>
      </c>
      <c r="S162" s="53"/>
      <c r="T162" s="332"/>
      <c r="U162" s="177"/>
    </row>
    <row r="163" spans="1:21" ht="15" customHeight="1">
      <c r="A163" s="224" t="s">
        <v>399</v>
      </c>
      <c r="B163" s="237">
        <v>779</v>
      </c>
      <c r="C163" s="236" t="s">
        <v>403</v>
      </c>
      <c r="D163" s="178">
        <v>1550</v>
      </c>
      <c r="E163" s="237" t="s">
        <v>199</v>
      </c>
      <c r="F163" s="50" t="str">
        <f>IF(E163&lt;&gt;"",VLOOKUP(E163,CODE!$B$2:$C$11,2,0),"")</f>
        <v>CHINA BANK - SAVINGS</v>
      </c>
      <c r="G163" s="177">
        <v>43046</v>
      </c>
      <c r="H163" s="269" t="str">
        <f>IF(G163&lt;&gt;"",VLOOKUP(G163,COA!$A$3:$G$1048576,2,0),"")</f>
        <v>Miscellaneous Income - OPS</v>
      </c>
      <c r="I163" s="234" t="s">
        <v>404</v>
      </c>
      <c r="J163" s="181" t="str">
        <f>IF(I163&lt;&gt;"",VLOOKUP(I163,'CUSTOMER LISTS'!$B$3:$E$1048576,2,0),"")</f>
        <v>M &amp; J GAS STATION</v>
      </c>
      <c r="K163" s="181" t="str">
        <f>IF(I163&lt;&gt;"",VLOOKUP(I163,'CUSTOMER LISTS'!$B$3:$E$1048576,3,0),"")</f>
        <v>IVY MAESTRE OMOS</v>
      </c>
      <c r="L163" s="181" t="str">
        <f>IF(I163&lt;&gt;"",VLOOKUP(I163,'CUSTOMER LISTS'!$B$3:$E$1048576,4,0),"")</f>
        <v>BRGY. LABAKID, SINDANGAN, ZAMBOANGA DEL NORTE</v>
      </c>
      <c r="M163" s="177">
        <v>761</v>
      </c>
      <c r="N163" s="181" t="str">
        <f>IF(M163&lt;&gt;"",VLOOKUP(M163,'PRODUCT &amp; SERVICES'!$O:$P,2,0),"")</f>
        <v>Others ( Pls. Specify )</v>
      </c>
      <c r="O163" s="53"/>
      <c r="P163" s="53"/>
      <c r="Q163" s="2" t="s">
        <v>325</v>
      </c>
      <c r="R163" s="177" t="s">
        <v>29</v>
      </c>
      <c r="S163" s="53"/>
      <c r="T163" s="332"/>
      <c r="U163" s="177"/>
    </row>
    <row r="164" spans="1:21" ht="15" customHeight="1">
      <c r="A164" s="224" t="s">
        <v>399</v>
      </c>
      <c r="B164" s="237">
        <v>780</v>
      </c>
      <c r="C164" s="236" t="s">
        <v>405</v>
      </c>
      <c r="D164" s="178">
        <v>2250</v>
      </c>
      <c r="E164" s="237" t="s">
        <v>199</v>
      </c>
      <c r="F164" s="50" t="str">
        <f>IF(E164&lt;&gt;"",VLOOKUP(E164,CODE!$B$2:$C$11,2,0),"")</f>
        <v>CHINA BANK - SAVINGS</v>
      </c>
      <c r="G164" s="177">
        <v>43046</v>
      </c>
      <c r="H164" s="269" t="str">
        <f>IF(G164&lt;&gt;"",VLOOKUP(G164,COA!$A$3:$G$1048576,2,0),"")</f>
        <v>Miscellaneous Income - OPS</v>
      </c>
      <c r="I164" s="234" t="s">
        <v>406</v>
      </c>
      <c r="J164" s="181" t="str">
        <f>IF(I164&lt;&gt;"",VLOOKUP(I164,'CUSTOMER LISTS'!$B$3:$E$1048576,2,0),"")</f>
        <v>SARA GAS STATION</v>
      </c>
      <c r="K164" s="181" t="str">
        <f>IF(I164&lt;&gt;"",VLOOKUP(I164,'CUSTOMER LISTS'!$B$3:$E$1048576,3,0),"")</f>
        <v>SARA NELLES</v>
      </c>
      <c r="L164" s="181" t="str">
        <f>IF(I164&lt;&gt;"",VLOOKUP(I164,'CUSTOMER LISTS'!$B$3:$E$1048576,4,0),"")</f>
        <v>BRGY. RABA, SALUG, ZAMBOANGA DEL NORTE</v>
      </c>
      <c r="M164" s="177">
        <v>761</v>
      </c>
      <c r="N164" s="181" t="str">
        <f>IF(M164&lt;&gt;"",VLOOKUP(M164,'PRODUCT &amp; SERVICES'!$O:$P,2,0),"")</f>
        <v>Others ( Pls. Specify )</v>
      </c>
      <c r="O164" s="53"/>
      <c r="P164" s="53"/>
      <c r="Q164" s="54" t="s">
        <v>325</v>
      </c>
      <c r="R164" s="177" t="s">
        <v>29</v>
      </c>
      <c r="S164" s="53"/>
      <c r="T164" s="332"/>
      <c r="U164" s="177"/>
    </row>
    <row r="165" spans="1:21" ht="15" customHeight="1">
      <c r="A165" s="224" t="s">
        <v>407</v>
      </c>
      <c r="B165" s="237">
        <v>781</v>
      </c>
      <c r="C165" s="236" t="s">
        <v>408</v>
      </c>
      <c r="D165" s="178">
        <v>6200</v>
      </c>
      <c r="E165" s="6" t="s">
        <v>26</v>
      </c>
      <c r="F165" s="50" t="str">
        <f>IF(E165&lt;&gt;"",VLOOKUP(E165,CODE!$B$2:$C$11,2,0),"")</f>
        <v>RCBC -SAVINGS</v>
      </c>
      <c r="G165" s="177">
        <v>43046</v>
      </c>
      <c r="H165" s="269" t="str">
        <f>IF(G165&lt;&gt;"",VLOOKUP(G165,COA!$A$3:$G$1048576,2,0),"")</f>
        <v>Miscellaneous Income - OPS</v>
      </c>
      <c r="I165" s="234" t="s">
        <v>409</v>
      </c>
      <c r="J165" s="181" t="str">
        <f>IF(I165&lt;&gt;"",VLOOKUP(I165,'CUSTOMER LISTS'!$B$3:$E$1048576,2,0),"")</f>
        <v>ERMIE BAGATUA</v>
      </c>
      <c r="K165" s="181">
        <f>IF(I165&lt;&gt;"",VLOOKUP(I165,'CUSTOMER LISTS'!$B$3:$E$1048576,3,0),"")</f>
        <v>0</v>
      </c>
      <c r="L165" s="181" t="str">
        <f>IF(I165&lt;&gt;"",VLOOKUP(I165,'CUSTOMER LISTS'!$B$3:$E$1048576,4,0),"")</f>
        <v>BRGY. STA. ISABEL, DIPOLOG CITY</v>
      </c>
      <c r="M165" s="177">
        <v>761</v>
      </c>
      <c r="N165" s="181" t="str">
        <f>IF(M165&lt;&gt;"",VLOOKUP(M165,'PRODUCT &amp; SERVICES'!$O:$P,2,0),"")</f>
        <v>Others ( Pls. Specify )</v>
      </c>
      <c r="O165" s="53"/>
      <c r="P165" s="53"/>
      <c r="Q165" s="53" t="s">
        <v>410</v>
      </c>
      <c r="R165" s="177" t="s">
        <v>29</v>
      </c>
      <c r="S165" s="53"/>
      <c r="T165" s="332"/>
      <c r="U165" s="177"/>
    </row>
    <row r="166" spans="1:21" ht="15" customHeight="1">
      <c r="A166" s="224" t="s">
        <v>407</v>
      </c>
      <c r="B166" s="237">
        <v>782</v>
      </c>
      <c r="C166" s="236" t="s">
        <v>411</v>
      </c>
      <c r="D166" s="178">
        <v>1550</v>
      </c>
      <c r="E166" s="6" t="s">
        <v>199</v>
      </c>
      <c r="F166" s="50" t="str">
        <f>IF(E166&lt;&gt;"",VLOOKUP(E166,CODE!$B$2:$C$11,2,0),"")</f>
        <v>CHINA BANK - SAVINGS</v>
      </c>
      <c r="G166" s="177">
        <v>43046</v>
      </c>
      <c r="H166" s="269" t="str">
        <f>IF(G166&lt;&gt;"",VLOOKUP(G166,COA!$A$3:$G$1048576,2,0),"")</f>
        <v>Miscellaneous Income - OPS</v>
      </c>
      <c r="I166" s="234" t="s">
        <v>261</v>
      </c>
      <c r="J166" s="181" t="str">
        <f>IF(I166&lt;&gt;"",VLOOKUP(I166,'CUSTOMER LISTS'!$B$3:$E$1048576,2,0),"")</f>
        <v>ZAHRA'S GAS REFILLING STATION</v>
      </c>
      <c r="K166" s="181" t="str">
        <f>IF(I166&lt;&gt;"",VLOOKUP(I166,'CUSTOMER LISTS'!$B$3:$E$1048576,3,0),"")</f>
        <v>ZAHRA KATE MENDIOLA</v>
      </c>
      <c r="L166" s="181" t="str">
        <f>IF(I166&lt;&gt;"",VLOOKUP(I166,'CUSTOMER LISTS'!$B$3:$E$1048576,4,0),"")</f>
        <v>BRGY. POBLACION, LAPUYAN, ZAMBOANGA DEL SUR</v>
      </c>
      <c r="M166" s="177">
        <v>761</v>
      </c>
      <c r="N166" s="181" t="str">
        <f>IF(M166&lt;&gt;"",VLOOKUP(M166,'PRODUCT &amp; SERVICES'!$O:$P,2,0),"")</f>
        <v>Others ( Pls. Specify )</v>
      </c>
      <c r="O166" s="53"/>
      <c r="P166" s="53"/>
      <c r="Q166" s="109" t="s">
        <v>325</v>
      </c>
      <c r="R166" s="177" t="s">
        <v>29</v>
      </c>
      <c r="S166" s="53"/>
      <c r="T166" s="332"/>
      <c r="U166" s="177"/>
    </row>
    <row r="167" spans="1:21" ht="15" customHeight="1">
      <c r="A167" s="224" t="s">
        <v>407</v>
      </c>
      <c r="B167" s="237">
        <v>783</v>
      </c>
      <c r="C167" s="236" t="s">
        <v>412</v>
      </c>
      <c r="D167" s="178">
        <v>1550</v>
      </c>
      <c r="E167" s="6" t="s">
        <v>199</v>
      </c>
      <c r="F167" s="50" t="str">
        <f>IF(E167&lt;&gt;"",VLOOKUP(E167,CODE!$B$2:$C$11,2,0),"")</f>
        <v>CHINA BANK - SAVINGS</v>
      </c>
      <c r="G167" s="177">
        <v>43046</v>
      </c>
      <c r="H167" s="269" t="str">
        <f>IF(G167&lt;&gt;"",VLOOKUP(G167,COA!$A$3:$G$1048576,2,0),"")</f>
        <v>Miscellaneous Income - OPS</v>
      </c>
      <c r="I167" s="234" t="s">
        <v>230</v>
      </c>
      <c r="J167" s="181" t="str">
        <f>IF(I167&lt;&gt;"",VLOOKUP(I167,'CUSTOMER LISTS'!$B$3:$E$1048576,2,0),"")</f>
        <v>RHOIE GAS STATION</v>
      </c>
      <c r="K167" s="181" t="str">
        <f>IF(I167&lt;&gt;"",VLOOKUP(I167,'CUSTOMER LISTS'!$B$3:$E$1048576,3,0),"")</f>
        <v>LEROY CAYASAN EGONIA</v>
      </c>
      <c r="L167" s="181" t="str">
        <f>IF(I167&lt;&gt;"",VLOOKUP(I167,'CUSTOMER LISTS'!$B$3:$E$1048576,4,0),"")</f>
        <v>BRGY. SAGASAN, SAN PABLO, ZAMBOANGA DEL SUR</v>
      </c>
      <c r="M167" s="177">
        <v>761</v>
      </c>
      <c r="N167" s="181" t="str">
        <f>IF(M167&lt;&gt;"",VLOOKUP(M167,'PRODUCT &amp; SERVICES'!$O:$P,2,0),"")</f>
        <v>Others ( Pls. Specify )</v>
      </c>
      <c r="O167" s="53"/>
      <c r="P167" s="53"/>
      <c r="Q167" s="2" t="s">
        <v>325</v>
      </c>
      <c r="R167" s="177" t="s">
        <v>29</v>
      </c>
      <c r="S167" s="53"/>
      <c r="T167" s="332"/>
      <c r="U167" s="177"/>
    </row>
    <row r="168" spans="1:21" ht="15" customHeight="1">
      <c r="A168" s="224" t="s">
        <v>336</v>
      </c>
      <c r="B168" s="237">
        <v>784</v>
      </c>
      <c r="C168" s="236" t="s">
        <v>413</v>
      </c>
      <c r="D168" s="178">
        <v>1550</v>
      </c>
      <c r="E168" s="6" t="s">
        <v>199</v>
      </c>
      <c r="F168" s="50" t="str">
        <f>IF(E168&lt;&gt;"",VLOOKUP(E168,CODE!$B$2:$C$11,2,0),"")</f>
        <v>CHINA BANK - SAVINGS</v>
      </c>
      <c r="G168" s="177">
        <v>43046</v>
      </c>
      <c r="H168" s="269" t="str">
        <f>IF(G168&lt;&gt;"",VLOOKUP(G168,COA!$A$3:$G$1048576,2,0),"")</f>
        <v>Miscellaneous Income - OPS</v>
      </c>
      <c r="I168" s="234" t="s">
        <v>414</v>
      </c>
      <c r="J168" s="181" t="str">
        <f>IF(I168&lt;&gt;"",VLOOKUP(I168,'CUSTOMER LISTS'!$B$3:$E$1048576,2,0),"")</f>
        <v>BP GASOLINE STATION</v>
      </c>
      <c r="K168" s="181" t="str">
        <f>IF(I168&lt;&gt;"",VLOOKUP(I168,'CUSTOMER LISTS'!$B$3:$E$1048576,3,0),"")</f>
        <v>LYNDELLE P. REQUINA</v>
      </c>
      <c r="L168" s="181" t="str">
        <f>IF(I168&lt;&gt;"",VLOOKUP(I168,'CUSTOMER LISTS'!$B$3:$E$1048576,4,0),"")</f>
        <v>BRGY. DULOP, DUMINGAG, ZAMBOANGA DEL SUR</v>
      </c>
      <c r="M168" s="177">
        <v>761</v>
      </c>
      <c r="N168" s="181" t="str">
        <f>IF(M168&lt;&gt;"",VLOOKUP(M168,'PRODUCT &amp; SERVICES'!$O:$P,2,0),"")</f>
        <v>Others ( Pls. Specify )</v>
      </c>
      <c r="O168" s="53"/>
      <c r="P168" s="53"/>
      <c r="Q168" s="2" t="s">
        <v>325</v>
      </c>
      <c r="R168" s="177" t="s">
        <v>29</v>
      </c>
      <c r="S168" s="53"/>
      <c r="T168" s="332"/>
      <c r="U168" s="177"/>
    </row>
    <row r="169" spans="1:21" ht="15" customHeight="1">
      <c r="A169" s="224" t="s">
        <v>407</v>
      </c>
      <c r="B169" s="237">
        <v>785</v>
      </c>
      <c r="C169" s="236" t="s">
        <v>415</v>
      </c>
      <c r="D169" s="178">
        <v>1550</v>
      </c>
      <c r="E169" s="6" t="s">
        <v>199</v>
      </c>
      <c r="F169" s="50" t="str">
        <f>IF(E169&lt;&gt;"",VLOOKUP(E169,CODE!$B$2:$C$11,2,0),"")</f>
        <v>CHINA BANK - SAVINGS</v>
      </c>
      <c r="G169" s="177">
        <v>43046</v>
      </c>
      <c r="H169" s="179" t="str">
        <f>IF(G169&lt;&gt;"",VLOOKUP(G169,COA!$A$3:$G$1048576,2,0),"")</f>
        <v>Miscellaneous Income - OPS</v>
      </c>
      <c r="I169" s="234" t="s">
        <v>106</v>
      </c>
      <c r="J169" s="181" t="str">
        <f>IF(I169&lt;&gt;"",VLOOKUP(I169,'CUSTOMER LISTS'!$B$3:$E$1048576,2,0),"")</f>
        <v>CM-POWER FUEL REFILLING STATION</v>
      </c>
      <c r="K169" s="181" t="str">
        <f>IF(I169&lt;&gt;"",VLOOKUP(I169,'CUSTOMER LISTS'!$B$3:$E$1048576,3,0),"")</f>
        <v>CHARLENE ESTRADA MANDANTES</v>
      </c>
      <c r="L169" s="181" t="str">
        <f>IF(I169&lt;&gt;"",VLOOKUP(I169,'CUSTOMER LISTS'!$B$3:$E$1048576,4,0),"")</f>
        <v>BRGY. VILLAHERMOSA, POLANCO, ZAMBOANGA DEL NORTE</v>
      </c>
      <c r="M169" s="177">
        <v>761</v>
      </c>
      <c r="N169" s="181" t="str">
        <f>IF(M169&lt;&gt;"",VLOOKUP(M169,'PRODUCT &amp; SERVICES'!$O:$P,2,0),"")</f>
        <v>Others ( Pls. Specify )</v>
      </c>
      <c r="O169" s="53"/>
      <c r="P169" s="53"/>
      <c r="Q169" s="2" t="s">
        <v>325</v>
      </c>
      <c r="R169" s="177" t="s">
        <v>29</v>
      </c>
      <c r="S169" s="53"/>
      <c r="T169" s="332"/>
      <c r="U169" s="177"/>
    </row>
    <row r="170" spans="1:21" ht="15" customHeight="1">
      <c r="A170" s="224" t="s">
        <v>407</v>
      </c>
      <c r="B170" s="237">
        <v>786</v>
      </c>
      <c r="C170" s="236" t="s">
        <v>416</v>
      </c>
      <c r="D170" s="178">
        <v>1550</v>
      </c>
      <c r="E170" s="6" t="s">
        <v>199</v>
      </c>
      <c r="F170" s="50" t="str">
        <f>IF(E170&lt;&gt;"",VLOOKUP(E170,CODE!$B$2:$C$11,2,0),"")</f>
        <v>CHINA BANK - SAVINGS</v>
      </c>
      <c r="G170" s="177">
        <v>43046</v>
      </c>
      <c r="H170" s="179" t="str">
        <f>IF(G170&lt;&gt;"",VLOOKUP(G170,COA!$A$3:$G$1048576,2,0),"")</f>
        <v>Miscellaneous Income - OPS</v>
      </c>
      <c r="I170" s="234" t="s">
        <v>116</v>
      </c>
      <c r="J170" s="181" t="str">
        <f>IF(I170&lt;&gt;"",VLOOKUP(I170,'CUSTOMER LISTS'!$B$3:$E$1048576,2,0),"")</f>
        <v>MEM TRADING AND HAULING SERVICES INC.</v>
      </c>
      <c r="K170" s="181" t="str">
        <f>IF(I170&lt;&gt;"",VLOOKUP(I170,'CUSTOMER LISTS'!$B$3:$E$1048576,3,0),"")</f>
        <v>EMMANUEL TAN</v>
      </c>
      <c r="L170" s="181" t="str">
        <f>IF(I170&lt;&gt;"",VLOOKUP(I170,'CUSTOMER LISTS'!$B$3:$E$1048576,4,0),"")</f>
        <v>BRGY. SOUTHWESTERN POBLACION, CALAMBA, MISAMIS OCCIDENTAL</v>
      </c>
      <c r="M170" s="177">
        <v>761</v>
      </c>
      <c r="N170" s="181" t="str">
        <f>IF(M170&lt;&gt;"",VLOOKUP(M170,'PRODUCT &amp; SERVICES'!$O:$P,2,0),"")</f>
        <v>Others ( Pls. Specify )</v>
      </c>
      <c r="O170" s="53"/>
      <c r="P170" s="53"/>
      <c r="Q170" s="2" t="s">
        <v>325</v>
      </c>
      <c r="R170" s="177" t="s">
        <v>29</v>
      </c>
      <c r="S170" s="53"/>
      <c r="T170" s="332"/>
      <c r="U170" s="177"/>
    </row>
    <row r="171" spans="1:21" ht="15" customHeight="1">
      <c r="A171" s="224" t="s">
        <v>407</v>
      </c>
      <c r="B171" s="237">
        <v>787</v>
      </c>
      <c r="C171" s="236" t="s">
        <v>417</v>
      </c>
      <c r="D171" s="178">
        <v>1550</v>
      </c>
      <c r="E171" s="6" t="s">
        <v>199</v>
      </c>
      <c r="F171" s="50" t="str">
        <f>IF(E171&lt;&gt;"",VLOOKUP(E171,CODE!$B$2:$C$11,2,0),"")</f>
        <v>CHINA BANK - SAVINGS</v>
      </c>
      <c r="G171" s="177">
        <v>43046</v>
      </c>
      <c r="H171" s="179" t="str">
        <f>IF(G171&lt;&gt;"",VLOOKUP(G171,COA!$A$3:$G$1048576,2,0),"")</f>
        <v>Miscellaneous Income - OPS</v>
      </c>
      <c r="I171" s="234" t="s">
        <v>418</v>
      </c>
      <c r="J171" s="181" t="str">
        <f>IF(I171&lt;&gt;"",VLOOKUP(I171,'CUSTOMER LISTS'!$B$3:$E$1048576,2,0),"")</f>
        <v>ADEV GAS STATION</v>
      </c>
      <c r="K171" s="181" t="str">
        <f>IF(I171&lt;&gt;"",VLOOKUP(I171,'CUSTOMER LISTS'!$B$3:$E$1048576,3,0),"")</f>
        <v>GLORIA PERATER CUARTO</v>
      </c>
      <c r="L171" s="181" t="str">
        <f>IF(I171&lt;&gt;"",VLOOKUP(I171,'CUSTOMER LISTS'!$B$3:$E$1048576,4,0),"")</f>
        <v>BRGY. UPPER BAGONG TUDELA, JOSEFINA, ZAMBOANGA DEL SUR</v>
      </c>
      <c r="M171" s="177">
        <v>761</v>
      </c>
      <c r="N171" s="181" t="str">
        <f>IF(M171&lt;&gt;"",VLOOKUP(M171,'PRODUCT &amp; SERVICES'!$O:$P,2,0),"")</f>
        <v>Others ( Pls. Specify )</v>
      </c>
      <c r="O171" s="53"/>
      <c r="P171" s="53"/>
      <c r="Q171" s="2" t="s">
        <v>325</v>
      </c>
      <c r="R171" s="177" t="s">
        <v>29</v>
      </c>
      <c r="S171" s="53"/>
      <c r="T171" s="332"/>
      <c r="U171" s="177"/>
    </row>
    <row r="172" spans="1:21" ht="15" customHeight="1">
      <c r="A172" s="224" t="s">
        <v>407</v>
      </c>
      <c r="B172" s="237">
        <v>788</v>
      </c>
      <c r="C172" s="236" t="s">
        <v>419</v>
      </c>
      <c r="D172" s="178">
        <v>1550</v>
      </c>
      <c r="E172" s="6" t="s">
        <v>199</v>
      </c>
      <c r="F172" s="50" t="str">
        <f>IF(E172&lt;&gt;"",VLOOKUP(E172,CODE!$B$2:$C$11,2,0),"")</f>
        <v>CHINA BANK - SAVINGS</v>
      </c>
      <c r="G172" s="177">
        <v>43046</v>
      </c>
      <c r="H172" s="179" t="str">
        <f>IF(G172&lt;&gt;"",VLOOKUP(G172,COA!$A$3:$G$1048576,2,0),"")</f>
        <v>Miscellaneous Income - OPS</v>
      </c>
      <c r="I172" s="234" t="s">
        <v>137</v>
      </c>
      <c r="J172" s="181" t="str">
        <f>IF(I172&lt;&gt;"",VLOOKUP(I172,'CUSTOMER LISTS'!$B$3:$E$1048576,2,0),"")</f>
        <v>MMN GAS STATION</v>
      </c>
      <c r="K172" s="181" t="str">
        <f>IF(I172&lt;&gt;"",VLOOKUP(I172,'CUSTOMER LISTS'!$B$3:$E$1048576,3,0),"")</f>
        <v>MARY JANE RESILOSA PAUSANOS</v>
      </c>
      <c r="L172" s="181" t="str">
        <f>IF(I172&lt;&gt;"",VLOOKUP(I172,'CUSTOMER LISTS'!$B$3:$E$1048576,4,0),"")</f>
        <v>BRGY. BAG-ONG BALAMBAN, MAHAYAG, ZAMBOANGA DEL SUR</v>
      </c>
      <c r="M172" s="177">
        <v>761</v>
      </c>
      <c r="N172" s="181" t="str">
        <f>IF(M172&lt;&gt;"",VLOOKUP(M172,'PRODUCT &amp; SERVICES'!$O:$P,2,0),"")</f>
        <v>Others ( Pls. Specify )</v>
      </c>
      <c r="O172" s="53"/>
      <c r="P172" s="53"/>
      <c r="Q172" s="2" t="s">
        <v>325</v>
      </c>
      <c r="R172" s="177" t="s">
        <v>29</v>
      </c>
      <c r="S172" s="53"/>
      <c r="T172" s="332"/>
      <c r="U172" s="177"/>
    </row>
    <row r="173" spans="1:21" ht="15" customHeight="1">
      <c r="A173" s="224" t="s">
        <v>407</v>
      </c>
      <c r="B173" s="237">
        <v>789</v>
      </c>
      <c r="C173" s="236" t="s">
        <v>420</v>
      </c>
      <c r="D173" s="178">
        <v>1550</v>
      </c>
      <c r="E173" s="6" t="s">
        <v>199</v>
      </c>
      <c r="F173" s="50" t="str">
        <f>IF(E173&lt;&gt;"",VLOOKUP(E173,CODE!$B$2:$C$11,2,0),"")</f>
        <v>CHINA BANK - SAVINGS</v>
      </c>
      <c r="G173" s="177">
        <v>43046</v>
      </c>
      <c r="H173" s="179" t="str">
        <f>IF(G173&lt;&gt;"",VLOOKUP(G173,COA!$A$3:$G$1048576,2,0),"")</f>
        <v>Miscellaneous Income - OPS</v>
      </c>
      <c r="I173" s="234" t="s">
        <v>161</v>
      </c>
      <c r="J173" s="181" t="str">
        <f>IF(I173&lt;&gt;"",VLOOKUP(I173,'CUSTOMER LISTS'!$B$3:$E$1048576,2,0),"")</f>
        <v>FUELGO GAS REFILLING STATION</v>
      </c>
      <c r="K173" s="181" t="str">
        <f>IF(I173&lt;&gt;"",VLOOKUP(I173,'CUSTOMER LISTS'!$B$3:$E$1048576,3,0),"")</f>
        <v>RODMAR VERTUDEZ FUEGO</v>
      </c>
      <c r="L173" s="181" t="str">
        <f>IF(I173&lt;&gt;"",VLOOKUP(I173,'CUSTOMER LISTS'!$B$3:$E$1048576,4,0),"")</f>
        <v>BRGY. MADALAG, JOSE DALMAN , ZAMBOANGA DEL NORTE</v>
      </c>
      <c r="M173" s="177">
        <v>761</v>
      </c>
      <c r="N173" s="181" t="str">
        <f>IF(M173&lt;&gt;"",VLOOKUP(M173,'PRODUCT &amp; SERVICES'!$O:$P,2,0),"")</f>
        <v>Others ( Pls. Specify )</v>
      </c>
      <c r="O173" s="53"/>
      <c r="P173" s="53"/>
      <c r="Q173" s="2" t="s">
        <v>325</v>
      </c>
      <c r="R173" s="177" t="s">
        <v>29</v>
      </c>
      <c r="S173" s="53"/>
      <c r="T173" s="332"/>
      <c r="U173" s="177"/>
    </row>
    <row r="174" spans="1:21" ht="15" customHeight="1">
      <c r="A174" s="224" t="s">
        <v>407</v>
      </c>
      <c r="B174" s="244">
        <v>790</v>
      </c>
      <c r="C174" s="240" t="s">
        <v>421</v>
      </c>
      <c r="D174" s="238">
        <v>1550</v>
      </c>
      <c r="E174" s="6" t="s">
        <v>199</v>
      </c>
      <c r="F174" s="202" t="str">
        <f>IF(E174&lt;&gt;"",VLOOKUP(E174,CODE!$B$2:$C$11,2,0),"")</f>
        <v>CHINA BANK - SAVINGS</v>
      </c>
      <c r="G174" s="239">
        <v>43046</v>
      </c>
      <c r="H174" s="241" t="str">
        <f>IF(G174&lt;&gt;"",VLOOKUP(G174,COA!$A$3:$G$1048576,2,0),"")</f>
        <v>Miscellaneous Income - OPS</v>
      </c>
      <c r="I174" s="242" t="s">
        <v>422</v>
      </c>
      <c r="J174" s="243" t="str">
        <f>IF(I174&lt;&gt;"",VLOOKUP(I174,'CUSTOMER LISTS'!$B$3:$E$1048576,2,0),"")</f>
        <v>JANUA-ORYZA GAS REFILLING STATION</v>
      </c>
      <c r="K174" s="243" t="str">
        <f>IF(I174&lt;&gt;"",VLOOKUP(I174,'CUSTOMER LISTS'!$B$3:$E$1048576,3,0),"")</f>
        <v>RUFINO ANDUS MUKOD</v>
      </c>
      <c r="L174" s="243" t="str">
        <f>IF(I174&lt;&gt;"",VLOOKUP(I174,'CUSTOMER LISTS'!$B$3:$E$1048576,4,0),"")</f>
        <v>BRGY. MANDIH, SINDANGAN, ZAMBOANGA DEL NORTE</v>
      </c>
      <c r="M174" s="239">
        <v>761</v>
      </c>
      <c r="N174" s="243" t="str">
        <f>IF(M174&lt;&gt;"",VLOOKUP(M174,'PRODUCT &amp; SERVICES'!$O:$P,2,0),"")</f>
        <v>Others ( Pls. Specify )</v>
      </c>
      <c r="O174" s="69"/>
      <c r="P174" s="69"/>
      <c r="Q174" s="54" t="s">
        <v>325</v>
      </c>
      <c r="R174" s="177" t="s">
        <v>29</v>
      </c>
      <c r="S174" s="53"/>
      <c r="T174" s="332"/>
      <c r="U174" s="177"/>
    </row>
    <row r="175" spans="1:21" ht="15" customHeight="1">
      <c r="A175" s="224" t="s">
        <v>407</v>
      </c>
      <c r="B175" s="237">
        <v>791</v>
      </c>
      <c r="C175" s="177" t="s">
        <v>423</v>
      </c>
      <c r="D175" s="178">
        <v>4800</v>
      </c>
      <c r="E175" s="177" t="s">
        <v>273</v>
      </c>
      <c r="F175" s="50" t="str">
        <f>IF(E175&lt;&gt;"",VLOOKUP(E175,CODE!$B$2:$C$11,2,0),"")</f>
        <v>BDO NETWORK - CHECKING</v>
      </c>
      <c r="G175" s="177">
        <v>21016</v>
      </c>
      <c r="H175" s="179" t="str">
        <f>IF(G175&lt;&gt;"",VLOOKUP(G175,COA!$A$3:$G$1048576,2,0),"")</f>
        <v>Unearned Revenue - OPS</v>
      </c>
      <c r="I175" s="234" t="s">
        <v>215</v>
      </c>
      <c r="J175" s="181" t="str">
        <f>IF(I175&lt;&gt;"",VLOOKUP(I175,'CUSTOMER LISTS'!$B$3:$E$1048576,2,0),"")</f>
        <v>LEN GASOLINE STATION</v>
      </c>
      <c r="K175" s="181" t="str">
        <f>IF(I175&lt;&gt;"",VLOOKUP(I175,'CUSTOMER LISTS'!$B$3:$E$1048576,3,0),"")</f>
        <v>ARLENE EDIOS UBA</v>
      </c>
      <c r="L175" s="181" t="str">
        <f>IF(I175&lt;&gt;"",VLOOKUP(I175,'CUSTOMER LISTS'!$B$3:$E$1048576,4,0),"")</f>
        <v>BRGY. VILLAFLOR, OROQUIETA CITY, MISAMIS OCCIDENTAL</v>
      </c>
      <c r="M175" s="177">
        <v>711</v>
      </c>
      <c r="N175" s="181" t="str">
        <f>IF(M175&lt;&gt;"",VLOOKUP(M175,'PRODUCT &amp; SERVICES'!$O:$P,2,0),"")</f>
        <v>National</v>
      </c>
      <c r="O175" s="53"/>
      <c r="P175" s="177" t="s">
        <v>424</v>
      </c>
      <c r="Q175" s="53" t="s">
        <v>425</v>
      </c>
      <c r="R175" s="177" t="s">
        <v>29</v>
      </c>
      <c r="S175" s="299" t="s">
        <v>426</v>
      </c>
      <c r="T175" s="333">
        <v>46186</v>
      </c>
      <c r="U175" s="177"/>
    </row>
    <row r="176" spans="1:21" ht="15" customHeight="1">
      <c r="A176" s="224" t="s">
        <v>407</v>
      </c>
      <c r="B176" s="237">
        <v>791</v>
      </c>
      <c r="C176" s="177" t="s">
        <v>423</v>
      </c>
      <c r="D176" s="178">
        <v>4420</v>
      </c>
      <c r="E176" s="177" t="s">
        <v>273</v>
      </c>
      <c r="F176" s="50" t="str">
        <f>IF(E176&lt;&gt;"",VLOOKUP(E176,CODE!$B$2:$C$11,2,0),"")</f>
        <v>BDO NETWORK - CHECKING</v>
      </c>
      <c r="G176" s="177">
        <v>21016</v>
      </c>
      <c r="H176" s="179" t="str">
        <f>IF(G176&lt;&gt;"",VLOOKUP(G176,COA!$A$3:$G$1048576,2,0),"")</f>
        <v>Unearned Revenue - OPS</v>
      </c>
      <c r="I176" s="234" t="s">
        <v>215</v>
      </c>
      <c r="J176" s="181" t="str">
        <f>IF(I176&lt;&gt;"",VLOOKUP(I176,'CUSTOMER LISTS'!$B$3:$E$1048576,2,0),"")</f>
        <v>LEN GASOLINE STATION</v>
      </c>
      <c r="K176" s="181" t="str">
        <f>IF(I176&lt;&gt;"",VLOOKUP(I176,'CUSTOMER LISTS'!$B$3:$E$1048576,3,0),"")</f>
        <v>ARLENE EDIOS UBA</v>
      </c>
      <c r="L176" s="181" t="str">
        <f>IF(I176&lt;&gt;"",VLOOKUP(I176,'CUSTOMER LISTS'!$B$3:$E$1048576,4,0),"")</f>
        <v>BRGY. VILLAFLOR, OROQUIETA CITY, MISAMIS OCCIDENTAL</v>
      </c>
      <c r="M176" s="177">
        <v>712</v>
      </c>
      <c r="N176" s="181" t="str">
        <f>IF(M176&lt;&gt;"",VLOOKUP(M176,'PRODUCT &amp; SERVICES'!$O:$P,2,0),"")</f>
        <v>Sea-Oil</v>
      </c>
      <c r="O176" s="53"/>
      <c r="P176" s="177" t="s">
        <v>427</v>
      </c>
      <c r="Q176" s="53" t="s">
        <v>428</v>
      </c>
      <c r="R176" s="177" t="s">
        <v>29</v>
      </c>
      <c r="S176" s="299" t="s">
        <v>426</v>
      </c>
      <c r="T176" s="333">
        <v>46186</v>
      </c>
      <c r="U176" s="177"/>
    </row>
    <row r="177" spans="1:21" ht="15" customHeight="1">
      <c r="A177" s="224" t="s">
        <v>407</v>
      </c>
      <c r="B177" s="244">
        <v>791</v>
      </c>
      <c r="C177" s="239" t="s">
        <v>423</v>
      </c>
      <c r="D177" s="238">
        <v>6178</v>
      </c>
      <c r="E177" s="239" t="s">
        <v>273</v>
      </c>
      <c r="F177" s="202" t="str">
        <f>IF(E177&lt;&gt;"",VLOOKUP(E177,CODE!$B$2:$C$11,2,0),"")</f>
        <v>BDO NETWORK - CHECKING</v>
      </c>
      <c r="G177" s="239">
        <v>21016</v>
      </c>
      <c r="H177" s="241" t="str">
        <f>IF(G177&lt;&gt;"",VLOOKUP(G177,COA!$A$3:$G$1048576,2,0),"")</f>
        <v>Unearned Revenue - OPS</v>
      </c>
      <c r="I177" s="242" t="s">
        <v>215</v>
      </c>
      <c r="J177" s="243" t="str">
        <f>IF(I177&lt;&gt;"",VLOOKUP(I177,'CUSTOMER LISTS'!$B$3:$E$1048576,2,0),"")</f>
        <v>LEN GASOLINE STATION</v>
      </c>
      <c r="K177" s="243" t="str">
        <f>IF(I177&lt;&gt;"",VLOOKUP(I177,'CUSTOMER LISTS'!$B$3:$E$1048576,3,0),"")</f>
        <v>ARLENE EDIOS UBA</v>
      </c>
      <c r="L177" s="243" t="str">
        <f>IF(I177&lt;&gt;"",VLOOKUP(I177,'CUSTOMER LISTS'!$B$3:$E$1048576,4,0),"")</f>
        <v>BRGY. VILLAFLOR, OROQUIETA CITY, MISAMIS OCCIDENTAL</v>
      </c>
      <c r="M177" s="239">
        <v>712</v>
      </c>
      <c r="N177" s="243" t="str">
        <f>IF(M177&lt;&gt;"",VLOOKUP(M177,'PRODUCT &amp; SERVICES'!$O:$P,2,0),"")</f>
        <v>Sea-Oil</v>
      </c>
      <c r="O177" s="69"/>
      <c r="P177" s="239" t="s">
        <v>427</v>
      </c>
      <c r="Q177" s="69" t="s">
        <v>429</v>
      </c>
      <c r="R177" s="177" t="s">
        <v>29</v>
      </c>
      <c r="S177" s="299" t="s">
        <v>426</v>
      </c>
      <c r="T177" s="333">
        <v>46186</v>
      </c>
      <c r="U177" s="177"/>
    </row>
    <row r="178" spans="1:21" ht="15" customHeight="1">
      <c r="A178" s="224" t="s">
        <v>407</v>
      </c>
      <c r="B178" s="239">
        <v>791</v>
      </c>
      <c r="C178" s="239" t="s">
        <v>423</v>
      </c>
      <c r="D178" s="238">
        <v>8800</v>
      </c>
      <c r="E178" s="239" t="s">
        <v>273</v>
      </c>
      <c r="F178" s="202" t="str">
        <f>IF(E178&lt;&gt;"",VLOOKUP(E178,CODE!$B$2:$C$11,2,0),"")</f>
        <v>BDO NETWORK - CHECKING</v>
      </c>
      <c r="G178" s="239">
        <v>21016</v>
      </c>
      <c r="H178" s="241" t="str">
        <f>IF(G178&lt;&gt;"",VLOOKUP(G178,COA!$A$3:$G$1048576,2,0),"")</f>
        <v>Unearned Revenue - OPS</v>
      </c>
      <c r="I178" s="242" t="s">
        <v>215</v>
      </c>
      <c r="J178" s="243" t="str">
        <f>IF(I178&lt;&gt;"",VLOOKUP(I178,'CUSTOMER LISTS'!$B$3:$E$1048576,2,0),"")</f>
        <v>LEN GASOLINE STATION</v>
      </c>
      <c r="K178" s="243" t="str">
        <f>IF(I178&lt;&gt;"",VLOOKUP(I178,'CUSTOMER LISTS'!$B$3:$E$1048576,3,0),"")</f>
        <v>ARLENE EDIOS UBA</v>
      </c>
      <c r="L178" s="243" t="str">
        <f>IF(I178&lt;&gt;"",VLOOKUP(I178,'CUSTOMER LISTS'!$B$3:$E$1048576,4,0),"")</f>
        <v>BRGY. VILLAFLOR, OROQUIETA CITY, MISAMIS OCCIDENTAL</v>
      </c>
      <c r="M178" s="239">
        <v>712</v>
      </c>
      <c r="N178" s="243" t="str">
        <f>IF(M178&lt;&gt;"",VLOOKUP(M178,'PRODUCT &amp; SERVICES'!$O:$P,2,0),"")</f>
        <v>Sea-Oil</v>
      </c>
      <c r="O178" s="69"/>
      <c r="P178" s="239" t="s">
        <v>427</v>
      </c>
      <c r="Q178" s="69" t="s">
        <v>430</v>
      </c>
      <c r="R178" s="177" t="s">
        <v>29</v>
      </c>
      <c r="S178" s="299" t="s">
        <v>426</v>
      </c>
      <c r="T178" s="333">
        <v>46186</v>
      </c>
      <c r="U178" s="177"/>
    </row>
    <row r="179" spans="1:21" ht="15" customHeight="1">
      <c r="A179" s="224" t="s">
        <v>407</v>
      </c>
      <c r="B179" s="177">
        <v>792</v>
      </c>
      <c r="C179" s="177" t="s">
        <v>431</v>
      </c>
      <c r="D179" s="178">
        <v>1550</v>
      </c>
      <c r="E179" s="177" t="s">
        <v>199</v>
      </c>
      <c r="F179" s="50" t="str">
        <f>IF(E179&lt;&gt;"",VLOOKUP(E179,CODE!$B$2:$C$11,2,0),"")</f>
        <v>CHINA BANK - SAVINGS</v>
      </c>
      <c r="G179" s="177">
        <v>43046</v>
      </c>
      <c r="H179" s="179" t="str">
        <f>IF(G179&lt;&gt;"",VLOOKUP(G179,COA!$A$3:$G$1048576,2,0),"")</f>
        <v>Miscellaneous Income - OPS</v>
      </c>
      <c r="I179" s="234" t="s">
        <v>404</v>
      </c>
      <c r="J179" s="181" t="str">
        <f>IF(I179&lt;&gt;"",VLOOKUP(I179,'CUSTOMER LISTS'!$B$3:$E$1048576,2,0),"")</f>
        <v>M &amp; J GAS STATION</v>
      </c>
      <c r="K179" s="181" t="str">
        <f>IF(I179&lt;&gt;"",VLOOKUP(I179,'CUSTOMER LISTS'!$B$3:$E$1048576,3,0),"")</f>
        <v>IVY MAESTRE OMOS</v>
      </c>
      <c r="L179" s="181" t="str">
        <f>IF(I179&lt;&gt;"",VLOOKUP(I179,'CUSTOMER LISTS'!$B$3:$E$1048576,4,0),"")</f>
        <v>BRGY. LABAKID, SINDANGAN, ZAMBOANGA DEL NORTE</v>
      </c>
      <c r="M179" s="177">
        <v>761</v>
      </c>
      <c r="N179" s="181" t="str">
        <f>IF(M179&lt;&gt;"",VLOOKUP(M179,'PRODUCT &amp; SERVICES'!$O:$P,2,0),"")</f>
        <v>Others ( Pls. Specify )</v>
      </c>
      <c r="O179" s="53"/>
      <c r="P179" s="177" t="s">
        <v>181</v>
      </c>
      <c r="Q179" s="53" t="s">
        <v>325</v>
      </c>
      <c r="R179" s="177" t="s">
        <v>29</v>
      </c>
      <c r="S179" s="53"/>
      <c r="T179" s="332"/>
      <c r="U179" s="177"/>
    </row>
    <row r="180" spans="1:21" ht="15" customHeight="1">
      <c r="A180" s="224" t="s">
        <v>432</v>
      </c>
      <c r="B180" s="177">
        <v>793</v>
      </c>
      <c r="C180" s="183" t="s">
        <v>433</v>
      </c>
      <c r="D180" s="178">
        <v>1550</v>
      </c>
      <c r="E180" s="177" t="s">
        <v>199</v>
      </c>
      <c r="F180" s="50" t="str">
        <f>IF(E180&lt;&gt;"",VLOOKUP(E180,CODE!$B$2:$C$11,2,0),"")</f>
        <v>CHINA BANK - SAVINGS</v>
      </c>
      <c r="G180" s="177">
        <v>43046</v>
      </c>
      <c r="H180" s="179" t="str">
        <f>IF(G180&lt;&gt;"",VLOOKUP(G180,COA!$A$3:$G$1048576,2,0),"")</f>
        <v>Miscellaneous Income - OPS</v>
      </c>
      <c r="I180" s="234" t="s">
        <v>434</v>
      </c>
      <c r="J180" s="181" t="str">
        <f>IF(I180&lt;&gt;"",VLOOKUP(I180,'CUSTOMER LISTS'!$B$3:$E$1048576,2,0),"")</f>
        <v>A R C GAS STATION</v>
      </c>
      <c r="K180" s="181" t="str">
        <f>IF(I180&lt;&gt;"",VLOOKUP(I180,'CUSTOMER LISTS'!$B$3:$E$1048576,3,0),"")</f>
        <v>ADRIANO ROLAN CHUA</v>
      </c>
      <c r="L180" s="181" t="str">
        <f>IF(I180&lt;&gt;"",VLOOKUP(I180,'CUSTOMER LISTS'!$B$3:$E$1048576,4,0),"")</f>
        <v>BRGY. POBLACION, SIOCON, ZAMBOANGA DEL NORTE</v>
      </c>
      <c r="M180" s="177">
        <v>761</v>
      </c>
      <c r="N180" s="181" t="str">
        <f>IF(M180&lt;&gt;"",VLOOKUP(M180,'PRODUCT &amp; SERVICES'!$O:$P,2,0),"")</f>
        <v>Others ( Pls. Specify )</v>
      </c>
      <c r="O180" s="53"/>
      <c r="P180" s="53"/>
      <c r="Q180" s="53" t="s">
        <v>325</v>
      </c>
      <c r="R180" s="177" t="s">
        <v>29</v>
      </c>
      <c r="S180" s="53"/>
      <c r="T180" s="332"/>
      <c r="U180" s="177"/>
    </row>
    <row r="181" spans="1:21" ht="15" customHeight="1">
      <c r="A181" s="235">
        <v>46185</v>
      </c>
      <c r="B181" s="177">
        <v>794</v>
      </c>
      <c r="C181" s="183" t="s">
        <v>435</v>
      </c>
      <c r="D181" s="178">
        <v>1550</v>
      </c>
      <c r="E181" s="177" t="s">
        <v>199</v>
      </c>
      <c r="F181" s="50" t="str">
        <f>IF(E181&lt;&gt;"",VLOOKUP(E181,CODE!$B$2:$C$11,2,0),"")</f>
        <v>CHINA BANK - SAVINGS</v>
      </c>
      <c r="G181" s="177">
        <v>43046</v>
      </c>
      <c r="H181" s="179" t="str">
        <f>IF(G181&lt;&gt;"",VLOOKUP(G181,COA!$A$3:$G$1048576,2,0),"")</f>
        <v>Miscellaneous Income - OPS</v>
      </c>
      <c r="I181" s="234" t="s">
        <v>224</v>
      </c>
      <c r="J181" s="181" t="str">
        <f>IF(I181&lt;&gt;"",VLOOKUP(I181,'CUSTOMER LISTS'!$B$3:$E$1048576,2,0),"")</f>
        <v>JRM FUEL REFILLING STATION</v>
      </c>
      <c r="K181" s="181" t="str">
        <f>IF(I181&lt;&gt;"",VLOOKUP(I181,'CUSTOMER LISTS'!$B$3:$E$1048576,3,0),"")</f>
        <v>MELVA MACAPAZ NICOLAS</v>
      </c>
      <c r="L181" s="181" t="str">
        <f>IF(I181&lt;&gt;"",VLOOKUP(I181,'CUSTOMER LISTS'!$B$3:$E$1048576,4,0),"")</f>
        <v>BRGY. TAMIL, JOSE DALMAN, ZAMBOANGA DEL NORTE</v>
      </c>
      <c r="M181" s="177">
        <v>761</v>
      </c>
      <c r="N181" s="181" t="str">
        <f>IF(M181&lt;&gt;"",VLOOKUP(M181,'PRODUCT &amp; SERVICES'!$O:$P,2,0),"")</f>
        <v>Others ( Pls. Specify )</v>
      </c>
      <c r="O181" s="53"/>
      <c r="P181" s="53"/>
      <c r="Q181" s="53" t="s">
        <v>325</v>
      </c>
      <c r="R181" s="177" t="s">
        <v>29</v>
      </c>
      <c r="S181" s="53"/>
      <c r="T181" s="332"/>
      <c r="U181" s="177"/>
    </row>
    <row r="182" spans="1:21" ht="15" customHeight="1">
      <c r="A182" s="235">
        <v>46185</v>
      </c>
      <c r="B182" s="177">
        <v>795</v>
      </c>
      <c r="C182" s="183" t="s">
        <v>436</v>
      </c>
      <c r="D182" s="178">
        <v>1550</v>
      </c>
      <c r="E182" s="177" t="s">
        <v>199</v>
      </c>
      <c r="F182" s="50" t="str">
        <f>IF(E182&lt;&gt;"",VLOOKUP(E182,CODE!$B$2:$C$11,2,0),"")</f>
        <v>CHINA BANK - SAVINGS</v>
      </c>
      <c r="G182" s="177">
        <v>43046</v>
      </c>
      <c r="H182" s="179" t="str">
        <f>IF(G182&lt;&gt;"",VLOOKUP(G182,COA!$A$3:$G$1048576,2,0),"")</f>
        <v>Miscellaneous Income - OPS</v>
      </c>
      <c r="I182" s="234" t="s">
        <v>78</v>
      </c>
      <c r="J182" s="181" t="str">
        <f>IF(I182&lt;&gt;"",VLOOKUP(I182,'CUSTOMER LISTS'!$B$3:$E$1048576,2,0),"")</f>
        <v>MUTIA RANGERS FUEL RETAILING</v>
      </c>
      <c r="K182" s="181" t="str">
        <f>IF(I182&lt;&gt;"",VLOOKUP(I182,'CUSTOMER LISTS'!$B$3:$E$1048576,3,0),"")</f>
        <v>JULIE ANN CONING MUTIA</v>
      </c>
      <c r="L182" s="181" t="str">
        <f>IF(I182&lt;&gt;"",VLOOKUP(I182,'CUSTOMER LISTS'!$B$3:$E$1048576,4,0),"")</f>
        <v>BRGY. DOLIPOS, BAJO, OROQUIETA CITY</v>
      </c>
      <c r="M182" s="177">
        <v>761</v>
      </c>
      <c r="N182" s="181" t="str">
        <f>IF(M182&lt;&gt;"",VLOOKUP(M182,'PRODUCT &amp; SERVICES'!$O:$P,2,0),"")</f>
        <v>Others ( Pls. Specify )</v>
      </c>
      <c r="O182" s="53"/>
      <c r="P182" s="53"/>
      <c r="Q182" s="53" t="s">
        <v>325</v>
      </c>
      <c r="R182" s="177" t="s">
        <v>29</v>
      </c>
      <c r="S182" s="53"/>
      <c r="T182" s="332"/>
      <c r="U182" s="177"/>
    </row>
    <row r="183" spans="1:21" ht="15" customHeight="1">
      <c r="A183" s="235">
        <v>46185</v>
      </c>
      <c r="B183" s="177">
        <v>796</v>
      </c>
      <c r="C183" s="183" t="s">
        <v>437</v>
      </c>
      <c r="D183" s="178">
        <v>1550</v>
      </c>
      <c r="E183" s="177" t="s">
        <v>199</v>
      </c>
      <c r="F183" s="50" t="str">
        <f>IF(E183&lt;&gt;"",VLOOKUP(E183,CODE!$B$2:$C$11,2,0),"")</f>
        <v>CHINA BANK - SAVINGS</v>
      </c>
      <c r="G183" s="177">
        <v>43046</v>
      </c>
      <c r="H183" s="179" t="str">
        <f>IF(G183&lt;&gt;"",VLOOKUP(G183,COA!$A$3:$G$1048576,2,0),"")</f>
        <v>Miscellaneous Income - OPS</v>
      </c>
      <c r="I183" s="234" t="s">
        <v>438</v>
      </c>
      <c r="J183" s="181" t="str">
        <f>IF(I183&lt;&gt;"",VLOOKUP(I183,'CUSTOMER LISTS'!$B$3:$E$1048576,2,0),"")</f>
        <v>ETHAN MICRO GAS STATION</v>
      </c>
      <c r="K183" s="181" t="str">
        <f>IF(I183&lt;&gt;"",VLOOKUP(I183,'CUSTOMER LISTS'!$B$3:$E$1048576,3,0),"")</f>
        <v>MELODY G. ATEZ</v>
      </c>
      <c r="L183" s="181" t="str">
        <f>IF(I183&lt;&gt;"",VLOOKUP(I183,'CUSTOMER LISTS'!$B$3:$E$1048576,4,0),"")</f>
        <v>BRGY. DIPAAN, SINDANGAN, ZAMBOANGA DEL NORTE</v>
      </c>
      <c r="M183" s="177">
        <v>761</v>
      </c>
      <c r="N183" s="181" t="str">
        <f>IF(M183&lt;&gt;"",VLOOKUP(M183,'PRODUCT &amp; SERVICES'!$O:$P,2,0),"")</f>
        <v>Others ( Pls. Specify )</v>
      </c>
      <c r="O183" s="53"/>
      <c r="P183" s="53"/>
      <c r="Q183" s="53" t="s">
        <v>325</v>
      </c>
      <c r="R183" s="177" t="s">
        <v>29</v>
      </c>
      <c r="S183" s="53"/>
      <c r="T183" s="332"/>
      <c r="U183" s="177"/>
    </row>
    <row r="184" spans="1:21" ht="15" customHeight="1">
      <c r="A184" s="235">
        <v>46185</v>
      </c>
      <c r="B184" s="177">
        <v>797</v>
      </c>
      <c r="C184" s="183" t="s">
        <v>439</v>
      </c>
      <c r="D184" s="178">
        <v>1550</v>
      </c>
      <c r="E184" s="177" t="s">
        <v>199</v>
      </c>
      <c r="F184" s="50" t="str">
        <f>IF(E184&lt;&gt;"",VLOOKUP(E184,CODE!$B$2:$C$11,2,0),"")</f>
        <v>CHINA BANK - SAVINGS</v>
      </c>
      <c r="G184" s="177">
        <v>43046</v>
      </c>
      <c r="H184" s="179" t="str">
        <f>IF(G184&lt;&gt;"",VLOOKUP(G184,COA!$A$3:$G$1048576,2,0),"")</f>
        <v>Miscellaneous Income - OPS</v>
      </c>
      <c r="I184" s="234" t="s">
        <v>440</v>
      </c>
      <c r="J184" s="181" t="str">
        <f>IF(I184&lt;&gt;"",VLOOKUP(I184,'CUSTOMER LISTS'!$B$3:$E$1048576,2,0),"")</f>
        <v>QUADRU FUEL REFILLING STATION</v>
      </c>
      <c r="K184" s="181" t="str">
        <f>IF(I184&lt;&gt;"",VLOOKUP(I184,'CUSTOMER LISTS'!$B$3:$E$1048576,3,0),"")</f>
        <v>ALJUN LATA SUERTE</v>
      </c>
      <c r="L184" s="181" t="str">
        <f>IF(I184&lt;&gt;"",VLOOKUP(I184,'CUSTOMER LISTS'!$B$3:$E$1048576,4,0),"")</f>
        <v>BRGY. GUITRAN, DUMINGAG, ZAMBOANGA DEL SUR</v>
      </c>
      <c r="M184" s="177">
        <v>761</v>
      </c>
      <c r="N184" s="181" t="str">
        <f>IF(M184&lt;&gt;"",VLOOKUP(M184,'PRODUCT &amp; SERVICES'!$O:$P,2,0),"")</f>
        <v>Others ( Pls. Specify )</v>
      </c>
      <c r="O184" s="53"/>
      <c r="P184" s="53"/>
      <c r="Q184" s="53" t="s">
        <v>325</v>
      </c>
      <c r="R184" s="177" t="s">
        <v>29</v>
      </c>
      <c r="S184" s="53"/>
      <c r="T184" s="332"/>
      <c r="U184" s="177"/>
    </row>
    <row r="185" spans="1:21" ht="15" customHeight="1">
      <c r="A185" s="235">
        <v>46185</v>
      </c>
      <c r="B185" s="177">
        <v>798</v>
      </c>
      <c r="C185" s="183" t="s">
        <v>441</v>
      </c>
      <c r="D185" s="178">
        <v>1550</v>
      </c>
      <c r="E185" s="177" t="s">
        <v>199</v>
      </c>
      <c r="F185" s="50" t="str">
        <f>IF(E185&lt;&gt;"",VLOOKUP(E185,CODE!$B$2:$C$11,2,0),"")</f>
        <v>CHINA BANK - SAVINGS</v>
      </c>
      <c r="G185" s="177">
        <v>43046</v>
      </c>
      <c r="H185" s="179" t="str">
        <f>IF(G185&lt;&gt;"",VLOOKUP(G185,COA!$A$3:$G$1048576,2,0),"")</f>
        <v>Miscellaneous Income - OPS</v>
      </c>
      <c r="I185" s="234" t="s">
        <v>442</v>
      </c>
      <c r="J185" s="181" t="str">
        <f>IF(I185&lt;&gt;"",VLOOKUP(I185,'CUSTOMER LISTS'!$B$3:$E$1048576,2,0),"")</f>
        <v>RC FUEL GAS STATION</v>
      </c>
      <c r="K185" s="181" t="str">
        <f>IF(I185&lt;&gt;"",VLOOKUP(I185,'CUSTOMER LISTS'!$B$3:$E$1048576,3,0),"")</f>
        <v>CHERRYLOU  ELLOREN</v>
      </c>
      <c r="L185" s="181" t="str">
        <f>IF(I185&lt;&gt;"",VLOOKUP(I185,'CUSTOMER LISTS'!$B$3:$E$1048576,4,0),"")</f>
        <v>BRGY. ISIS, POLANCO, ZAMBOANGA DEL NORTE</v>
      </c>
      <c r="M185" s="177">
        <v>761</v>
      </c>
      <c r="N185" s="181" t="str">
        <f>IF(M185&lt;&gt;"",VLOOKUP(M185,'PRODUCT &amp; SERVICES'!$O:$P,2,0),"")</f>
        <v>Others ( Pls. Specify )</v>
      </c>
      <c r="O185" s="53"/>
      <c r="P185" s="53"/>
      <c r="Q185" s="53" t="s">
        <v>325</v>
      </c>
      <c r="R185" s="177" t="s">
        <v>29</v>
      </c>
      <c r="S185" s="53"/>
      <c r="T185" s="332"/>
      <c r="U185" s="177"/>
    </row>
    <row r="186" spans="1:21" ht="15" customHeight="1">
      <c r="A186" s="235">
        <v>46185</v>
      </c>
      <c r="B186" s="177">
        <v>799</v>
      </c>
      <c r="C186" s="183" t="s">
        <v>443</v>
      </c>
      <c r="D186" s="178">
        <v>2250</v>
      </c>
      <c r="E186" s="177" t="s">
        <v>199</v>
      </c>
      <c r="F186" s="50" t="str">
        <f>IF(E186&lt;&gt;"",VLOOKUP(E186,CODE!$B$2:$C$11,2,0),"")</f>
        <v>CHINA BANK - SAVINGS</v>
      </c>
      <c r="G186" s="177">
        <v>43046</v>
      </c>
      <c r="H186" s="179" t="str">
        <f>IF(G186&lt;&gt;"",VLOOKUP(G186,COA!$A$3:$G$1048576,2,0),"")</f>
        <v>Miscellaneous Income - OPS</v>
      </c>
      <c r="I186" s="234" t="s">
        <v>444</v>
      </c>
      <c r="J186" s="181">
        <f>IF(I186&lt;&gt;"",VLOOKUP(I186,'CUSTOMER LISTS'!$B$3:$E$1048576,2,0),"")</f>
        <v>0</v>
      </c>
      <c r="K186" s="181" t="str">
        <f>IF(I186&lt;&gt;"",VLOOKUP(I186,'CUSTOMER LISTS'!$B$3:$E$1048576,3,0),"")</f>
        <v>NELSIE QUIRANTE</v>
      </c>
      <c r="L186" s="181" t="str">
        <f>IF(I186&lt;&gt;"",VLOOKUP(I186,'CUSTOMER LISTS'!$B$3:$E$1048576,4,0),"")</f>
        <v>BRGY. BALUC, SINDANGAN, ZAMBOANGA DEL NORTE</v>
      </c>
      <c r="M186" s="177">
        <v>761</v>
      </c>
      <c r="N186" s="181" t="str">
        <f>IF(M186&lt;&gt;"",VLOOKUP(M186,'PRODUCT &amp; SERVICES'!$O:$P,2,0),"")</f>
        <v>Others ( Pls. Specify )</v>
      </c>
      <c r="O186" s="53"/>
      <c r="P186" s="53"/>
      <c r="Q186" s="53" t="s">
        <v>325</v>
      </c>
      <c r="R186" s="177" t="s">
        <v>29</v>
      </c>
      <c r="S186" s="53"/>
      <c r="T186" s="332"/>
      <c r="U186" s="177"/>
    </row>
    <row r="187" spans="1:21" ht="15" customHeight="1">
      <c r="A187" s="235">
        <v>46185</v>
      </c>
      <c r="B187" s="177">
        <v>800</v>
      </c>
      <c r="C187" s="183" t="s">
        <v>445</v>
      </c>
      <c r="D187" s="178">
        <v>1550</v>
      </c>
      <c r="E187" s="177" t="s">
        <v>199</v>
      </c>
      <c r="F187" s="50" t="str">
        <f>IF(E187&lt;&gt;"",VLOOKUP(E187,CODE!$B$2:$C$11,2,0),"")</f>
        <v>CHINA BANK - SAVINGS</v>
      </c>
      <c r="G187" s="177">
        <v>43046</v>
      </c>
      <c r="H187" s="179" t="str">
        <f>IF(G187&lt;&gt;"",VLOOKUP(G187,COA!$A$3:$G$1048576,2,0),"")</f>
        <v>Miscellaneous Income - OPS</v>
      </c>
      <c r="I187" s="234" t="s">
        <v>446</v>
      </c>
      <c r="J187" s="181" t="str">
        <f>IF(I187&lt;&gt;"",VLOOKUP(I187,'CUSTOMER LISTS'!$B$3:$E$1048576,2,0),"")</f>
        <v>GENDES FUEL STATION</v>
      </c>
      <c r="K187" s="181" t="str">
        <f>IF(I187&lt;&gt;"",VLOOKUP(I187,'CUSTOMER LISTS'!$B$3:$E$1048576,3,0),"")</f>
        <v>JOSEFINA TAN</v>
      </c>
      <c r="L187" s="181" t="str">
        <f>IF(I187&lt;&gt;"",VLOOKUP(I187,'CUSTOMER LISTS'!$B$3:$E$1048576,4,0),"")</f>
        <v>BRGY. PUNTA, DIPOLOG CITY</v>
      </c>
      <c r="M187" s="177">
        <v>761</v>
      </c>
      <c r="N187" s="181" t="str">
        <f>IF(M187&lt;&gt;"",VLOOKUP(M187,'PRODUCT &amp; SERVICES'!$O:$P,2,0),"")</f>
        <v>Others ( Pls. Specify )</v>
      </c>
      <c r="O187" s="53"/>
      <c r="P187" s="53"/>
      <c r="Q187" s="53" t="s">
        <v>325</v>
      </c>
      <c r="R187" s="177" t="s">
        <v>29</v>
      </c>
      <c r="S187" s="53"/>
      <c r="T187" s="332"/>
      <c r="U187" s="177"/>
    </row>
    <row r="188" spans="1:21" ht="15" customHeight="1">
      <c r="A188" s="235">
        <v>46185</v>
      </c>
      <c r="B188" s="177">
        <v>801</v>
      </c>
      <c r="C188" s="183" t="s">
        <v>447</v>
      </c>
      <c r="D188" s="178">
        <v>1550</v>
      </c>
      <c r="E188" s="177" t="s">
        <v>199</v>
      </c>
      <c r="F188" s="50" t="str">
        <f>IF(E188&lt;&gt;"",VLOOKUP(E188,CODE!$B$2:$C$11,2,0),"")</f>
        <v>CHINA BANK - SAVINGS</v>
      </c>
      <c r="G188" s="177">
        <v>43046</v>
      </c>
      <c r="H188" s="179" t="str">
        <f>IF(G188&lt;&gt;"",VLOOKUP(G188,COA!$A$3:$G$1048576,2,0),"")</f>
        <v>Miscellaneous Income - OPS</v>
      </c>
      <c r="I188" s="234" t="s">
        <v>27</v>
      </c>
      <c r="J188" s="181" t="str">
        <f>IF(I188&lt;&gt;"",VLOOKUP(I188,'CUSTOMER LISTS'!$B$3:$E$1048576,2,0),"")</f>
        <v>RJM GASOLINAHAN PETROCHEMICAL PRODUCTS TRADING</v>
      </c>
      <c r="K188" s="181" t="str">
        <f>IF(I188&lt;&gt;"",VLOOKUP(I188,'CUSTOMER LISTS'!$B$3:$E$1048576,3,0),"")</f>
        <v>FELICISIMA PANTORILLA ORILLAN</v>
      </c>
      <c r="L188" s="181" t="str">
        <f>IF(I188&lt;&gt;"",VLOOKUP(I188,'CUSTOMER LISTS'!$B$3:$E$1048576,4,0),"")</f>
        <v>BRGY. BASAGAN, KATIPUNAN, ZAMBOANGA DEL NORTE</v>
      </c>
      <c r="M188" s="177">
        <v>761</v>
      </c>
      <c r="N188" s="181" t="str">
        <f>IF(M188&lt;&gt;"",VLOOKUP(M188,'PRODUCT &amp; SERVICES'!$O:$P,2,0),"")</f>
        <v>Others ( Pls. Specify )</v>
      </c>
      <c r="O188" s="53"/>
      <c r="P188" s="53"/>
      <c r="Q188" s="53" t="s">
        <v>325</v>
      </c>
      <c r="R188" s="177" t="s">
        <v>29</v>
      </c>
      <c r="S188" s="53"/>
      <c r="T188" s="332"/>
      <c r="U188" s="177"/>
    </row>
    <row r="189" spans="1:21" ht="15" customHeight="1">
      <c r="A189" s="224" t="s">
        <v>432</v>
      </c>
      <c r="B189" s="177">
        <v>802</v>
      </c>
      <c r="C189" s="183" t="s">
        <v>448</v>
      </c>
      <c r="D189" s="246">
        <v>150</v>
      </c>
      <c r="E189" s="177" t="s">
        <v>31</v>
      </c>
      <c r="F189" s="50" t="str">
        <f>IF(E189&lt;&gt;"",VLOOKUP(E189,CODE!$B$2:$C$11,2,0),"")</f>
        <v>PSBC- SAVINGS</v>
      </c>
      <c r="G189" s="177">
        <v>43046</v>
      </c>
      <c r="H189" s="179" t="str">
        <f>IF(G189&lt;&gt;"",VLOOKUP(G189,COA!$A$3:$G$1048576,2,0),"")</f>
        <v>Miscellaneous Income - OPS</v>
      </c>
      <c r="I189" s="234" t="s">
        <v>335</v>
      </c>
      <c r="J189" s="181" t="str">
        <f>IF(I189&lt;&gt;"",VLOOKUP(I189,'CUSTOMER LISTS'!$B$3:$E$1048576,2,0),"")</f>
        <v>RIVAS GAS REFILLING STATION</v>
      </c>
      <c r="K189" s="181" t="str">
        <f>IF(I189&lt;&gt;"",VLOOKUP(I189,'CUSTOMER LISTS'!$B$3:$E$1048576,3,0),"")</f>
        <v>RIEL MONTEFALCON RIVAS</v>
      </c>
      <c r="L189" s="181" t="str">
        <f>IF(I189&lt;&gt;"",VLOOKUP(I189,'CUSTOMER LISTS'!$B$3:$E$1048576,4,0),"")</f>
        <v>BRGY. MOTIBOT, SINDANGAN, ZAMBOANGA DEL NORTE</v>
      </c>
      <c r="M189" s="177">
        <v>761</v>
      </c>
      <c r="N189" s="181" t="str">
        <f>IF(M189&lt;&gt;"",VLOOKUP(M189,'PRODUCT &amp; SERVICES'!$O:$P,2,0),"")</f>
        <v>Others ( Pls. Specify )</v>
      </c>
      <c r="O189" s="177"/>
      <c r="P189" s="53"/>
      <c r="Q189" s="53" t="s">
        <v>449</v>
      </c>
      <c r="R189" s="177" t="s">
        <v>29</v>
      </c>
      <c r="S189" s="53"/>
      <c r="T189" s="332"/>
      <c r="U189" s="177"/>
    </row>
    <row r="190" spans="1:21" ht="15" customHeight="1">
      <c r="A190" s="224" t="s">
        <v>432</v>
      </c>
      <c r="B190" s="177">
        <v>803</v>
      </c>
      <c r="C190" s="183" t="s">
        <v>450</v>
      </c>
      <c r="D190" s="246">
        <v>250</v>
      </c>
      <c r="E190" s="177" t="s">
        <v>31</v>
      </c>
      <c r="F190" s="50" t="str">
        <f>IF(E190&lt;&gt;"",VLOOKUP(E190,CODE!$B$2:$C$11,2,0),"")</f>
        <v>PSBC- SAVINGS</v>
      </c>
      <c r="G190" s="177">
        <v>21016</v>
      </c>
      <c r="H190" s="179" t="str">
        <f>IF(G190&lt;&gt;"",VLOOKUP(G190,COA!$A$3:$G$1048576,2,0),"")</f>
        <v>Unearned Revenue - OPS</v>
      </c>
      <c r="I190" s="234" t="s">
        <v>386</v>
      </c>
      <c r="J190" s="181" t="str">
        <f>IF(I190&lt;&gt;"",VLOOKUP(I190,'CUSTOMER LISTS'!$B$3:$E$1048576,2,0),"")</f>
        <v>KRD MICRO GAS STATION</v>
      </c>
      <c r="K190" s="181" t="str">
        <f>IF(I190&lt;&gt;"",VLOOKUP(I190,'CUSTOMER LISTS'!$B$3:$E$1048576,3,0),"")</f>
        <v>KELVIN ENOT DULA</v>
      </c>
      <c r="L190" s="181" t="str">
        <f>IF(I190&lt;&gt;"",VLOOKUP(I190,'CUSTOMER LISTS'!$B$3:$E$1048576,4,0),"")</f>
        <v>BRGY. LEGARDA 1, DINAS, ZAMBOANGA DEL SUR</v>
      </c>
      <c r="M190" s="177">
        <v>731</v>
      </c>
      <c r="N190" s="181" t="str">
        <f>IF(M190&lt;&gt;"",VLOOKUP(M190,'PRODUCT &amp; SERVICES'!$O:$P,2,0),"")</f>
        <v>Other OPS ( Pls. Specify )</v>
      </c>
      <c r="O190" s="177"/>
      <c r="P190" s="53"/>
      <c r="Q190" s="53" t="s">
        <v>451</v>
      </c>
      <c r="R190" s="177" t="s">
        <v>29</v>
      </c>
      <c r="S190" s="53"/>
      <c r="T190" s="332"/>
      <c r="U190" s="177"/>
    </row>
    <row r="191" spans="1:21" ht="15" customHeight="1">
      <c r="A191" s="224" t="s">
        <v>432</v>
      </c>
      <c r="B191" s="177">
        <v>803</v>
      </c>
      <c r="C191" s="183" t="s">
        <v>450</v>
      </c>
      <c r="D191" s="246">
        <v>300</v>
      </c>
      <c r="E191" s="177" t="s">
        <v>31</v>
      </c>
      <c r="F191" s="50" t="str">
        <f>IF(E191&lt;&gt;"",VLOOKUP(E191,CODE!$B$2:$C$11,2,0),"")</f>
        <v>PSBC- SAVINGS</v>
      </c>
      <c r="G191" s="177">
        <v>43046</v>
      </c>
      <c r="H191" s="179" t="str">
        <f>IF(G191&lt;&gt;"",VLOOKUP(G191,COA!$A$3:$G$1048576,2,0),"")</f>
        <v>Miscellaneous Income - OPS</v>
      </c>
      <c r="I191" s="234" t="s">
        <v>386</v>
      </c>
      <c r="J191" s="181" t="str">
        <f>IF(I191&lt;&gt;"",VLOOKUP(I191,'CUSTOMER LISTS'!$B$3:$E$1048576,2,0),"")</f>
        <v>KRD MICRO GAS STATION</v>
      </c>
      <c r="K191" s="181" t="str">
        <f>IF(I191&lt;&gt;"",VLOOKUP(I191,'CUSTOMER LISTS'!$B$3:$E$1048576,3,0),"")</f>
        <v>KELVIN ENOT DULA</v>
      </c>
      <c r="L191" s="181" t="str">
        <f>IF(I191&lt;&gt;"",VLOOKUP(I191,'CUSTOMER LISTS'!$B$3:$E$1048576,4,0),"")</f>
        <v>BRGY. LEGARDA 1, DINAS, ZAMBOANGA DEL SUR</v>
      </c>
      <c r="M191" s="177">
        <v>761</v>
      </c>
      <c r="N191" s="181" t="str">
        <f>IF(M191&lt;&gt;"",VLOOKUP(M191,'PRODUCT &amp; SERVICES'!$O:$P,2,0),"")</f>
        <v>Others ( Pls. Specify )</v>
      </c>
      <c r="O191" s="177" t="s">
        <v>452</v>
      </c>
      <c r="P191" s="53"/>
      <c r="Q191" s="53" t="s">
        <v>449</v>
      </c>
      <c r="R191" s="177" t="s">
        <v>29</v>
      </c>
      <c r="S191" s="53"/>
      <c r="T191" s="332"/>
      <c r="U191" s="177"/>
    </row>
    <row r="192" spans="1:21" ht="15" customHeight="1">
      <c r="A192" s="224" t="s">
        <v>432</v>
      </c>
      <c r="B192" s="245" t="s">
        <v>453</v>
      </c>
      <c r="C192" s="183" t="s">
        <v>454</v>
      </c>
      <c r="D192" s="246">
        <v>330</v>
      </c>
      <c r="E192" s="177" t="s">
        <v>31</v>
      </c>
      <c r="F192" s="50" t="str">
        <f>IF(E192&lt;&gt;"",VLOOKUP(E192,CODE!$B$2:$C$11,2,0),"")</f>
        <v>PSBC- SAVINGS</v>
      </c>
      <c r="G192" s="177">
        <v>43046</v>
      </c>
      <c r="H192" s="179" t="str">
        <f>IF(G192&lt;&gt;"",VLOOKUP(G192,COA!$A$3:$G$1048576,2,0),"")</f>
        <v>Miscellaneous Income - OPS</v>
      </c>
      <c r="I192" s="180" t="s">
        <v>137</v>
      </c>
      <c r="J192" s="181" t="str">
        <f>IF(I192&lt;&gt;"",VLOOKUP(I192,'CUSTOMER LISTS'!$B$3:$E$1048576,2,0),"")</f>
        <v>MMN GAS STATION</v>
      </c>
      <c r="K192" s="181" t="str">
        <f>IF(I192&lt;&gt;"",VLOOKUP(I192,'CUSTOMER LISTS'!$B$3:$E$1048576,3,0),"")</f>
        <v>MARY JANE RESILOSA PAUSANOS</v>
      </c>
      <c r="L192" s="181" t="str">
        <f>IF(I192&lt;&gt;"",VLOOKUP(I192,'CUSTOMER LISTS'!$B$3:$E$1048576,4,0),"")</f>
        <v>BRGY. BAG-ONG BALAMBAN, MAHAYAG, ZAMBOANGA DEL SUR</v>
      </c>
      <c r="M192" s="177">
        <v>761</v>
      </c>
      <c r="N192" s="181" t="str">
        <f>IF(M192&lt;&gt;"",VLOOKUP(M192,'PRODUCT &amp; SERVICES'!$O:$P,2,0),"")</f>
        <v>Others ( Pls. Specify )</v>
      </c>
      <c r="O192" s="177" t="s">
        <v>452</v>
      </c>
      <c r="P192" s="53"/>
      <c r="Q192" s="53" t="s">
        <v>455</v>
      </c>
      <c r="R192" s="177" t="s">
        <v>29</v>
      </c>
      <c r="S192" s="53"/>
      <c r="T192" s="332"/>
      <c r="U192" s="177"/>
    </row>
    <row r="193" spans="1:21" ht="15" customHeight="1">
      <c r="A193" s="224" t="s">
        <v>432</v>
      </c>
      <c r="B193" s="245" t="s">
        <v>456</v>
      </c>
      <c r="C193" s="183" t="s">
        <v>457</v>
      </c>
      <c r="D193" s="246">
        <f>445*6</f>
        <v>2670</v>
      </c>
      <c r="E193" s="177" t="s">
        <v>31</v>
      </c>
      <c r="F193" s="50" t="str">
        <f>IF(E193&lt;&gt;"",VLOOKUP(E193,CODE!$B$2:$C$11,2,0),"")</f>
        <v>PSBC- SAVINGS</v>
      </c>
      <c r="G193" s="177">
        <v>21016</v>
      </c>
      <c r="H193" s="179" t="str">
        <f>IF(G193&lt;&gt;"",VLOOKUP(G193,COA!$A$3:$G$1048576,2,0),"")</f>
        <v>Unearned Revenue - OPS</v>
      </c>
      <c r="I193" s="180" t="s">
        <v>149</v>
      </c>
      <c r="J193" s="181" t="str">
        <f>IF(I193&lt;&gt;"",VLOOKUP(I193,'CUSTOMER LISTS'!$B$3:$E$1048576,2,0),"")</f>
        <v>RM GASOLINE STATION</v>
      </c>
      <c r="K193" s="181" t="str">
        <f>IF(I193&lt;&gt;"",VLOOKUP(I193,'CUSTOMER LISTS'!$B$3:$E$1048576,3,0),"")</f>
        <v>HAMIR GUMANDOL JAAPAL</v>
      </c>
      <c r="L193" s="181" t="str">
        <f>IF(I193&lt;&gt;"",VLOOKUP(I193,'CUSTOMER LISTS'!$B$3:$E$1048576,4,0),"")</f>
        <v>BRGY. MUCAS, SALUG, ZAMBONGA DEL NORTE</v>
      </c>
      <c r="M193" s="177">
        <v>731</v>
      </c>
      <c r="N193" s="181" t="str">
        <f>IF(M193&lt;&gt;"",VLOOKUP(M193,'PRODUCT &amp; SERVICES'!$O:$P,2,0),"")</f>
        <v>Other OPS ( Pls. Specify )</v>
      </c>
      <c r="O193" s="177" t="s">
        <v>458</v>
      </c>
      <c r="P193" s="53"/>
      <c r="Q193" s="53" t="s">
        <v>459</v>
      </c>
      <c r="R193" s="177" t="s">
        <v>29</v>
      </c>
      <c r="S193" s="53"/>
      <c r="T193" s="332"/>
      <c r="U193" s="177"/>
    </row>
    <row r="194" spans="1:21" ht="15" customHeight="1">
      <c r="A194" s="224" t="s">
        <v>432</v>
      </c>
      <c r="B194" s="245" t="s">
        <v>460</v>
      </c>
      <c r="C194" s="183" t="s">
        <v>461</v>
      </c>
      <c r="D194" s="178">
        <v>360</v>
      </c>
      <c r="E194" s="177" t="s">
        <v>199</v>
      </c>
      <c r="F194" s="50" t="str">
        <f>IF(E194&lt;&gt;"",VLOOKUP(E194,CODE!$B$2:$C$11,2,0),"")</f>
        <v>CHINA BANK - SAVINGS</v>
      </c>
      <c r="G194" s="177">
        <v>43046</v>
      </c>
      <c r="H194" s="179" t="str">
        <f>IF(G194&lt;&gt;"",VLOOKUP(G194,COA!$A$3:$G$1048576,2,0),"")</f>
        <v>Miscellaneous Income - OPS</v>
      </c>
      <c r="I194" s="180" t="s">
        <v>132</v>
      </c>
      <c r="J194" s="181" t="str">
        <f>IF(I194&lt;&gt;"",VLOOKUP(I194,'CUSTOMER LISTS'!$B$3:$E$1048576,2,0),"")</f>
        <v>FAME GAS REFILLING STATION</v>
      </c>
      <c r="K194" s="181" t="str">
        <f>IF(I194&lt;&gt;"",VLOOKUP(I194,'CUSTOMER LISTS'!$B$3:$E$1048576,3,0),"")</f>
        <v>FERNANDO DELA ROSA PARAN</v>
      </c>
      <c r="L194" s="181" t="str">
        <f>IF(I194&lt;&gt;"",VLOOKUP(I194,'CUSTOMER LISTS'!$B$3:$E$1048576,4,0),"")</f>
        <v>BRGY. NEW SICAYAB, POLANCO, ZAMBOANGA DEL NORTE</v>
      </c>
      <c r="M194" s="177">
        <v>761</v>
      </c>
      <c r="N194" s="181" t="str">
        <f>IF(M194&lt;&gt;"",VLOOKUP(M194,'PRODUCT &amp; SERVICES'!$O:$P,2,0),"")</f>
        <v>Others ( Pls. Specify )</v>
      </c>
      <c r="O194" s="53" t="s">
        <v>462</v>
      </c>
      <c r="P194" s="53"/>
      <c r="Q194" s="53" t="s">
        <v>463</v>
      </c>
      <c r="R194" s="177" t="s">
        <v>29</v>
      </c>
      <c r="S194" s="53"/>
      <c r="T194" s="332"/>
      <c r="U194" s="177"/>
    </row>
    <row r="195" spans="1:21" ht="15" customHeight="1">
      <c r="A195" s="224" t="s">
        <v>432</v>
      </c>
      <c r="B195" s="245" t="s">
        <v>464</v>
      </c>
      <c r="C195" s="183" t="s">
        <v>465</v>
      </c>
      <c r="D195" s="178">
        <v>360</v>
      </c>
      <c r="E195" s="177" t="s">
        <v>199</v>
      </c>
      <c r="F195" s="50" t="str">
        <f>IF(E195&lt;&gt;"",VLOOKUP(E195,CODE!$B$2:$C$11,2,0),"")</f>
        <v>CHINA BANK - SAVINGS</v>
      </c>
      <c r="G195" s="177">
        <v>43046</v>
      </c>
      <c r="H195" s="179" t="str">
        <f>IF(G195&lt;&gt;"",VLOOKUP(G195,COA!$A$3:$G$1048576,2,0),"")</f>
        <v>Miscellaneous Income - OPS</v>
      </c>
      <c r="I195" s="180" t="s">
        <v>404</v>
      </c>
      <c r="J195" s="181" t="str">
        <f>IF(I195&lt;&gt;"",VLOOKUP(I195,'CUSTOMER LISTS'!$B$3:$E$1048576,2,0),"")</f>
        <v>M &amp; J GAS STATION</v>
      </c>
      <c r="K195" s="181" t="str">
        <f>IF(I195&lt;&gt;"",VLOOKUP(I195,'CUSTOMER LISTS'!$B$3:$E$1048576,3,0),"")</f>
        <v>IVY MAESTRE OMOS</v>
      </c>
      <c r="L195" s="181" t="str">
        <f>IF(I195&lt;&gt;"",VLOOKUP(I195,'CUSTOMER LISTS'!$B$3:$E$1048576,4,0),"")</f>
        <v>BRGY. LABAKID, SINDANGAN, ZAMBOANGA DEL NORTE</v>
      </c>
      <c r="M195" s="177">
        <v>761</v>
      </c>
      <c r="N195" s="181" t="str">
        <f>IF(M195&lt;&gt;"",VLOOKUP(M195,'PRODUCT &amp; SERVICES'!$O:$P,2,0),"")</f>
        <v>Others ( Pls. Specify )</v>
      </c>
      <c r="O195" s="53" t="s">
        <v>462</v>
      </c>
      <c r="P195" s="53"/>
      <c r="Q195" s="53" t="s">
        <v>463</v>
      </c>
      <c r="R195" s="177" t="s">
        <v>29</v>
      </c>
      <c r="S195" s="53"/>
      <c r="T195" s="332"/>
      <c r="U195" s="177"/>
    </row>
    <row r="196" spans="1:21" ht="15" customHeight="1">
      <c r="A196" s="224" t="s">
        <v>432</v>
      </c>
      <c r="B196" s="245" t="s">
        <v>466</v>
      </c>
      <c r="C196" s="183" t="s">
        <v>467</v>
      </c>
      <c r="D196" s="178">
        <v>1550</v>
      </c>
      <c r="E196" s="177" t="s">
        <v>199</v>
      </c>
      <c r="F196" s="50" t="str">
        <f>IF(E196&lt;&gt;"",VLOOKUP(E196,CODE!$B$2:$C$11,2,0),"")</f>
        <v>CHINA BANK - SAVINGS</v>
      </c>
      <c r="G196" s="177">
        <v>43046</v>
      </c>
      <c r="H196" s="179" t="str">
        <f>IF(G196&lt;&gt;"",VLOOKUP(G196,COA!$A$3:$G$1048576,2,0),"")</f>
        <v>Miscellaneous Income - OPS</v>
      </c>
      <c r="I196" s="180" t="s">
        <v>116</v>
      </c>
      <c r="J196" s="181" t="str">
        <f>IF(I196&lt;&gt;"",VLOOKUP(I196,'CUSTOMER LISTS'!$B$3:$E$1048576,2,0),"")</f>
        <v>MEM TRADING AND HAULING SERVICES INC.</v>
      </c>
      <c r="K196" s="181" t="str">
        <f>IF(I196&lt;&gt;"",VLOOKUP(I196,'CUSTOMER LISTS'!$B$3:$E$1048576,3,0),"")</f>
        <v>EMMANUEL TAN</v>
      </c>
      <c r="L196" s="181" t="str">
        <f>IF(I196&lt;&gt;"",VLOOKUP(I196,'CUSTOMER LISTS'!$B$3:$E$1048576,4,0),"")</f>
        <v>BRGY. SOUTHWESTERN POBLACION, CALAMBA, MISAMIS OCCIDENTAL</v>
      </c>
      <c r="M196" s="177">
        <v>761</v>
      </c>
      <c r="N196" s="181" t="str">
        <f>IF(M196&lt;&gt;"",VLOOKUP(M196,'PRODUCT &amp; SERVICES'!$O:$P,2,0),"")</f>
        <v>Others ( Pls. Specify )</v>
      </c>
      <c r="O196" s="53"/>
      <c r="P196" s="53"/>
      <c r="Q196" s="53" t="s">
        <v>468</v>
      </c>
      <c r="R196" s="177" t="s">
        <v>29</v>
      </c>
      <c r="S196" s="53"/>
      <c r="T196" s="332"/>
      <c r="U196" s="177"/>
    </row>
    <row r="197" spans="1:21" ht="15" customHeight="1">
      <c r="A197" s="224" t="s">
        <v>432</v>
      </c>
      <c r="B197" s="245" t="s">
        <v>469</v>
      </c>
      <c r="C197" s="183" t="s">
        <v>470</v>
      </c>
      <c r="D197" s="178">
        <v>150</v>
      </c>
      <c r="E197" s="177" t="s">
        <v>31</v>
      </c>
      <c r="F197" s="50" t="str">
        <f>IF(E197&lt;&gt;"",VLOOKUP(E197,CODE!$B$2:$C$11,2,0),"")</f>
        <v>PSBC- SAVINGS</v>
      </c>
      <c r="G197" s="177">
        <v>43046</v>
      </c>
      <c r="H197" s="179" t="str">
        <f>IF(G197&lt;&gt;"",VLOOKUP(G197,COA!$A$3:$G$1048576,2,0),"")</f>
        <v>Miscellaneous Income - OPS</v>
      </c>
      <c r="I197" s="180" t="s">
        <v>332</v>
      </c>
      <c r="J197" s="181" t="str">
        <f>IF(I197&lt;&gt;"",VLOOKUP(I197,'CUSTOMER LISTS'!$B$3:$E$1048576,2,0),"")</f>
        <v>MBB FUEL REFILLING STATION</v>
      </c>
      <c r="K197" s="181" t="str">
        <f>IF(I197&lt;&gt;"",VLOOKUP(I197,'CUSTOMER LISTS'!$B$3:$E$1048576,3,0),"")</f>
        <v>BRENDO BIASCA MALAHAY</v>
      </c>
      <c r="L197" s="181" t="str">
        <f>IF(I197&lt;&gt;"",VLOOKUP(I197,'CUSTOMER LISTS'!$B$3:$E$1048576,4,0),"")</f>
        <v>BRGY. POBLACION, SIAYAN, ZAMBONGA DEL NORTE</v>
      </c>
      <c r="M197" s="177">
        <v>761</v>
      </c>
      <c r="N197" s="181" t="str">
        <f>IF(M197&lt;&gt;"",VLOOKUP(M197,'PRODUCT &amp; SERVICES'!$O:$P,2,0),"")</f>
        <v>Others ( Pls. Specify )</v>
      </c>
      <c r="O197" s="53" t="s">
        <v>175</v>
      </c>
      <c r="P197" s="53"/>
      <c r="Q197" s="53" t="s">
        <v>449</v>
      </c>
      <c r="R197" s="177" t="s">
        <v>29</v>
      </c>
      <c r="S197" s="53"/>
      <c r="T197" s="332"/>
      <c r="U197" s="177"/>
    </row>
    <row r="198" spans="1:21" ht="15" customHeight="1">
      <c r="A198" s="224" t="s">
        <v>432</v>
      </c>
      <c r="B198" s="245" t="s">
        <v>471</v>
      </c>
      <c r="C198" s="183" t="s">
        <v>472</v>
      </c>
      <c r="D198" s="178">
        <v>180</v>
      </c>
      <c r="E198" s="177" t="s">
        <v>199</v>
      </c>
      <c r="F198" s="50" t="str">
        <f>IF(E198&lt;&gt;"",VLOOKUP(E198,CODE!$B$2:$C$11,2,0),"")</f>
        <v>CHINA BANK - SAVINGS</v>
      </c>
      <c r="G198" s="177">
        <v>43046</v>
      </c>
      <c r="H198" s="179" t="str">
        <f>IF(G198&lt;&gt;"",VLOOKUP(G198,COA!$A$3:$G$1048576,2,0),"")</f>
        <v>Miscellaneous Income - OPS</v>
      </c>
      <c r="I198" s="180" t="s">
        <v>330</v>
      </c>
      <c r="J198" s="181" t="str">
        <f>IF(I198&lt;&gt;"",VLOOKUP(I198,'CUSTOMER LISTS'!$B$3:$E$1048576,2,0),"")</f>
        <v>JOEF GAS STATION</v>
      </c>
      <c r="K198" s="181" t="str">
        <f>IF(I198&lt;&gt;"",VLOOKUP(I198,'CUSTOMER LISTS'!$B$3:$E$1048576,3,0),"")</f>
        <v>JONATHAN BOTER MEDICO</v>
      </c>
      <c r="L198" s="181" t="str">
        <f>IF(I198&lt;&gt;"",VLOOKUP(I198,'CUSTOMER LISTS'!$B$3:$E$1048576,4,0),"")</f>
        <v>BRGY. PANTAD, SAN PABLO, ZAMBOANGA DEL SUR</v>
      </c>
      <c r="M198" s="177">
        <v>761</v>
      </c>
      <c r="N198" s="181" t="str">
        <f>IF(M198&lt;&gt;"",VLOOKUP(M198,'PRODUCT &amp; SERVICES'!$O:$P,2,0),"")</f>
        <v>Others ( Pls. Specify )</v>
      </c>
      <c r="O198" s="53" t="s">
        <v>150</v>
      </c>
      <c r="P198" s="53"/>
      <c r="Q198" s="53" t="s">
        <v>463</v>
      </c>
      <c r="R198" s="177" t="s">
        <v>29</v>
      </c>
      <c r="S198" s="53"/>
      <c r="T198" s="332"/>
      <c r="U198" s="177"/>
    </row>
    <row r="199" spans="1:21" ht="15" customHeight="1">
      <c r="A199" s="224" t="s">
        <v>432</v>
      </c>
      <c r="B199" s="245" t="s">
        <v>473</v>
      </c>
      <c r="C199" s="183" t="s">
        <v>474</v>
      </c>
      <c r="D199" s="178">
        <v>180</v>
      </c>
      <c r="E199" s="177" t="s">
        <v>199</v>
      </c>
      <c r="F199" s="50" t="str">
        <f>IF(E199&lt;&gt;"",VLOOKUP(E199,CODE!$B$2:$C$11,2,0),"")</f>
        <v>CHINA BANK - SAVINGS</v>
      </c>
      <c r="G199" s="177">
        <v>43046</v>
      </c>
      <c r="H199" s="179" t="str">
        <f>IF(G199&lt;&gt;"",VLOOKUP(G199,COA!$A$3:$G$1048576,2,0),"")</f>
        <v>Miscellaneous Income - OPS</v>
      </c>
      <c r="I199" s="180" t="s">
        <v>230</v>
      </c>
      <c r="J199" s="181" t="str">
        <f>IF(I199&lt;&gt;"",VLOOKUP(I199,'CUSTOMER LISTS'!$B$3:$E$1048576,2,0),"")</f>
        <v>RHOIE GAS STATION</v>
      </c>
      <c r="K199" s="181" t="str">
        <f>IF(I199&lt;&gt;"",VLOOKUP(I199,'CUSTOMER LISTS'!$B$3:$E$1048576,3,0),"")</f>
        <v>LEROY CAYASAN EGONIA</v>
      </c>
      <c r="L199" s="181" t="str">
        <f>IF(I199&lt;&gt;"",VLOOKUP(I199,'CUSTOMER LISTS'!$B$3:$E$1048576,4,0),"")</f>
        <v>BRGY. SAGASAN, SAN PABLO, ZAMBOANGA DEL SUR</v>
      </c>
      <c r="M199" s="177">
        <v>761</v>
      </c>
      <c r="N199" s="181" t="str">
        <f>IF(M199&lt;&gt;"",VLOOKUP(M199,'PRODUCT &amp; SERVICES'!$O:$P,2,0),"")</f>
        <v>Others ( Pls. Specify )</v>
      </c>
      <c r="O199" s="53" t="s">
        <v>150</v>
      </c>
      <c r="P199" s="53"/>
      <c r="Q199" s="53" t="s">
        <v>463</v>
      </c>
      <c r="R199" s="177" t="s">
        <v>29</v>
      </c>
      <c r="S199" s="53"/>
      <c r="T199" s="332"/>
      <c r="U199" s="177"/>
    </row>
    <row r="200" spans="1:21" ht="15" customHeight="1">
      <c r="A200" s="247" t="s">
        <v>432</v>
      </c>
      <c r="B200" s="248" t="s">
        <v>475</v>
      </c>
      <c r="C200" s="249" t="s">
        <v>476</v>
      </c>
      <c r="D200" s="238">
        <f>150*4</f>
        <v>600</v>
      </c>
      <c r="E200" s="239" t="s">
        <v>31</v>
      </c>
      <c r="F200" s="202" t="str">
        <f>IF(E200&lt;&gt;"",VLOOKUP(E200,CODE!$B$2:$C$11,2,0),"")</f>
        <v>PSBC- SAVINGS</v>
      </c>
      <c r="G200" s="239">
        <v>43046</v>
      </c>
      <c r="H200" s="241" t="str">
        <f>IF(G200&lt;&gt;"",VLOOKUP(G200,COA!$A$3:$G$1048576,2,0),"")</f>
        <v>Miscellaneous Income - OPS</v>
      </c>
      <c r="I200" s="250" t="s">
        <v>200</v>
      </c>
      <c r="J200" s="243" t="str">
        <f>IF(I200&lt;&gt;"",VLOOKUP(I200,'CUSTOMER LISTS'!$B$3:$E$1048576,2,0),"")</f>
        <v>SR GAS STATION</v>
      </c>
      <c r="K200" s="243" t="str">
        <f>IF(I200&lt;&gt;"",VLOOKUP(I200,'CUSTOMER LISTS'!$B$3:$E$1048576,3,0),"")</f>
        <v>RADHATA SALBANI HAMBALI</v>
      </c>
      <c r="L200" s="243" t="str">
        <f>IF(I200&lt;&gt;"",VLOOKUP(I200,'CUSTOMER LISTS'!$B$3:$E$1048576,4,0),"")</f>
        <v>BRGY. RIZON, BACUNGAN, ZAMBOANGA DEL NORTE</v>
      </c>
      <c r="M200" s="239">
        <v>761</v>
      </c>
      <c r="N200" s="243" t="str">
        <f>IF(M200&lt;&gt;"",VLOOKUP(M200,'PRODUCT &amp; SERVICES'!$O:$P,2,0),"")</f>
        <v>Others ( Pls. Specify )</v>
      </c>
      <c r="O200" s="69" t="s">
        <v>477</v>
      </c>
      <c r="P200" s="69"/>
      <c r="Q200" s="69" t="s">
        <v>449</v>
      </c>
      <c r="R200" s="239" t="s">
        <v>29</v>
      </c>
      <c r="S200" s="69"/>
      <c r="T200" s="334"/>
      <c r="U200" s="239"/>
    </row>
    <row r="201" spans="1:21" ht="15" customHeight="1">
      <c r="A201" s="247" t="s">
        <v>432</v>
      </c>
      <c r="B201" s="245" t="s">
        <v>478</v>
      </c>
      <c r="C201" s="183" t="s">
        <v>479</v>
      </c>
      <c r="D201" s="178">
        <v>180</v>
      </c>
      <c r="E201" s="177" t="s">
        <v>199</v>
      </c>
      <c r="F201" s="50" t="str">
        <f>IF(E201&lt;&gt;"",VLOOKUP(E201,CODE!$B$2:$C$11,2,0),"")</f>
        <v>CHINA BANK - SAVINGS</v>
      </c>
      <c r="G201" s="239">
        <v>43046</v>
      </c>
      <c r="H201" s="179" t="str">
        <f>IF(G201&lt;&gt;"",VLOOKUP(G201,COA!$A$3:$G$1048576,2,0),"")</f>
        <v>Miscellaneous Income - OPS</v>
      </c>
      <c r="I201" s="180" t="s">
        <v>171</v>
      </c>
      <c r="J201" s="181" t="str">
        <f>IF(I201&lt;&gt;"",VLOOKUP(I201,'CUSTOMER LISTS'!$B$3:$E$1048576,2,0),"")</f>
        <v>AM-MON FUEL STATION</v>
      </c>
      <c r="K201" s="181" t="str">
        <f>IF(I201&lt;&gt;"",VLOOKUP(I201,'CUSTOMER LISTS'!$B$3:$E$1048576,3,0),"")</f>
        <v>LUCILLE MANANQUIL  SINARILLOS</v>
      </c>
      <c r="L201" s="181" t="str">
        <f>IF(I201&lt;&gt;"",VLOOKUP(I201,'CUSTOMER LISTS'!$B$3:$E$1048576,4,0),"")</f>
        <v>BRGY. SICAYAB, DIPOLOG CITY, ZAMBOANGA DEL NORTE</v>
      </c>
      <c r="M201" s="239">
        <v>761</v>
      </c>
      <c r="N201" s="181" t="str">
        <f>IF(M201&lt;&gt;"",VLOOKUP(M201,'PRODUCT &amp; SERVICES'!$O:$P,2,0),"")</f>
        <v>Others ( Pls. Specify )</v>
      </c>
      <c r="O201" s="53" t="s">
        <v>150</v>
      </c>
      <c r="P201" s="53"/>
      <c r="Q201" s="53" t="s">
        <v>463</v>
      </c>
      <c r="R201" s="239" t="s">
        <v>29</v>
      </c>
      <c r="S201" s="53"/>
      <c r="T201" s="332"/>
      <c r="U201" s="177"/>
    </row>
    <row r="202" spans="1:21" ht="15" customHeight="1">
      <c r="A202" s="247" t="s">
        <v>432</v>
      </c>
      <c r="B202" s="245" t="s">
        <v>480</v>
      </c>
      <c r="C202" s="183" t="s">
        <v>481</v>
      </c>
      <c r="D202" s="178">
        <v>180</v>
      </c>
      <c r="E202" s="177" t="s">
        <v>199</v>
      </c>
      <c r="F202" s="50" t="str">
        <f>IF(E202&lt;&gt;"",VLOOKUP(E202,CODE!$B$2:$C$11,2,0),"")</f>
        <v>CHINA BANK - SAVINGS</v>
      </c>
      <c r="G202" s="239">
        <v>43046</v>
      </c>
      <c r="H202" s="179" t="str">
        <f>IF(G202&lt;&gt;"",VLOOKUP(G202,COA!$A$3:$G$1048576,2,0),"")</f>
        <v>Miscellaneous Income - OPS</v>
      </c>
      <c r="I202" s="180" t="s">
        <v>261</v>
      </c>
      <c r="J202" s="181" t="str">
        <f>IF(I202&lt;&gt;"",VLOOKUP(I202,'CUSTOMER LISTS'!$B$3:$E$1048576,2,0),"")</f>
        <v>ZAHRA'S GAS REFILLING STATION</v>
      </c>
      <c r="K202" s="181" t="str">
        <f>IF(I202&lt;&gt;"",VLOOKUP(I202,'CUSTOMER LISTS'!$B$3:$E$1048576,3,0),"")</f>
        <v>ZAHRA KATE MENDIOLA</v>
      </c>
      <c r="L202" s="181" t="str">
        <f>IF(I202&lt;&gt;"",VLOOKUP(I202,'CUSTOMER LISTS'!$B$3:$E$1048576,4,0),"")</f>
        <v>BRGY. POBLACION, LAPUYAN, ZAMBOANGA DEL SUR</v>
      </c>
      <c r="M202" s="239">
        <v>761</v>
      </c>
      <c r="N202" s="181" t="str">
        <f>IF(M202&lt;&gt;"",VLOOKUP(M202,'PRODUCT &amp; SERVICES'!$O:$P,2,0),"")</f>
        <v>Others ( Pls. Specify )</v>
      </c>
      <c r="O202" s="53" t="s">
        <v>150</v>
      </c>
      <c r="P202" s="53"/>
      <c r="Q202" s="53" t="s">
        <v>463</v>
      </c>
      <c r="R202" s="239" t="s">
        <v>29</v>
      </c>
      <c r="S202" s="53"/>
      <c r="T202" s="332"/>
      <c r="U202" s="177"/>
    </row>
    <row r="203" spans="1:21" ht="15" customHeight="1">
      <c r="A203" s="247" t="s">
        <v>432</v>
      </c>
      <c r="B203" s="245" t="s">
        <v>482</v>
      </c>
      <c r="C203" s="183" t="s">
        <v>483</v>
      </c>
      <c r="D203" s="178">
        <v>180</v>
      </c>
      <c r="E203" s="177" t="s">
        <v>199</v>
      </c>
      <c r="F203" s="50" t="str">
        <f>IF(E203&lt;&gt;"",VLOOKUP(E203,CODE!$B$2:$C$11,2,0),"")</f>
        <v>CHINA BANK - SAVINGS</v>
      </c>
      <c r="G203" s="239">
        <v>43046</v>
      </c>
      <c r="H203" s="179" t="str">
        <f>IF(G203&lt;&gt;"",VLOOKUP(G203,COA!$A$3:$G$1048576,2,0),"")</f>
        <v>Miscellaneous Income - OPS</v>
      </c>
      <c r="I203" s="180" t="s">
        <v>236</v>
      </c>
      <c r="J203" s="181" t="str">
        <f>IF(I203&lt;&gt;"",VLOOKUP(I203,'CUSTOMER LISTS'!$B$3:$E$1048576,2,0),"")</f>
        <v xml:space="preserve">GAS DISTRIBUTION SERVICES D-BROTHERS GASOLINAHAN </v>
      </c>
      <c r="K203" s="181" t="str">
        <f>IF(I203&lt;&gt;"",VLOOKUP(I203,'CUSTOMER LISTS'!$B$3:$E$1048576,3,0),"")</f>
        <v>DEMOSTHENES SIARON CASTILLON SR.</v>
      </c>
      <c r="L203" s="181" t="str">
        <f>IF(I203&lt;&gt;"",VLOOKUP(I203,'CUSTOMER LISTS'!$B$3:$E$1048576,4,0),"")</f>
        <v>BRGY. SINUYAK, KATIPUNAN, ZAMBOANGA DEL NORTE</v>
      </c>
      <c r="M203" s="239">
        <v>761</v>
      </c>
      <c r="N203" s="181" t="str">
        <f>IF(M203&lt;&gt;"",VLOOKUP(M203,'PRODUCT &amp; SERVICES'!$O:$P,2,0),"")</f>
        <v>Others ( Pls. Specify )</v>
      </c>
      <c r="O203" s="53" t="s">
        <v>150</v>
      </c>
      <c r="P203" s="53"/>
      <c r="Q203" s="53" t="s">
        <v>463</v>
      </c>
      <c r="R203" s="53"/>
      <c r="S203" s="53"/>
      <c r="T203" s="332"/>
      <c r="U203" s="177"/>
    </row>
    <row r="204" spans="1:21" ht="15" customHeight="1">
      <c r="A204" s="224" t="s">
        <v>432</v>
      </c>
      <c r="B204" s="245" t="s">
        <v>484</v>
      </c>
      <c r="C204" s="183" t="s">
        <v>485</v>
      </c>
      <c r="D204" s="178">
        <v>700</v>
      </c>
      <c r="E204" s="177" t="s">
        <v>199</v>
      </c>
      <c r="F204" s="50" t="str">
        <f>IF(E204&lt;&gt;"",VLOOKUP(E204,CODE!$B$2:$C$11,2,0),"")</f>
        <v>CHINA BANK - SAVINGS</v>
      </c>
      <c r="G204" s="177">
        <v>43046</v>
      </c>
      <c r="H204" s="179" t="str">
        <f>IF(G204&lt;&gt;"",VLOOKUP(G204,COA!$A$3:$G$1048576,2,0),"")</f>
        <v>Miscellaneous Income - OPS</v>
      </c>
      <c r="I204" s="180" t="s">
        <v>219</v>
      </c>
      <c r="J204" s="181" t="str">
        <f>IF(I204&lt;&gt;"",VLOOKUP(I204,'CUSTOMER LISTS'!$B$3:$E$1048576,2,0),"")</f>
        <v>GUNIX GAS STATION</v>
      </c>
      <c r="K204" s="181" t="str">
        <f>IF(I204&lt;&gt;"",VLOOKUP(I204,'CUSTOMER LISTS'!$B$3:$E$1048576,3,0),"")</f>
        <v>SEM UDTOHAN PANGASIAN</v>
      </c>
      <c r="L204" s="181" t="str">
        <f>IF(I204&lt;&gt;"",VLOOKUP(I204,'CUSTOMER LISTS'!$B$3:$E$1048576,4,0),"")</f>
        <v>BRGY. MARALAG, DUMINGAG, ZAMBOANGA DEL SUR</v>
      </c>
      <c r="M204" s="177">
        <v>761</v>
      </c>
      <c r="N204" s="181" t="str">
        <f>IF(M204&lt;&gt;"",VLOOKUP(M204,'PRODUCT &amp; SERVICES'!$O:$P,2,0),"")</f>
        <v>Others ( Pls. Specify )</v>
      </c>
      <c r="O204" s="53" t="s">
        <v>486</v>
      </c>
      <c r="P204" s="53"/>
      <c r="Q204" s="53" t="s">
        <v>487</v>
      </c>
      <c r="R204" s="183" t="s">
        <v>29</v>
      </c>
      <c r="S204" s="53"/>
      <c r="T204" s="332"/>
      <c r="U204" s="177"/>
    </row>
    <row r="205" spans="1:21" ht="15" customHeight="1">
      <c r="A205" s="224" t="s">
        <v>432</v>
      </c>
      <c r="B205" s="245" t="s">
        <v>484</v>
      </c>
      <c r="C205" s="183" t="s">
        <v>485</v>
      </c>
      <c r="D205" s="178">
        <v>300</v>
      </c>
      <c r="E205" s="177" t="s">
        <v>31</v>
      </c>
      <c r="F205" s="50" t="str">
        <f>IF(E205&lt;&gt;"",VLOOKUP(E205,CODE!$B$2:$C$11,2,0),"")</f>
        <v>PSBC- SAVINGS</v>
      </c>
      <c r="G205" s="177">
        <v>43046</v>
      </c>
      <c r="H205" s="179" t="str">
        <f>IF(G205&lt;&gt;"",VLOOKUP(G205,COA!$A$3:$G$1048576,2,0),"")</f>
        <v>Miscellaneous Income - OPS</v>
      </c>
      <c r="I205" s="180" t="s">
        <v>219</v>
      </c>
      <c r="J205" s="181" t="str">
        <f>IF(I205&lt;&gt;"",VLOOKUP(I205,'CUSTOMER LISTS'!$B$3:$E$1048576,2,0),"")</f>
        <v>GUNIX GAS STATION</v>
      </c>
      <c r="K205" s="181" t="str">
        <f>IF(I205&lt;&gt;"",VLOOKUP(I205,'CUSTOMER LISTS'!$B$3:$E$1048576,3,0),"")</f>
        <v>SEM UDTOHAN PANGASIAN</v>
      </c>
      <c r="L205" s="181" t="str">
        <f>IF(I205&lt;&gt;"",VLOOKUP(I205,'CUSTOMER LISTS'!$B$3:$E$1048576,4,0),"")</f>
        <v>BRGY. MARALAG, DUMINGAG, ZAMBOANGA DEL SUR</v>
      </c>
      <c r="M205" s="177">
        <v>761</v>
      </c>
      <c r="N205" s="181" t="str">
        <f>IF(M205&lt;&gt;"",VLOOKUP(M205,'PRODUCT &amp; SERVICES'!$O:$P,2,0),"")</f>
        <v>Others ( Pls. Specify )</v>
      </c>
      <c r="O205" s="53" t="s">
        <v>150</v>
      </c>
      <c r="P205" s="53"/>
      <c r="Q205" s="53" t="s">
        <v>488</v>
      </c>
      <c r="R205" s="183" t="s">
        <v>29</v>
      </c>
      <c r="S205" s="53"/>
      <c r="T205" s="332"/>
      <c r="U205" s="177"/>
    </row>
    <row r="206" spans="1:21" ht="15" customHeight="1">
      <c r="A206" s="224" t="s">
        <v>432</v>
      </c>
      <c r="B206" s="245" t="s">
        <v>489</v>
      </c>
      <c r="C206" s="183" t="s">
        <v>490</v>
      </c>
      <c r="D206" s="178">
        <v>300</v>
      </c>
      <c r="E206" s="177" t="s">
        <v>31</v>
      </c>
      <c r="F206" s="50" t="str">
        <f>IF(E206&lt;&gt;"",VLOOKUP(E206,CODE!$B$2:$C$11,2,0),"")</f>
        <v>PSBC- SAVINGS</v>
      </c>
      <c r="G206" s="177">
        <v>43046</v>
      </c>
      <c r="H206" s="179" t="str">
        <f>IF(G206&lt;&gt;"",VLOOKUP(G206,COA!$A$3:$G$1048576,2,0),"")</f>
        <v>Miscellaneous Income - OPS</v>
      </c>
      <c r="I206" s="180" t="s">
        <v>379</v>
      </c>
      <c r="J206" s="181" t="str">
        <f>IF(I206&lt;&gt;"",VLOOKUP(I206,'CUSTOMER LISTS'!$B$3:$E$1048576,2,0),"")</f>
        <v>LIA-FRAN-LILY FUEL STATION</v>
      </c>
      <c r="K206" s="181" t="str">
        <f>IF(I206&lt;&gt;"",VLOOKUP(I206,'CUSTOMER LISTS'!$B$3:$E$1048576,3,0),"")</f>
        <v>LILIA CAMBE UNITO</v>
      </c>
      <c r="L206" s="181" t="str">
        <f>IF(I206&lt;&gt;"",VLOOKUP(I206,'CUSTOMER LISTS'!$B$3:$E$1048576,4,0),"")</f>
        <v>BRGY. COLORAN, SIAY, ZAMBOANGA DEL SUR</v>
      </c>
      <c r="M206" s="177">
        <v>761</v>
      </c>
      <c r="N206" s="181" t="str">
        <f>IF(M206&lt;&gt;"",VLOOKUP(M206,'PRODUCT &amp; SERVICES'!$O:$P,2,0),"")</f>
        <v>Others ( Pls. Specify )</v>
      </c>
      <c r="O206" s="53" t="s">
        <v>150</v>
      </c>
      <c r="P206" s="53"/>
      <c r="Q206" s="53" t="s">
        <v>488</v>
      </c>
      <c r="R206" s="183" t="s">
        <v>29</v>
      </c>
      <c r="S206" s="53"/>
      <c r="T206" s="332"/>
      <c r="U206" s="177"/>
    </row>
    <row r="207" spans="1:21" s="264" customFormat="1" ht="15" customHeight="1">
      <c r="A207" s="256" t="s">
        <v>491</v>
      </c>
      <c r="B207" s="256" t="s">
        <v>492</v>
      </c>
      <c r="C207" s="257" t="s">
        <v>493</v>
      </c>
      <c r="D207" s="268">
        <v>7485</v>
      </c>
      <c r="E207" s="259" t="s">
        <v>199</v>
      </c>
      <c r="F207" s="260" t="str">
        <f>IF(E207&lt;&gt;"",VLOOKUP(E207,CODE!$B$2:$C$11,2,0),"")</f>
        <v>CHINA BANK - SAVINGS</v>
      </c>
      <c r="G207" s="259">
        <v>43026</v>
      </c>
      <c r="H207" s="261" t="str">
        <f>IF(G207&lt;&gt;"",VLOOKUP(G207,COA!$A$3:$G$1048576,2,0),"")</f>
        <v>Service Income</v>
      </c>
      <c r="I207" s="262" t="s">
        <v>391</v>
      </c>
      <c r="J207" s="263" t="str">
        <f>IF(I207&lt;&gt;"",VLOOKUP(I207,'CUSTOMER LISTS'!$B$3:$E$1048576,2,0),"")</f>
        <v>DLIME GASOLINE STATION</v>
      </c>
      <c r="K207" s="263" t="str">
        <f>IF(I207&lt;&gt;"",VLOOKUP(I207,'CUSTOMER LISTS'!$B$3:$E$1048576,3,0),"")</f>
        <v>LEX IVOR MANGOMPIT ETAC</v>
      </c>
      <c r="L207" s="263" t="str">
        <f>IF(I207&lt;&gt;"",VLOOKUP(I207,'CUSTOMER LISTS'!$B$3:$E$1048576,4,0),"")</f>
        <v>BRGY. UPPER BAGONG TUDELA, JOSEFINA, ZAMBOANGA DEL SUR</v>
      </c>
      <c r="M207" s="259">
        <v>761</v>
      </c>
      <c r="N207" s="263" t="str">
        <f>IF(M207&lt;&gt;"",VLOOKUP(M207,'PRODUCT &amp; SERVICES'!$O:$P,2,0),"")</f>
        <v>Others ( Pls. Specify )</v>
      </c>
      <c r="O207" s="263"/>
      <c r="P207" s="263"/>
      <c r="Q207" s="263" t="s">
        <v>494</v>
      </c>
      <c r="R207" s="257" t="s">
        <v>29</v>
      </c>
      <c r="S207" s="263"/>
      <c r="T207" s="335"/>
      <c r="U207" s="259"/>
    </row>
    <row r="208" spans="1:21" ht="15" customHeight="1">
      <c r="A208" s="245" t="s">
        <v>495</v>
      </c>
      <c r="B208" s="245" t="s">
        <v>496</v>
      </c>
      <c r="C208" s="183" t="s">
        <v>497</v>
      </c>
      <c r="D208" s="246">
        <v>1550</v>
      </c>
      <c r="E208" s="177" t="s">
        <v>199</v>
      </c>
      <c r="F208" s="50" t="str">
        <f>IF(E208&lt;&gt;"",VLOOKUP(E208,CODE!$B$2:$C$11,2,0),"")</f>
        <v>CHINA BANK - SAVINGS</v>
      </c>
      <c r="G208" s="177">
        <v>43046</v>
      </c>
      <c r="H208" s="179" t="str">
        <f>IF(G208&lt;&gt;"",VLOOKUP(G208,COA!$A$3:$G$1048576,2,0),"")</f>
        <v>Miscellaneous Income - OPS</v>
      </c>
      <c r="I208" s="180" t="s">
        <v>187</v>
      </c>
      <c r="J208" s="181" t="str">
        <f>IF(I208&lt;&gt;"",VLOOKUP(I208,'CUSTOMER LISTS'!$B$3:$E$1048576,2,0),"")</f>
        <v>4J'S MICRO GAS REFILLING STATION</v>
      </c>
      <c r="K208" s="181" t="str">
        <f>IF(I208&lt;&gt;"",VLOOKUP(I208,'CUSTOMER LISTS'!$B$3:$E$1048576,3,0),"")</f>
        <v>HEPHER CALASANG BAEL</v>
      </c>
      <c r="L208" s="181" t="str">
        <f>IF(I208&lt;&gt;"",VLOOKUP(I208,'CUSTOMER LISTS'!$B$3:$E$1048576,4,0),"")</f>
        <v>BRGY. ILAYA, DAPITAN CITY, ZAMBOANGA DEL NORTE</v>
      </c>
      <c r="M208" s="177">
        <v>761</v>
      </c>
      <c r="N208" s="181" t="str">
        <f>IF(M208&lt;&gt;"",VLOOKUP(M208,'PRODUCT &amp; SERVICES'!$O:$P,2,0),"")</f>
        <v>Others ( Pls. Specify )</v>
      </c>
      <c r="O208" s="53" t="s">
        <v>498</v>
      </c>
      <c r="P208" s="53"/>
      <c r="Q208" s="53" t="s">
        <v>325</v>
      </c>
      <c r="R208" s="183" t="s">
        <v>29</v>
      </c>
      <c r="S208" s="53"/>
      <c r="T208" s="332"/>
      <c r="U208" s="177"/>
    </row>
    <row r="209" spans="1:21" ht="15" customHeight="1">
      <c r="A209" s="245" t="s">
        <v>495</v>
      </c>
      <c r="B209" s="245" t="s">
        <v>499</v>
      </c>
      <c r="C209" s="183" t="s">
        <v>500</v>
      </c>
      <c r="D209" s="246">
        <v>1550</v>
      </c>
      <c r="E209" s="177" t="s">
        <v>501</v>
      </c>
      <c r="F209" s="50" t="str">
        <f>IF(E209&lt;&gt;"",VLOOKUP(E209,CODE!$B$2:$C$14,2,0),"")</f>
        <v>A/Receivables - CNR</v>
      </c>
      <c r="G209" s="177">
        <v>43046</v>
      </c>
      <c r="H209" s="179" t="str">
        <f>IF(G209&lt;&gt;"",VLOOKUP(G209,COA!$A$3:$G$1048576,2,0),"")</f>
        <v>Miscellaneous Income - OPS</v>
      </c>
      <c r="I209" s="180" t="s">
        <v>149</v>
      </c>
      <c r="J209" s="181" t="str">
        <f>IF(I209&lt;&gt;"",VLOOKUP(I209,'CUSTOMER LISTS'!$B$3:$E$1048576,2,0),"")</f>
        <v>RM GASOLINE STATION</v>
      </c>
      <c r="K209" s="181" t="str">
        <f>IF(I209&lt;&gt;"",VLOOKUP(I209,'CUSTOMER LISTS'!$B$3:$E$1048576,3,0),"")</f>
        <v>HAMIR GUMANDOL JAAPAL</v>
      </c>
      <c r="L209" s="181" t="str">
        <f>IF(I209&lt;&gt;"",VLOOKUP(I209,'CUSTOMER LISTS'!$B$3:$E$1048576,4,0),"")</f>
        <v>BRGY. MUCAS, SALUG, ZAMBONGA DEL NORTE</v>
      </c>
      <c r="M209" s="177">
        <v>761</v>
      </c>
      <c r="N209" s="181" t="str">
        <f>IF(M209&lt;&gt;"",VLOOKUP(M209,'PRODUCT &amp; SERVICES'!$O:$P,2,0),"")</f>
        <v>Others ( Pls. Specify )</v>
      </c>
      <c r="O209" s="53" t="s">
        <v>498</v>
      </c>
      <c r="P209" s="53"/>
      <c r="Q209" s="53" t="s">
        <v>325</v>
      </c>
      <c r="R209" s="183" t="s">
        <v>29</v>
      </c>
      <c r="S209" s="53"/>
      <c r="T209" s="332"/>
      <c r="U209" s="177"/>
    </row>
    <row r="210" spans="1:21" ht="15" customHeight="1">
      <c r="A210" s="245" t="s">
        <v>502</v>
      </c>
      <c r="B210" s="245" t="s">
        <v>503</v>
      </c>
      <c r="C210" s="183" t="s">
        <v>504</v>
      </c>
      <c r="D210" s="246">
        <v>14400</v>
      </c>
      <c r="E210" s="177" t="s">
        <v>48</v>
      </c>
      <c r="F210" s="50" t="str">
        <f>IF(E210&lt;&gt;"",VLOOKUP(E210,CODE!$B$2:$C$11,2,0),"")</f>
        <v>EASTWEST-CHECKING</v>
      </c>
      <c r="G210" s="177">
        <v>21023</v>
      </c>
      <c r="H210" s="179" t="str">
        <f>IF(G210&lt;&gt;"",VLOOKUP(G210,COA!$A$3:$G$1048576,2,0),"")</f>
        <v>Unearned Revenue - DMIE</v>
      </c>
      <c r="I210" s="180" t="s">
        <v>505</v>
      </c>
      <c r="J210" s="181" t="str">
        <f>IF(I210&lt;&gt;"",VLOOKUP(I210,'CUSTOMER LISTS'!$B$3:$E$1048576,2,0),"")</f>
        <v>BRYANT MILLING MARKETING</v>
      </c>
      <c r="K210" s="181" t="str">
        <f>IF(I210&lt;&gt;"",VLOOKUP(I210,'CUSTOMER LISTS'!$B$3:$E$1048576,3,0),"")</f>
        <v>BRANT T. SEE</v>
      </c>
      <c r="L210" s="181" t="str">
        <f>IF(I210&lt;&gt;"",VLOOKUP(I210,'CUSTOMER LISTS'!$B$3:$E$1048576,4,0),"")</f>
        <v>OZAMIS CITY</v>
      </c>
      <c r="M210" s="177">
        <v>2311</v>
      </c>
      <c r="N210" s="181" t="str">
        <f>IF(M210&lt;&gt;"",VLOOKUP(M210,'PRODUCT &amp; SERVICES'!$O:$P,2,0),"")</f>
        <v>Stainless Calibration Bucket</v>
      </c>
      <c r="O210" s="53" t="s">
        <v>462</v>
      </c>
      <c r="P210" s="53"/>
      <c r="Q210" s="53" t="s">
        <v>506</v>
      </c>
      <c r="R210" s="183" t="s">
        <v>122</v>
      </c>
      <c r="S210" s="53"/>
      <c r="T210" s="332"/>
      <c r="U210" s="177"/>
    </row>
    <row r="211" spans="1:21" ht="15" customHeight="1">
      <c r="A211" s="245" t="s">
        <v>507</v>
      </c>
      <c r="B211" s="245" t="s">
        <v>508</v>
      </c>
      <c r="C211" s="183" t="s">
        <v>509</v>
      </c>
      <c r="D211" s="246">
        <v>207</v>
      </c>
      <c r="E211" s="177" t="s">
        <v>93</v>
      </c>
      <c r="F211" s="50" t="str">
        <f>IF(E211&lt;&gt;"",VLOOKUP(E211,CODE!$B$2:$C$11,2,0),"")</f>
        <v>PSBC - CHECKING</v>
      </c>
      <c r="G211" s="177">
        <v>43026</v>
      </c>
      <c r="H211" s="179" t="str">
        <f>IF(G211&lt;&gt;"",VLOOKUP(G211,COA!$A$3:$G$1048576,2,0),"")</f>
        <v>Service Income</v>
      </c>
      <c r="I211" s="180" t="s">
        <v>510</v>
      </c>
      <c r="J211" s="181" t="str">
        <f>IF(I211&lt;&gt;"",VLOOKUP(I211,'CUSTOMER LISTS'!$B$3:$E$1048576,2,0),"")</f>
        <v>OTHERS</v>
      </c>
      <c r="K211" s="181" t="str">
        <f>IF(I211&lt;&gt;"",VLOOKUP(I211,'CUSTOMER LISTS'!$B$3:$E$1048576,3,0),"")</f>
        <v>OTHERS</v>
      </c>
      <c r="L211" s="181" t="str">
        <f>IF(I211&lt;&gt;"",VLOOKUP(I211,'CUSTOMER LISTS'!$B$3:$E$1048576,4,0),"")</f>
        <v>OTHERS</v>
      </c>
      <c r="M211" s="177">
        <v>761</v>
      </c>
      <c r="N211" s="181" t="str">
        <f>IF(M211&lt;&gt;"",VLOOKUP(M211,'PRODUCT &amp; SERVICES'!$O:$P,2,0),"")</f>
        <v>Others ( Pls. Specify )</v>
      </c>
      <c r="O211" s="53"/>
      <c r="P211" s="53"/>
      <c r="Q211" s="53" t="s">
        <v>511</v>
      </c>
      <c r="R211" s="183" t="s">
        <v>29</v>
      </c>
      <c r="S211" s="53"/>
      <c r="T211" s="332"/>
      <c r="U211" s="177"/>
    </row>
    <row r="212" spans="1:21" ht="15" customHeight="1">
      <c r="A212" s="245" t="s">
        <v>507</v>
      </c>
      <c r="B212" s="245" t="s">
        <v>512</v>
      </c>
      <c r="C212" s="183" t="s">
        <v>513</v>
      </c>
      <c r="D212" s="178">
        <v>150</v>
      </c>
      <c r="E212" s="177" t="s">
        <v>31</v>
      </c>
      <c r="F212" s="50" t="str">
        <f>IF(E212&lt;&gt;"",VLOOKUP(E212,CODE!$B$2:$C$11,2,0),"")</f>
        <v>PSBC- SAVINGS</v>
      </c>
      <c r="G212" s="177">
        <v>43046</v>
      </c>
      <c r="H212" s="179" t="str">
        <f>IF(G212&lt;&gt;"",VLOOKUP(G212,COA!$A$3:$G$1048576,2,0),"")</f>
        <v>Miscellaneous Income - OPS</v>
      </c>
      <c r="I212" s="180" t="s">
        <v>224</v>
      </c>
      <c r="J212" s="181" t="str">
        <f>IF(I212&lt;&gt;"",VLOOKUP(I212,'CUSTOMER LISTS'!$B$3:$E$1048576,2,0),"")</f>
        <v>JRM FUEL REFILLING STATION</v>
      </c>
      <c r="K212" s="181" t="str">
        <f>IF(I212&lt;&gt;"",VLOOKUP(I212,'CUSTOMER LISTS'!$B$3:$E$1048576,3,0),"")</f>
        <v>MELVA MACAPAZ NICOLAS</v>
      </c>
      <c r="L212" s="181" t="str">
        <f>IF(I212&lt;&gt;"",VLOOKUP(I212,'CUSTOMER LISTS'!$B$3:$E$1048576,4,0),"")</f>
        <v>BRGY. TAMIL, JOSE DALMAN, ZAMBOANGA DEL NORTE</v>
      </c>
      <c r="M212" s="177">
        <v>761</v>
      </c>
      <c r="N212" s="181" t="str">
        <f>IF(M212&lt;&gt;"",VLOOKUP(M212,'PRODUCT &amp; SERVICES'!$O:$P,2,0),"")</f>
        <v>Others ( Pls. Specify )</v>
      </c>
      <c r="O212" s="53"/>
      <c r="P212" s="53"/>
      <c r="Q212" s="53" t="s">
        <v>449</v>
      </c>
      <c r="R212" s="183" t="s">
        <v>29</v>
      </c>
      <c r="S212" s="53"/>
      <c r="T212" s="332"/>
      <c r="U212" s="177"/>
    </row>
    <row r="213" spans="1:21" ht="15" customHeight="1">
      <c r="A213" s="248" t="s">
        <v>507</v>
      </c>
      <c r="B213" s="248" t="s">
        <v>514</v>
      </c>
      <c r="C213" s="249" t="s">
        <v>515</v>
      </c>
      <c r="D213" s="238">
        <v>60000</v>
      </c>
      <c r="E213" s="177" t="s">
        <v>516</v>
      </c>
      <c r="F213" s="269" t="str">
        <f>IF(E213&lt;&gt;"",VLOOKUP(E213,CODE!$B$1:$C$14,2,0),"")</f>
        <v>PNB - OPEX</v>
      </c>
      <c r="G213" s="177">
        <v>25506</v>
      </c>
      <c r="H213" s="179" t="str">
        <f>IF(G213&lt;&gt;"",VLOOKUP(G213,COA!$A$3:$G$1048576,2,0),"")</f>
        <v>Other Payables_Current - OPS</v>
      </c>
      <c r="I213" s="180" t="s">
        <v>56</v>
      </c>
      <c r="J213" s="181" t="str">
        <f>IF(I213&lt;&gt;"",VLOOKUP(I213,'CUSTOMER LISTS'!$B$3:$E$1048576,2,0),"")</f>
        <v>SEVEN-TRENT PETROLEUM CORP.</v>
      </c>
      <c r="K213" s="181" t="str">
        <f>IF(I213&lt;&gt;"",VLOOKUP(I213,'CUSTOMER LISTS'!$B$3:$E$1048576,3,0),"")</f>
        <v>SEVEN-TRENT PETROLEUM CORP.</v>
      </c>
      <c r="L213" s="181" t="str">
        <f>IF(I213&lt;&gt;"",VLOOKUP(I213,'CUSTOMER LISTS'!$B$3:$E$1048576,4,0),"")</f>
        <v>BRGY. SAN PEDRO, DAPITAN,  ZAMBOANGA DEL NORTE</v>
      </c>
      <c r="M213" s="177">
        <v>761</v>
      </c>
      <c r="N213" s="181" t="str">
        <f>IF(M213&lt;&gt;"",VLOOKUP(M213,'PRODUCT &amp; SERVICES'!$O:$P,2,0),"")</f>
        <v>Others ( Pls. Specify )</v>
      </c>
      <c r="O213" s="53"/>
      <c r="P213" s="53"/>
      <c r="Q213" s="53" t="s">
        <v>517</v>
      </c>
      <c r="R213" s="183" t="s">
        <v>29</v>
      </c>
      <c r="S213" s="53"/>
      <c r="T213" s="332"/>
      <c r="U213" s="177"/>
    </row>
    <row r="214" spans="1:21" ht="15" customHeight="1">
      <c r="A214" s="248" t="s">
        <v>507</v>
      </c>
      <c r="B214" s="248" t="s">
        <v>518</v>
      </c>
      <c r="C214" s="249" t="s">
        <v>519</v>
      </c>
      <c r="D214" s="238">
        <v>7485</v>
      </c>
      <c r="E214" s="244" t="s">
        <v>199</v>
      </c>
      <c r="F214" s="270" t="str">
        <f>IF(E214&lt;&gt;"",VLOOKUP(E214,CODE!$B$1:$C$14,2,0),"")</f>
        <v>CHINA BANK - SAVINGS</v>
      </c>
      <c r="G214" s="239">
        <v>43026</v>
      </c>
      <c r="H214" s="241" t="str">
        <f>IF(G214&lt;&gt;"",VLOOKUP(G214,COA!$A$3:$G$1048576,2,0),"")</f>
        <v>Service Income</v>
      </c>
      <c r="I214" s="250" t="s">
        <v>359</v>
      </c>
      <c r="J214" s="243" t="str">
        <f>IF(I214&lt;&gt;"",VLOOKUP(I214,'CUSTOMER LISTS'!$B$3:$E$1048576,2,0),"")</f>
        <v>O'S FUEL REFILLING STATION</v>
      </c>
      <c r="K214" s="243" t="str">
        <f>IF(I214&lt;&gt;"",VLOOKUP(I214,'CUSTOMER LISTS'!$B$3:$E$1048576,3,0),"")</f>
        <v>OGIE S. SAGBED</v>
      </c>
      <c r="L214" s="243" t="str">
        <f>IF(I214&lt;&gt;"",VLOOKUP(I214,'CUSTOMER LISTS'!$B$3:$E$1048576,4,0),"")</f>
        <v>BRGY.  BOGABONGAN, LEON B. POSTIGO</v>
      </c>
      <c r="M214" s="239">
        <v>761</v>
      </c>
      <c r="N214" s="243" t="str">
        <f>IF(M214&lt;&gt;"",VLOOKUP(M214,'PRODUCT &amp; SERVICES'!$O:$P,2,0),"")</f>
        <v>Others ( Pls. Specify )</v>
      </c>
      <c r="O214" s="69"/>
      <c r="P214" s="69"/>
      <c r="Q214" s="69" t="s">
        <v>494</v>
      </c>
      <c r="R214" s="249" t="s">
        <v>29</v>
      </c>
      <c r="S214" s="69"/>
      <c r="T214" s="334"/>
      <c r="U214" s="239"/>
    </row>
    <row r="215" spans="1:21" ht="15" customHeight="1">
      <c r="A215" s="245" t="s">
        <v>520</v>
      </c>
      <c r="B215" s="245" t="s">
        <v>521</v>
      </c>
      <c r="C215" s="183" t="s">
        <v>522</v>
      </c>
      <c r="D215" s="178">
        <v>1400</v>
      </c>
      <c r="E215" s="177" t="s">
        <v>31</v>
      </c>
      <c r="F215" s="269" t="str">
        <f>IF(E215&lt;&gt;"",VLOOKUP(E215,CODE!$B$1:$C$14,2,0),"")</f>
        <v>PSBC- SAVINGS</v>
      </c>
      <c r="G215" s="177">
        <v>43026</v>
      </c>
      <c r="H215" s="241" t="str">
        <f>IF(G215&lt;&gt;"",VLOOKUP(G215,COA!$A$3:$G$1048576,2,0),"")</f>
        <v>Service Income</v>
      </c>
      <c r="I215" s="180" t="s">
        <v>207</v>
      </c>
      <c r="J215" s="181" t="str">
        <f>IF(I215&lt;&gt;"",VLOOKUP(I215,'CUSTOMER LISTS'!$B$3:$E$1048576,2,0),"")</f>
        <v>PHIL GAMZ GAS REFILLING STATION</v>
      </c>
      <c r="K215" s="181" t="str">
        <f>IF(I215&lt;&gt;"",VLOOKUP(I215,'CUSTOMER LISTS'!$B$3:$E$1048576,3,0),"")</f>
        <v>CRYSTALL MAE PAUNDOG</v>
      </c>
      <c r="L215" s="181" t="str">
        <f>IF(I215&lt;&gt;"",VLOOKUP(I215,'CUSTOMER LISTS'!$B$3:$E$1048576,4,0),"")</f>
        <v>BRGY. GUINABUT, SAPANGDALAGA, MISAMIS OCCIDENTAL</v>
      </c>
      <c r="M215" s="177">
        <v>761</v>
      </c>
      <c r="N215" s="181" t="str">
        <f>IF(M215&lt;&gt;"",VLOOKUP(M215,'PRODUCT &amp; SERVICES'!$O:$P,2,0),"")</f>
        <v>Others ( Pls. Specify )</v>
      </c>
      <c r="O215" s="53" t="s">
        <v>150</v>
      </c>
      <c r="P215" s="53"/>
      <c r="Q215" s="53" t="s">
        <v>523</v>
      </c>
      <c r="R215" s="183" t="s">
        <v>29</v>
      </c>
      <c r="S215" s="53"/>
      <c r="T215" s="332"/>
      <c r="U215" s="177"/>
    </row>
    <row r="216" spans="1:21" s="264" customFormat="1" ht="15" customHeight="1">
      <c r="A216" s="256" t="s">
        <v>520</v>
      </c>
      <c r="B216" s="256" t="s">
        <v>521</v>
      </c>
      <c r="C216" s="257" t="s">
        <v>522</v>
      </c>
      <c r="D216" s="258">
        <v>4800</v>
      </c>
      <c r="E216" s="259" t="s">
        <v>48</v>
      </c>
      <c r="F216" s="269" t="str">
        <f>IF(E216&lt;&gt;"",VLOOKUP(E216,CODE!$B$1:$C$14,2,0),"")</f>
        <v>EASTWEST-CHECKING</v>
      </c>
      <c r="G216" s="259">
        <v>21023</v>
      </c>
      <c r="H216" s="241" t="str">
        <f>IF(G216&lt;&gt;"",VLOOKUP(G216,COA!$A$3:$G$1048576,2,0),"")</f>
        <v>Unearned Revenue - DMIE</v>
      </c>
      <c r="I216" s="262" t="s">
        <v>207</v>
      </c>
      <c r="J216" s="181" t="str">
        <f>IF(I216&lt;&gt;"",VLOOKUP(I216,'CUSTOMER LISTS'!$B$3:$E$1048576,2,0),"")</f>
        <v>PHIL GAMZ GAS REFILLING STATION</v>
      </c>
      <c r="K216" s="181" t="str">
        <f>IF(I216&lt;&gt;"",VLOOKUP(I216,'CUSTOMER LISTS'!$B$3:$E$1048576,3,0),"")</f>
        <v>CRYSTALL MAE PAUNDOG</v>
      </c>
      <c r="L216" s="181" t="str">
        <f>IF(I216&lt;&gt;"",VLOOKUP(I216,'CUSTOMER LISTS'!$B$3:$E$1048576,4,0),"")</f>
        <v>BRGY. GUINABUT, SAPANGDALAGA, MISAMIS OCCIDENTAL</v>
      </c>
      <c r="M216" s="259">
        <v>2311</v>
      </c>
      <c r="N216" s="181" t="str">
        <f>IF(M216&lt;&gt;"",VLOOKUP(M216,'PRODUCT &amp; SERVICES'!$O:$P,2,0),"")</f>
        <v>Stainless Calibration Bucket</v>
      </c>
      <c r="O216" s="263" t="s">
        <v>150</v>
      </c>
      <c r="P216" s="263"/>
      <c r="Q216" s="263" t="s">
        <v>506</v>
      </c>
      <c r="R216" s="257" t="s">
        <v>29</v>
      </c>
      <c r="S216" s="263"/>
      <c r="T216" s="335"/>
      <c r="U216" s="259"/>
    </row>
    <row r="217" spans="1:21" ht="15" customHeight="1">
      <c r="A217" s="245" t="s">
        <v>520</v>
      </c>
      <c r="B217" s="245" t="s">
        <v>521</v>
      </c>
      <c r="C217" s="183" t="s">
        <v>522</v>
      </c>
      <c r="D217" s="178">
        <v>150</v>
      </c>
      <c r="E217" s="177" t="s">
        <v>31</v>
      </c>
      <c r="F217" s="269" t="str">
        <f>IF(E217&lt;&gt;"",VLOOKUP(E217,CODE!$B$1:$C$14,2,0),"")</f>
        <v>PSBC- SAVINGS</v>
      </c>
      <c r="G217" s="177">
        <v>43046</v>
      </c>
      <c r="H217" s="241" t="str">
        <f>IF(G217&lt;&gt;"",VLOOKUP(G217,COA!$A$3:$G$1048576,2,0),"")</f>
        <v>Miscellaneous Income - OPS</v>
      </c>
      <c r="I217" s="180" t="s">
        <v>207</v>
      </c>
      <c r="J217" s="181" t="str">
        <f>IF(I217&lt;&gt;"",VLOOKUP(I217,'CUSTOMER LISTS'!$B$3:$E$1048576,2,0),"")</f>
        <v>PHIL GAMZ GAS REFILLING STATION</v>
      </c>
      <c r="K217" s="181" t="str">
        <f>IF(I217&lt;&gt;"",VLOOKUP(I217,'CUSTOMER LISTS'!$B$3:$E$1048576,3,0),"")</f>
        <v>CRYSTALL MAE PAUNDOG</v>
      </c>
      <c r="L217" s="181" t="str">
        <f>IF(I217&lt;&gt;"",VLOOKUP(I217,'CUSTOMER LISTS'!$B$3:$E$1048576,4,0),"")</f>
        <v>BRGY. GUINABUT, SAPANGDALAGA, MISAMIS OCCIDENTAL</v>
      </c>
      <c r="M217" s="177">
        <v>761</v>
      </c>
      <c r="N217" s="181" t="str">
        <f>IF(M217&lt;&gt;"",VLOOKUP(M217,'PRODUCT &amp; SERVICES'!$O:$P,2,0),"")</f>
        <v>Others ( Pls. Specify )</v>
      </c>
      <c r="O217" s="53" t="s">
        <v>175</v>
      </c>
      <c r="P217" s="53"/>
      <c r="Q217" s="53" t="s">
        <v>449</v>
      </c>
      <c r="R217" s="183" t="s">
        <v>29</v>
      </c>
      <c r="S217" s="53"/>
      <c r="T217" s="332"/>
      <c r="U217" s="177"/>
    </row>
    <row r="218" spans="1:21" ht="15" customHeight="1">
      <c r="A218" s="248" t="s">
        <v>520</v>
      </c>
      <c r="B218" s="265" t="s">
        <v>524</v>
      </c>
      <c r="C218" s="249" t="s">
        <v>525</v>
      </c>
      <c r="D218" s="266">
        <v>1400</v>
      </c>
      <c r="E218" s="267" t="s">
        <v>31</v>
      </c>
      <c r="F218" s="270" t="str">
        <f>IF(E218&lt;&gt;"",VLOOKUP(E218,CODE!$B$1:$C$14,2,0),"")</f>
        <v>PSBC- SAVINGS</v>
      </c>
      <c r="G218" s="239">
        <v>43026</v>
      </c>
      <c r="H218" s="241" t="str">
        <f>IF(G218&lt;&gt;"",VLOOKUP(G218,COA!$A$3:$G$1048576,2,0),"")</f>
        <v>Service Income</v>
      </c>
      <c r="I218" s="250" t="s">
        <v>526</v>
      </c>
      <c r="J218" s="243" t="str">
        <f>IF(I218&lt;&gt;"",VLOOKUP(I218,'CUSTOMER LISTS'!$B$3:$E$1048576,2,0),"")</f>
        <v>GWEN FUEL STATION</v>
      </c>
      <c r="K218" s="243" t="str">
        <f>IF(I218&lt;&gt;"",VLOOKUP(I218,'CUSTOMER LISTS'!$B$3:$E$1048576,3,0),"")</f>
        <v>ROBELYN LENIS ABO ABO</v>
      </c>
      <c r="L218" s="243" t="str">
        <f>IF(I218&lt;&gt;"",VLOOKUP(I218,'CUSTOMER LISTS'!$B$3:$E$1048576,4,0),"")</f>
        <v>BRGY. POBLACION, TIGBAO ZAMBOANGA DEL SUR</v>
      </c>
      <c r="M218" s="239">
        <v>761</v>
      </c>
      <c r="N218" s="243" t="str">
        <f>IF(M218&lt;&gt;"",VLOOKUP(M218,'PRODUCT &amp; SERVICES'!$O:$P,2,0),"")</f>
        <v>Others ( Pls. Specify )</v>
      </c>
      <c r="O218" s="69" t="s">
        <v>150</v>
      </c>
      <c r="P218" s="69"/>
      <c r="Q218" s="69" t="s">
        <v>35</v>
      </c>
      <c r="R218" s="249" t="s">
        <v>29</v>
      </c>
      <c r="S218" s="69"/>
      <c r="T218" s="334"/>
      <c r="U218" s="239"/>
    </row>
    <row r="219" spans="1:21" ht="15" customHeight="1">
      <c r="A219" s="245" t="s">
        <v>520</v>
      </c>
      <c r="B219" s="245" t="s">
        <v>527</v>
      </c>
      <c r="C219" s="183" t="s">
        <v>528</v>
      </c>
      <c r="D219" s="178">
        <v>1400</v>
      </c>
      <c r="E219" s="177" t="s">
        <v>31</v>
      </c>
      <c r="F219" s="269" t="str">
        <f>IF(E219&lt;&gt;"",VLOOKUP(E219,CODE!$B$1:$C$14,2,0),"")</f>
        <v>PSBC- SAVINGS</v>
      </c>
      <c r="G219" s="177">
        <v>43026</v>
      </c>
      <c r="H219" s="179" t="str">
        <f>IF(G219&lt;&gt;"",VLOOKUP(G219,COA!$A$3:$G$1048576,2,0),"")</f>
        <v>Service Income</v>
      </c>
      <c r="I219" s="180" t="s">
        <v>224</v>
      </c>
      <c r="J219" s="181" t="str">
        <f>IF(I219&lt;&gt;"",VLOOKUP(I219,'CUSTOMER LISTS'!$B$3:$E$1048576,2,0),"")</f>
        <v>JRM FUEL REFILLING STATION</v>
      </c>
      <c r="K219" s="181" t="str">
        <f>IF(I219&lt;&gt;"",VLOOKUP(I219,'CUSTOMER LISTS'!$B$3:$E$1048576,3,0),"")</f>
        <v>MELVA MACAPAZ NICOLAS</v>
      </c>
      <c r="L219" s="181" t="str">
        <f>IF(I219&lt;&gt;"",VLOOKUP(I219,'CUSTOMER LISTS'!$B$3:$E$1048576,4,0),"")</f>
        <v>BRGY. TAMIL, JOSE DALMAN, ZAMBOANGA DEL NORTE</v>
      </c>
      <c r="M219" s="177">
        <v>761</v>
      </c>
      <c r="N219" s="181" t="str">
        <f>IF(M219&lt;&gt;"",VLOOKUP(M219,'PRODUCT &amp; SERVICES'!$O:$P,2,0),"")</f>
        <v>Others ( Pls. Specify )</v>
      </c>
      <c r="O219" s="53" t="s">
        <v>150</v>
      </c>
      <c r="P219" s="53"/>
      <c r="Q219" s="53" t="s">
        <v>35</v>
      </c>
      <c r="R219" s="183" t="s">
        <v>29</v>
      </c>
      <c r="S219" s="53"/>
      <c r="T219" s="332"/>
      <c r="U219" s="177"/>
    </row>
    <row r="220" spans="1:21" ht="15" customHeight="1">
      <c r="A220" s="245" t="s">
        <v>529</v>
      </c>
      <c r="B220" s="245" t="s">
        <v>530</v>
      </c>
      <c r="C220" s="183" t="s">
        <v>531</v>
      </c>
      <c r="D220" s="178">
        <v>500</v>
      </c>
      <c r="E220" s="177" t="s">
        <v>199</v>
      </c>
      <c r="F220" s="269" t="str">
        <f>IF(E220&lt;&gt;"",VLOOKUP(E220,CODE!$B$1:$C$14,2,0),"")</f>
        <v>CHINA BANK - SAVINGS</v>
      </c>
      <c r="G220" s="177">
        <v>43026</v>
      </c>
      <c r="H220" s="179" t="str">
        <f>IF(G220&lt;&gt;"",VLOOKUP(G220,COA!$A$3:$G$1048576,2,0),"")</f>
        <v>Service Income</v>
      </c>
      <c r="I220" s="180" t="s">
        <v>224</v>
      </c>
      <c r="J220" s="181" t="str">
        <f>IF(I220&lt;&gt;"",VLOOKUP(I220,'CUSTOMER LISTS'!$B$3:$E$1048576,2,0),"")</f>
        <v>JRM FUEL REFILLING STATION</v>
      </c>
      <c r="K220" s="181" t="str">
        <f>IF(I220&lt;&gt;"",VLOOKUP(I220,'CUSTOMER LISTS'!$B$3:$E$1048576,3,0),"")</f>
        <v>MELVA MACAPAZ NICOLAS</v>
      </c>
      <c r="L220" s="181" t="str">
        <f>IF(I220&lt;&gt;"",VLOOKUP(I220,'CUSTOMER LISTS'!$B$3:$E$1048576,4,0),"")</f>
        <v>BRGY. TAMIL, JOSE DALMAN, ZAMBOANGA DEL NORTE</v>
      </c>
      <c r="M220" s="177">
        <v>761</v>
      </c>
      <c r="N220" s="181" t="str">
        <f>IF(M220&lt;&gt;"",VLOOKUP(M220,'PRODUCT &amp; SERVICES'!$O:$P,2,0),"")</f>
        <v>Others ( Pls. Specify )</v>
      </c>
      <c r="O220" s="53"/>
      <c r="P220" s="53"/>
      <c r="Q220" s="53" t="s">
        <v>532</v>
      </c>
      <c r="R220" s="183" t="s">
        <v>29</v>
      </c>
      <c r="S220" s="53"/>
      <c r="T220" s="332"/>
      <c r="U220" s="177"/>
    </row>
    <row r="221" spans="1:21" ht="15" customHeight="1">
      <c r="A221" s="248" t="s">
        <v>533</v>
      </c>
      <c r="B221" s="248" t="s">
        <v>534</v>
      </c>
      <c r="C221" s="249" t="s">
        <v>535</v>
      </c>
      <c r="D221" s="238">
        <v>4250</v>
      </c>
      <c r="E221" s="239" t="s">
        <v>31</v>
      </c>
      <c r="F221" s="270" t="str">
        <f>IF(E221&lt;&gt;"",VLOOKUP(E221,CODE!$B$1:$C$14,2,0),"")</f>
        <v>PSBC- SAVINGS</v>
      </c>
      <c r="G221" s="239">
        <v>21016</v>
      </c>
      <c r="H221" s="241" t="str">
        <f>IF(G221&lt;&gt;"",VLOOKUP(G221,COA!$A$3:$G$1048576,2,0),"")</f>
        <v>Unearned Revenue - OPS</v>
      </c>
      <c r="I221" s="250" t="s">
        <v>207</v>
      </c>
      <c r="J221" s="243" t="str">
        <f>IF(I221&lt;&gt;"",VLOOKUP(I221,'CUSTOMER LISTS'!$B$3:$E$1048576,2,0),"")</f>
        <v>PHIL GAMZ GAS REFILLING STATION</v>
      </c>
      <c r="K221" s="243" t="str">
        <f>IF(I221&lt;&gt;"",VLOOKUP(I221,'CUSTOMER LISTS'!$B$3:$E$1048576,3,0),"")</f>
        <v>CRYSTALL MAE PAUNDOG</v>
      </c>
      <c r="L221" s="243" t="str">
        <f>IF(I221&lt;&gt;"",VLOOKUP(I221,'CUSTOMER LISTS'!$B$3:$E$1048576,4,0),"")</f>
        <v>BRGY. GUINABUT, SAPANGDALAGA, MISAMIS OCCIDENTAL</v>
      </c>
      <c r="M221" s="239">
        <v>711</v>
      </c>
      <c r="N221" s="243" t="str">
        <f>IF(M221&lt;&gt;"",VLOOKUP(M221,'PRODUCT &amp; SERVICES'!$O:$P,2,0),"")</f>
        <v>National</v>
      </c>
      <c r="O221" s="69" t="s">
        <v>536</v>
      </c>
      <c r="P221" s="69" t="s">
        <v>424</v>
      </c>
      <c r="Q221" s="69" t="s">
        <v>537</v>
      </c>
      <c r="R221" s="249" t="s">
        <v>29</v>
      </c>
      <c r="S221" s="69"/>
      <c r="T221" s="334"/>
      <c r="U221" s="239"/>
    </row>
    <row r="222" spans="1:21" ht="15" customHeight="1">
      <c r="A222" s="248" t="s">
        <v>533</v>
      </c>
      <c r="B222" s="248" t="s">
        <v>534</v>
      </c>
      <c r="C222" s="249" t="s">
        <v>535</v>
      </c>
      <c r="D222" s="238">
        <v>2400</v>
      </c>
      <c r="E222" s="239" t="s">
        <v>31</v>
      </c>
      <c r="F222" s="270" t="str">
        <f>IF(E222&lt;&gt;"",VLOOKUP(E222,CODE!$B$1:$C$14,2,0),"")</f>
        <v>PSBC- SAVINGS</v>
      </c>
      <c r="G222" s="239">
        <v>21016</v>
      </c>
      <c r="H222" s="241" t="str">
        <f>IF(G222&lt;&gt;"",VLOOKUP(G222,COA!$A$3:$G$1048576,2,0),"")</f>
        <v>Unearned Revenue - OPS</v>
      </c>
      <c r="I222" s="250" t="s">
        <v>207</v>
      </c>
      <c r="J222" s="243" t="str">
        <f>IF(I222&lt;&gt;"",VLOOKUP(I222,'CUSTOMER LISTS'!$B$3:$E$1048576,2,0),"")</f>
        <v>PHIL GAMZ GAS REFILLING STATION</v>
      </c>
      <c r="K222" s="243" t="str">
        <f>IF(I222&lt;&gt;"",VLOOKUP(I222,'CUSTOMER LISTS'!$B$3:$E$1048576,3,0),"")</f>
        <v>CRYSTALL MAE PAUNDOG</v>
      </c>
      <c r="L222" s="243" t="str">
        <f>IF(I222&lt;&gt;"",VLOOKUP(I222,'CUSTOMER LISTS'!$B$3:$E$1048576,4,0),"")</f>
        <v>BRGY. GUINABUT, SAPANGDALAGA, MISAMIS OCCIDENTAL</v>
      </c>
      <c r="M222" s="239">
        <v>712</v>
      </c>
      <c r="N222" s="243" t="str">
        <f>IF(M222&lt;&gt;"",VLOOKUP(M222,'PRODUCT &amp; SERVICES'!$O:$P,2,0),"")</f>
        <v>Sea-Oil</v>
      </c>
      <c r="O222" s="69" t="s">
        <v>536</v>
      </c>
      <c r="P222" s="69" t="s">
        <v>427</v>
      </c>
      <c r="Q222" s="69" t="s">
        <v>538</v>
      </c>
      <c r="R222" s="249" t="s">
        <v>29</v>
      </c>
      <c r="S222" s="69"/>
      <c r="T222" s="334"/>
      <c r="U222" s="239"/>
    </row>
    <row r="223" spans="1:21" ht="15" customHeight="1">
      <c r="A223" s="245" t="s">
        <v>533</v>
      </c>
      <c r="B223" s="245" t="s">
        <v>539</v>
      </c>
      <c r="C223" s="183" t="s">
        <v>540</v>
      </c>
      <c r="D223" s="178">
        <v>7485</v>
      </c>
      <c r="E223" s="177" t="s">
        <v>211</v>
      </c>
      <c r="F223" s="269" t="str">
        <f>IF(E223&lt;&gt;"",VLOOKUP(E223,CODE!$B$1:$C$14,2,0),"")</f>
        <v>KATIPUNAN BANK-SAVINGS</v>
      </c>
      <c r="G223" s="177">
        <v>43026</v>
      </c>
      <c r="H223" s="179" t="str">
        <f>IF(G223&lt;&gt;"",VLOOKUP(G223,COA!$A$3:$G$1048576,2,0),"")</f>
        <v>Service Income</v>
      </c>
      <c r="I223" s="180" t="s">
        <v>183</v>
      </c>
      <c r="J223" s="181" t="str">
        <f>IF(I223&lt;&gt;"",VLOOKUP(I223,'CUSTOMER LISTS'!$B$3:$E$1048576,2,0),"")</f>
        <v>K.M. GAS REFILLING STATION</v>
      </c>
      <c r="K223" s="181" t="str">
        <f>IF(I223&lt;&gt;"",VLOOKUP(I223,'CUSTOMER LISTS'!$B$3:$E$1048576,3,0),"")</f>
        <v>MANUEL LUCANAS DELOS SANTOS JR.</v>
      </c>
      <c r="L223" s="181" t="str">
        <f>IF(I223&lt;&gt;"",VLOOKUP(I223,'CUSTOMER LISTS'!$B$3:$E$1048576,4,0),"")</f>
        <v>BRGY. COMPRA, LILOY, ZAMBOANGA DEL NORTE</v>
      </c>
      <c r="M223" s="177">
        <v>761</v>
      </c>
      <c r="N223" s="243" t="str">
        <f>IF(M223&lt;&gt;"",VLOOKUP(M223,'PRODUCT &amp; SERVICES'!$O:$P,2,0),"")</f>
        <v>Others ( Pls. Specify )</v>
      </c>
      <c r="O223" s="53" t="s">
        <v>150</v>
      </c>
      <c r="P223" s="53"/>
      <c r="Q223" s="53" t="s">
        <v>541</v>
      </c>
      <c r="R223" s="183" t="s">
        <v>29</v>
      </c>
      <c r="S223" s="53"/>
      <c r="T223" s="332"/>
      <c r="U223" s="177"/>
    </row>
    <row r="224" spans="1:21" ht="15" customHeight="1">
      <c r="A224" s="245" t="s">
        <v>542</v>
      </c>
      <c r="B224" s="245" t="s">
        <v>543</v>
      </c>
      <c r="C224" s="183" t="s">
        <v>544</v>
      </c>
      <c r="D224" s="178">
        <v>7555</v>
      </c>
      <c r="E224" s="177" t="s">
        <v>199</v>
      </c>
      <c r="F224" s="269" t="str">
        <f>IF(E224&lt;&gt;"",VLOOKUP(E224,CODE!$B$1:$C$14,2,0),"")</f>
        <v>CHINA BANK - SAVINGS</v>
      </c>
      <c r="G224" s="177">
        <v>43026</v>
      </c>
      <c r="H224" s="179" t="str">
        <f>IF(G224&lt;&gt;"",VLOOKUP(G224,COA!$A$3:$G$1048576,2,0),"")</f>
        <v>Service Income</v>
      </c>
      <c r="I224" s="180" t="s">
        <v>224</v>
      </c>
      <c r="J224" s="181" t="str">
        <f>IF(I224&lt;&gt;"",VLOOKUP(I224,'CUSTOMER LISTS'!$B$3:$E$1048576,2,0),"")</f>
        <v>JRM FUEL REFILLING STATION</v>
      </c>
      <c r="K224" s="181" t="str">
        <f>IF(I224&lt;&gt;"",VLOOKUP(I224,'CUSTOMER LISTS'!$B$3:$E$1048576,3,0),"")</f>
        <v>MELVA MACAPAZ NICOLAS</v>
      </c>
      <c r="L224" s="181" t="str">
        <f>IF(I224&lt;&gt;"",VLOOKUP(I224,'CUSTOMER LISTS'!$B$3:$E$1048576,4,0),"")</f>
        <v>BRGY. TAMIL, JOSE DALMAN, ZAMBOANGA DEL NORTE</v>
      </c>
      <c r="M224" s="177">
        <v>761</v>
      </c>
      <c r="N224" s="243" t="str">
        <f>IF(M224&lt;&gt;"",VLOOKUP(M224,'PRODUCT &amp; SERVICES'!$O:$P,2,0),"")</f>
        <v>Others ( Pls. Specify )</v>
      </c>
      <c r="O224" s="53"/>
      <c r="P224" s="53"/>
      <c r="Q224" s="69" t="s">
        <v>494</v>
      </c>
      <c r="R224" s="183" t="s">
        <v>29</v>
      </c>
      <c r="S224" s="53"/>
      <c r="T224" s="332"/>
      <c r="U224" s="177"/>
    </row>
    <row r="225" spans="1:21" ht="15" customHeight="1">
      <c r="A225" s="245" t="s">
        <v>542</v>
      </c>
      <c r="B225" s="245" t="s">
        <v>543</v>
      </c>
      <c r="C225" s="183" t="s">
        <v>544</v>
      </c>
      <c r="D225" s="178">
        <v>300</v>
      </c>
      <c r="E225" s="177" t="s">
        <v>199</v>
      </c>
      <c r="F225" s="269" t="str">
        <f>IF(E225&lt;&gt;"",VLOOKUP(E225,CODE!$B$1:$C$14,2,0),"")</f>
        <v>CHINA BANK - SAVINGS</v>
      </c>
      <c r="G225" s="177">
        <v>43026</v>
      </c>
      <c r="H225" s="179" t="str">
        <f>IF(G225&lt;&gt;"",VLOOKUP(G225,COA!$A$3:$G$1048576,2,0),"")</f>
        <v>Service Income</v>
      </c>
      <c r="I225" s="180" t="s">
        <v>224</v>
      </c>
      <c r="J225" s="181" t="str">
        <f>IF(I225&lt;&gt;"",VLOOKUP(I225,'CUSTOMER LISTS'!$B$3:$E$1048576,2,0),"")</f>
        <v>JRM FUEL REFILLING STATION</v>
      </c>
      <c r="K225" s="181" t="str">
        <f>IF(I225&lt;&gt;"",VLOOKUP(I225,'CUSTOMER LISTS'!$B$3:$E$1048576,3,0),"")</f>
        <v>MELVA MACAPAZ NICOLAS</v>
      </c>
      <c r="L225" s="181" t="str">
        <f>IF(I225&lt;&gt;"",VLOOKUP(I225,'CUSTOMER LISTS'!$B$3:$E$1048576,4,0),"")</f>
        <v>BRGY. TAMIL, JOSE DALMAN, ZAMBOANGA DEL NORTE</v>
      </c>
      <c r="M225" s="177">
        <v>761</v>
      </c>
      <c r="N225" s="243" t="str">
        <f>IF(M225&lt;&gt;"",VLOOKUP(M225,'PRODUCT &amp; SERVICES'!$O:$P,2,0),"")</f>
        <v>Others ( Pls. Specify )</v>
      </c>
      <c r="O225" s="53"/>
      <c r="P225" s="53"/>
      <c r="Q225" s="69" t="s">
        <v>545</v>
      </c>
      <c r="R225" s="183" t="s">
        <v>29</v>
      </c>
      <c r="S225" s="53"/>
      <c r="T225" s="332"/>
      <c r="U225" s="177"/>
    </row>
    <row r="226" spans="1:21" ht="15" customHeight="1">
      <c r="A226" s="245" t="s">
        <v>546</v>
      </c>
      <c r="B226" s="245" t="s">
        <v>547</v>
      </c>
      <c r="C226" s="183" t="s">
        <v>548</v>
      </c>
      <c r="D226" s="178">
        <v>3000</v>
      </c>
      <c r="E226" s="177" t="s">
        <v>26</v>
      </c>
      <c r="F226" s="269" t="str">
        <f>IF(E226&lt;&gt;"",VLOOKUP(E226,CODE!$B$1:$C$14,2,0),"")</f>
        <v>RCBC -SAVINGS</v>
      </c>
      <c r="G226" s="177">
        <v>43026</v>
      </c>
      <c r="H226" s="179" t="str">
        <f>IF(G226&lt;&gt;"",VLOOKUP(G226,COA!$A$3:$G$1048576,2,0),"")</f>
        <v>Service Income</v>
      </c>
      <c r="I226" s="234" t="s">
        <v>549</v>
      </c>
      <c r="J226" s="181" t="str">
        <f>IF(I226&lt;&gt;"",VLOOKUP(I226,'CUSTOMER LISTS'!$B$3:$E$1048576,2,0),"")</f>
        <v>CHIVI GAS STATION</v>
      </c>
      <c r="K226" s="181" t="str">
        <f>IF(I226&lt;&gt;"",VLOOKUP(I226,'CUSTOMER LISTS'!$B$3:$E$1048576,3,0),"")</f>
        <v>DARYL JAY TIZON VILLARIN</v>
      </c>
      <c r="L226" s="181" t="str">
        <f>IF(I226&lt;&gt;"",VLOOKUP(I226,'CUSTOMER LISTS'!$B$3:$E$1048576,4,0),"")</f>
        <v>BRGY. MALINTUBOAN, LABASON, ZAMBOANGA DEL NORTE</v>
      </c>
      <c r="M226" s="177">
        <v>761</v>
      </c>
      <c r="N226" s="243" t="str">
        <f>IF(M226&lt;&gt;"",VLOOKUP(M226,'PRODUCT &amp; SERVICES'!$O:$P,2,0),"")</f>
        <v>Others ( Pls. Specify )</v>
      </c>
      <c r="O226" s="53"/>
      <c r="P226" s="53"/>
      <c r="Q226" s="53" t="s">
        <v>550</v>
      </c>
      <c r="R226" s="183" t="s">
        <v>29</v>
      </c>
      <c r="S226" s="53"/>
      <c r="T226" s="332"/>
      <c r="U226" s="177"/>
    </row>
    <row r="227" spans="1:21" ht="15" customHeight="1">
      <c r="A227" s="224">
        <v>46204</v>
      </c>
      <c r="B227" s="245" t="s">
        <v>551</v>
      </c>
      <c r="C227" s="183" t="s">
        <v>552</v>
      </c>
      <c r="D227" s="178">
        <v>2000</v>
      </c>
      <c r="E227" s="177" t="s">
        <v>26</v>
      </c>
      <c r="F227" s="269" t="str">
        <f>IF(E227&lt;&gt;"",VLOOKUP(E227,CODE!$B$1:$C$14,2,0),"")</f>
        <v>RCBC -SAVINGS</v>
      </c>
      <c r="G227" s="177">
        <v>43016</v>
      </c>
      <c r="H227" s="179" t="str">
        <f>IF(G227&lt;&gt;"",VLOOKUP(G227,COA!$A$3:$G$1048576,2,0),"")</f>
        <v>Job Orders</v>
      </c>
      <c r="I227" s="180" t="s">
        <v>183</v>
      </c>
      <c r="J227" s="181" t="str">
        <f>IF(I227&lt;&gt;"",VLOOKUP(I227,'CUSTOMER LISTS'!$B$3:$E$1048576,2,0),"")</f>
        <v>K.M. GAS REFILLING STATION</v>
      </c>
      <c r="K227" s="181" t="str">
        <f>IF(I227&lt;&gt;"",VLOOKUP(I227,'CUSTOMER LISTS'!$B$3:$E$1048576,3,0),"")</f>
        <v>MANUEL LUCANAS DELOS SANTOS JR.</v>
      </c>
      <c r="L227" s="181" t="str">
        <f>IF(I227&lt;&gt;"",VLOOKUP(I227,'CUSTOMER LISTS'!$B$3:$E$1048576,4,0),"")</f>
        <v>BRGY. COMPRA, LILOY, ZAMBOANGA DEL NORTE</v>
      </c>
      <c r="M227" s="177">
        <v>761</v>
      </c>
      <c r="N227" s="243" t="str">
        <f>IF(M227&lt;&gt;"",VLOOKUP(M227,'PRODUCT &amp; SERVICES'!$O:$P,2,0),"")</f>
        <v>Others ( Pls. Specify )</v>
      </c>
      <c r="O227" s="53"/>
      <c r="P227" s="53"/>
      <c r="Q227" s="53" t="s">
        <v>553</v>
      </c>
      <c r="R227" s="183" t="s">
        <v>29</v>
      </c>
      <c r="S227" s="53"/>
      <c r="T227" s="332"/>
      <c r="U227" s="177"/>
    </row>
    <row r="228" spans="1:21" ht="15" customHeight="1">
      <c r="A228" s="247">
        <v>46204</v>
      </c>
      <c r="B228" s="248" t="s">
        <v>554</v>
      </c>
      <c r="C228" s="249" t="s">
        <v>555</v>
      </c>
      <c r="D228" s="238">
        <v>2495</v>
      </c>
      <c r="E228" s="239" t="s">
        <v>26</v>
      </c>
      <c r="F228" s="270" t="str">
        <f>IF(E228&lt;&gt;"",VLOOKUP(E228,CODE!$B$1:$C$14,2,0),"")</f>
        <v>RCBC -SAVINGS</v>
      </c>
      <c r="G228" s="239">
        <v>43016</v>
      </c>
      <c r="H228" s="241" t="str">
        <f>IF(G228&lt;&gt;"",VLOOKUP(G228,COA!$A$3:$G$1048576,2,0),"")</f>
        <v>Job Orders</v>
      </c>
      <c r="I228" s="250" t="s">
        <v>236</v>
      </c>
      <c r="J228" s="243" t="str">
        <f>IF(I228&lt;&gt;"",VLOOKUP(I228,'CUSTOMER LISTS'!$B$3:$E$1048576,2,0),"")</f>
        <v xml:space="preserve">GAS DISTRIBUTION SERVICES D-BROTHERS GASOLINAHAN </v>
      </c>
      <c r="K228" s="243" t="str">
        <f>IF(I228&lt;&gt;"",VLOOKUP(I228,'CUSTOMER LISTS'!$B$3:$E$1048576,3,0),"")</f>
        <v>DEMOSTHENES SIARON CASTILLON SR.</v>
      </c>
      <c r="L228" s="243" t="str">
        <f>IF(I228&lt;&gt;"",VLOOKUP(I228,'CUSTOMER LISTS'!$B$3:$E$1048576,4,0),"")</f>
        <v>BRGY. SINUYAK, KATIPUNAN, ZAMBOANGA DEL NORTE</v>
      </c>
      <c r="M228" s="239">
        <v>721</v>
      </c>
      <c r="N228" s="243" t="str">
        <f>IF(M228&lt;&gt;"",VLOOKUP(M228,'PRODUCT &amp; SERVICES'!$O:$P,2,0),"")</f>
        <v>Job Order</v>
      </c>
      <c r="O228" s="69"/>
      <c r="P228" s="69"/>
      <c r="Q228" s="69" t="s">
        <v>556</v>
      </c>
      <c r="R228" s="249" t="s">
        <v>29</v>
      </c>
      <c r="S228" s="69"/>
      <c r="T228" s="334"/>
      <c r="U228" s="239"/>
    </row>
    <row r="229" spans="1:21" ht="15" customHeight="1">
      <c r="A229" s="235">
        <v>46188</v>
      </c>
      <c r="B229" s="245" t="s">
        <v>557</v>
      </c>
      <c r="C229" s="183" t="s">
        <v>558</v>
      </c>
      <c r="D229" s="178">
        <v>3060</v>
      </c>
      <c r="E229" s="177" t="s">
        <v>199</v>
      </c>
      <c r="F229" s="269" t="str">
        <f>IF(E229&lt;&gt;"",VLOOKUP(E229,CODE!$B$1:$C$14,2,0),"")</f>
        <v>CHINA BANK - SAVINGS</v>
      </c>
      <c r="G229" s="177">
        <v>43046</v>
      </c>
      <c r="H229" s="179" t="str">
        <f>IF(G229&lt;&gt;"",VLOOKUP(G229,COA!$A$3:$G$1048576,2,0),"")</f>
        <v>Miscellaneous Income - OPS</v>
      </c>
      <c r="I229" s="180" t="s">
        <v>510</v>
      </c>
      <c r="J229" s="181" t="str">
        <f>IF(I229&lt;&gt;"",VLOOKUP(I229,'CUSTOMER LISTS'!$B$3:$E$1048576,2,0),"")</f>
        <v>OTHERS</v>
      </c>
      <c r="K229" s="181" t="str">
        <f>IF(I229&lt;&gt;"",VLOOKUP(I229,'CUSTOMER LISTS'!$B$3:$E$1048576,3,0),"")</f>
        <v>OTHERS</v>
      </c>
      <c r="L229" s="181" t="str">
        <f>IF(I229&lt;&gt;"",VLOOKUP(I229,'CUSTOMER LISTS'!$B$3:$E$1048576,4,0),"")</f>
        <v>OTHERS</v>
      </c>
      <c r="M229" s="177">
        <v>761</v>
      </c>
      <c r="N229" s="181" t="str">
        <f>IF(M229&lt;&gt;"",VLOOKUP(M229,'PRODUCT &amp; SERVICES'!$O:$P,2,0),"")</f>
        <v>Others ( Pls. Specify )</v>
      </c>
      <c r="O229" s="53" t="s">
        <v>559</v>
      </c>
      <c r="P229" s="53"/>
      <c r="Q229" s="53" t="s">
        <v>463</v>
      </c>
      <c r="R229" s="183" t="s">
        <v>29</v>
      </c>
      <c r="S229" s="53"/>
      <c r="T229" s="332"/>
      <c r="U229" s="177"/>
    </row>
    <row r="230" spans="1:21" ht="15" customHeight="1">
      <c r="A230" s="235">
        <v>46205</v>
      </c>
      <c r="B230" s="245" t="s">
        <v>560</v>
      </c>
      <c r="C230" s="183" t="s">
        <v>561</v>
      </c>
      <c r="D230" s="178">
        <v>7485</v>
      </c>
      <c r="E230" s="177" t="s">
        <v>199</v>
      </c>
      <c r="F230" s="269" t="str">
        <f>IF(E230&lt;&gt;"",VLOOKUP(E230,CODE!$B$1:$C$14,2,0),"")</f>
        <v>CHINA BANK - SAVINGS</v>
      </c>
      <c r="G230" s="177">
        <v>43026</v>
      </c>
      <c r="H230" s="179" t="str">
        <f>IF(G230&lt;&gt;"",VLOOKUP(G230,COA!$A$3:$G$1048576,2,0),"")</f>
        <v>Service Income</v>
      </c>
      <c r="I230" s="180" t="s">
        <v>207</v>
      </c>
      <c r="J230" s="181" t="str">
        <f>IF(I230&lt;&gt;"",VLOOKUP(I230,'CUSTOMER LISTS'!$B$3:$E$1048576,2,0),"")</f>
        <v>PHIL GAMZ GAS REFILLING STATION</v>
      </c>
      <c r="K230" s="181" t="str">
        <f>IF(I230&lt;&gt;"",VLOOKUP(I230,'CUSTOMER LISTS'!$B$3:$E$1048576,3,0),"")</f>
        <v>CRYSTALL MAE PAUNDOG</v>
      </c>
      <c r="L230" s="181" t="str">
        <f>IF(I230&lt;&gt;"",VLOOKUP(I230,'CUSTOMER LISTS'!$B$3:$E$1048576,4,0),"")</f>
        <v>BRGY. GUINABUT, SAPANGDALAGA, MISAMIS OCCIDENTAL</v>
      </c>
      <c r="M230" s="177">
        <v>761</v>
      </c>
      <c r="N230" s="181" t="str">
        <f>IF(M230&lt;&gt;"",VLOOKUP(M230,'PRODUCT &amp; SERVICES'!$O:$P,2,0),"")</f>
        <v>Others ( Pls. Specify )</v>
      </c>
      <c r="O230" s="53"/>
      <c r="P230" s="53"/>
      <c r="Q230" s="53" t="s">
        <v>494</v>
      </c>
      <c r="R230" s="183" t="s">
        <v>29</v>
      </c>
      <c r="S230" s="53"/>
      <c r="T230" s="332"/>
      <c r="U230" s="177"/>
    </row>
    <row r="231" spans="1:21" ht="15" customHeight="1">
      <c r="A231" s="235">
        <v>46206</v>
      </c>
      <c r="B231" s="245" t="s">
        <v>562</v>
      </c>
      <c r="C231" s="183" t="s">
        <v>563</v>
      </c>
      <c r="D231" s="178">
        <v>2400</v>
      </c>
      <c r="E231" s="177" t="s">
        <v>44</v>
      </c>
      <c r="F231" s="269" t="str">
        <f>IF(E231&lt;&gt;"",VLOOKUP(E231,CODE!$B$1:$C$14,2,0),"")</f>
        <v>PNB - CHECKING</v>
      </c>
      <c r="G231" s="177">
        <v>21016</v>
      </c>
      <c r="H231" s="179" t="str">
        <f>IF(G231&lt;&gt;"",VLOOKUP(G231,COA!$A$3:$G$1048576,2,0),"")</f>
        <v>Unearned Revenue - OPS</v>
      </c>
      <c r="I231" s="180" t="s">
        <v>87</v>
      </c>
      <c r="J231" s="181" t="str">
        <f>IF(I231&lt;&gt;"",VLOOKUP(I231,'CUSTOMER LISTS'!$B$3:$E$1048576,2,0),"")</f>
        <v>BOY G FUEL REFILLING STATION</v>
      </c>
      <c r="K231" s="181" t="str">
        <f>IF(I231&lt;&gt;"",VLOOKUP(I231,'CUSTOMER LISTS'!$B$3:$E$1048576,3,0),"")</f>
        <v>EPIFRAS RUDAS GALLEPOSO</v>
      </c>
      <c r="L231" s="181" t="str">
        <f>IF(I231&lt;&gt;"",VLOOKUP(I231,'CUSTOMER LISTS'!$B$3:$E$1048576,4,0),"")</f>
        <v>BRGY. BINONI, SALUG, ZAMBOANGA DEL NORTE</v>
      </c>
      <c r="M231" s="177">
        <v>712</v>
      </c>
      <c r="N231" s="181" t="str">
        <f>IF(M231&lt;&gt;"",VLOOKUP(M231,'PRODUCT &amp; SERVICES'!$O:$P,2,0),"")</f>
        <v>Sea-Oil</v>
      </c>
      <c r="O231" s="53" t="s">
        <v>39</v>
      </c>
      <c r="P231" s="53" t="s">
        <v>427</v>
      </c>
      <c r="Q231" s="53" t="s">
        <v>538</v>
      </c>
      <c r="R231" s="183" t="s">
        <v>29</v>
      </c>
      <c r="S231" s="53"/>
      <c r="T231" s="332"/>
      <c r="U231" s="177"/>
    </row>
    <row r="232" spans="1:21" ht="15" customHeight="1">
      <c r="A232" s="235">
        <v>46206</v>
      </c>
      <c r="B232" s="245" t="s">
        <v>564</v>
      </c>
      <c r="C232" s="183" t="s">
        <v>565</v>
      </c>
      <c r="D232" s="178">
        <v>4800</v>
      </c>
      <c r="E232" s="177" t="s">
        <v>31</v>
      </c>
      <c r="F232" s="269" t="str">
        <f>IF(E232&lt;&gt;"",VLOOKUP(E232,CODE!$B$1:$C$14,2,0),"")</f>
        <v>PSBC- SAVINGS</v>
      </c>
      <c r="G232" s="177">
        <v>21016</v>
      </c>
      <c r="H232" s="179" t="str">
        <f>IF(G232&lt;&gt;"",VLOOKUP(G232,COA!$A$3:$G$1048576,2,0),"")</f>
        <v>Unearned Revenue - OPS</v>
      </c>
      <c r="I232" s="180" t="s">
        <v>106</v>
      </c>
      <c r="J232" s="181" t="str">
        <f>IF(I232&lt;&gt;"",VLOOKUP(I232,'CUSTOMER LISTS'!$B$3:$E$1048576,2,0),"")</f>
        <v>CM-POWER FUEL REFILLING STATION</v>
      </c>
      <c r="K232" s="181" t="str">
        <f>IF(I232&lt;&gt;"",VLOOKUP(I232,'CUSTOMER LISTS'!$B$3:$E$1048576,3,0),"")</f>
        <v>CHARLENE ESTRADA MANDANTES</v>
      </c>
      <c r="L232" s="181" t="str">
        <f>IF(I232&lt;&gt;"",VLOOKUP(I232,'CUSTOMER LISTS'!$B$3:$E$1048576,4,0),"")</f>
        <v>BRGY. VILLAHERMOSA, POLANCO, ZAMBOANGA DEL NORTE</v>
      </c>
      <c r="M232" s="177">
        <v>712</v>
      </c>
      <c r="N232" s="181" t="str">
        <f>IF(M232&lt;&gt;"",VLOOKUP(M232,'PRODUCT &amp; SERVICES'!$O:$P,2,0),"")</f>
        <v>Sea-Oil</v>
      </c>
      <c r="O232" s="53" t="s">
        <v>107</v>
      </c>
      <c r="P232" s="53" t="s">
        <v>427</v>
      </c>
      <c r="Q232" s="53" t="s">
        <v>538</v>
      </c>
      <c r="R232" s="183" t="s">
        <v>29</v>
      </c>
      <c r="S232" s="53"/>
      <c r="T232" s="332"/>
      <c r="U232" s="177"/>
    </row>
    <row r="233" spans="1:21" ht="15" customHeight="1">
      <c r="A233" s="235">
        <v>46189</v>
      </c>
      <c r="B233" s="245" t="s">
        <v>566</v>
      </c>
      <c r="C233" s="183" t="s">
        <v>567</v>
      </c>
      <c r="D233" s="178">
        <v>4300</v>
      </c>
      <c r="E233" s="177" t="s">
        <v>31</v>
      </c>
      <c r="F233" s="269" t="str">
        <f>IF(E233&lt;&gt;"",VLOOKUP(E233,CODE!$B$1:$C$14,2,0),"")</f>
        <v>PSBC- SAVINGS</v>
      </c>
      <c r="G233" s="177">
        <v>21016</v>
      </c>
      <c r="H233" s="179" t="str">
        <f>IF(G233&lt;&gt;"",VLOOKUP(G233,COA!$A$3:$G$1048576,2,0),"")</f>
        <v>Unearned Revenue - OPS</v>
      </c>
      <c r="I233" s="180" t="s">
        <v>372</v>
      </c>
      <c r="J233" s="181" t="str">
        <f>IF(I233&lt;&gt;"",VLOOKUP(I233,'CUSTOMER LISTS'!$B$3:$E$1048576,2,0),"")</f>
        <v>JC GAS REFILLING STATION</v>
      </c>
      <c r="K233" s="181" t="str">
        <f>IF(I233&lt;&gt;"",VLOOKUP(I233,'CUSTOMER LISTS'!$B$3:$E$1048576,3,0),"")</f>
        <v>JESRELL SYBECO CANOY</v>
      </c>
      <c r="L233" s="181" t="str">
        <f>IF(I233&lt;&gt;"",VLOOKUP(I233,'CUSTOMER LISTS'!$B$3:$E$1048576,4,0),"")</f>
        <v>BRGY. TABON, JOSE DALMAN, ZAMBOANGA DEL NORTE</v>
      </c>
      <c r="M233" s="177">
        <v>761</v>
      </c>
      <c r="N233" s="181" t="str">
        <f>IF(M233&lt;&gt;"",VLOOKUP(M233,'PRODUCT &amp; SERVICES'!$O:$P,2,0),"")</f>
        <v>Others ( Pls. Specify )</v>
      </c>
      <c r="O233" s="53"/>
      <c r="P233" s="53"/>
      <c r="Q233" s="53" t="s">
        <v>568</v>
      </c>
      <c r="R233" s="183" t="s">
        <v>29</v>
      </c>
      <c r="S233" s="53"/>
      <c r="T233" s="332"/>
      <c r="U233" s="177"/>
    </row>
    <row r="234" spans="1:21" ht="15" customHeight="1">
      <c r="A234" s="235">
        <v>46206</v>
      </c>
      <c r="B234" s="245" t="s">
        <v>569</v>
      </c>
      <c r="C234" s="183" t="s">
        <v>570</v>
      </c>
      <c r="D234" s="178">
        <v>1000</v>
      </c>
      <c r="E234" s="177" t="s">
        <v>26</v>
      </c>
      <c r="F234" s="269" t="str">
        <f>IF(E234&lt;&gt;"",VLOOKUP(E234,CODE!$B$1:$C$14,2,0),"")</f>
        <v>RCBC -SAVINGS</v>
      </c>
      <c r="G234" s="177">
        <v>43016</v>
      </c>
      <c r="H234" s="179" t="str">
        <f>IF(G234&lt;&gt;"",VLOOKUP(G234,COA!$A$3:$G$1048576,2,0),"")</f>
        <v>Job Orders</v>
      </c>
      <c r="I234" s="180" t="s">
        <v>215</v>
      </c>
      <c r="J234" s="181" t="str">
        <f>IF(I234&lt;&gt;"",VLOOKUP(I234,'CUSTOMER LISTS'!$B$3:$E$1048576,2,0),"")</f>
        <v>LEN GASOLINE STATION</v>
      </c>
      <c r="K234" s="181" t="str">
        <f>IF(I234&lt;&gt;"",VLOOKUP(I234,'CUSTOMER LISTS'!$B$3:$E$1048576,3,0),"")</f>
        <v>ARLENE EDIOS UBA</v>
      </c>
      <c r="L234" s="181" t="str">
        <f>IF(I234&lt;&gt;"",VLOOKUP(I234,'CUSTOMER LISTS'!$B$3:$E$1048576,4,0),"")</f>
        <v>BRGY. VILLAFLOR, OROQUIETA CITY, MISAMIS OCCIDENTAL</v>
      </c>
      <c r="M234" s="177">
        <v>761</v>
      </c>
      <c r="N234" s="181" t="str">
        <f>IF(M234&lt;&gt;"",VLOOKUP(M234,'PRODUCT &amp; SERVICES'!$O:$P,2,0),"")</f>
        <v>Others ( Pls. Specify )</v>
      </c>
      <c r="O234" s="53"/>
      <c r="P234" s="53"/>
      <c r="Q234" s="53" t="s">
        <v>571</v>
      </c>
      <c r="R234" s="183" t="s">
        <v>29</v>
      </c>
      <c r="S234" s="53"/>
      <c r="T234" s="332"/>
      <c r="U234" s="177"/>
    </row>
    <row r="235" spans="1:21" ht="15" customHeight="1">
      <c r="A235" s="235">
        <v>46207</v>
      </c>
      <c r="B235" s="245" t="s">
        <v>572</v>
      </c>
      <c r="C235" s="183" t="s">
        <v>573</v>
      </c>
      <c r="D235" s="178">
        <v>1000</v>
      </c>
      <c r="E235" s="177" t="s">
        <v>26</v>
      </c>
      <c r="F235" s="269" t="str">
        <f>IF(E235&lt;&gt;"",VLOOKUP(E235,CODE!$B$1:$C$14,2,0),"")</f>
        <v>RCBC -SAVINGS</v>
      </c>
      <c r="G235" s="177">
        <v>43016</v>
      </c>
      <c r="H235" s="179" t="str">
        <f>IF(G235&lt;&gt;"",VLOOKUP(G235,COA!$A$3:$G$1048576,2,0),"")</f>
        <v>Job Orders</v>
      </c>
      <c r="I235" s="180" t="s">
        <v>82</v>
      </c>
      <c r="J235" s="181" t="str">
        <f>IF(I235&lt;&gt;"",VLOOKUP(I235,'CUSTOMER LISTS'!$B$3:$E$1048576,2,0),"")</f>
        <v>AYA G MICRO GAS STATION</v>
      </c>
      <c r="K235" s="181" t="str">
        <f>IF(I235&lt;&gt;"",VLOOKUP(I235,'CUSTOMER LISTS'!$B$3:$E$1048576,3,0),"")</f>
        <v>ARTIUS TALADUA GALINDO</v>
      </c>
      <c r="L235" s="181" t="str">
        <f>IF(I235&lt;&gt;"",VLOOKUP(I235,'CUSTOMER LISTS'!$B$3:$E$1048576,4,0),"")</f>
        <v>BRGY. VILLAFLOR, OROQUIETA CITY, MISAMIS OCCIDENTAL</v>
      </c>
      <c r="M235" s="177">
        <v>761</v>
      </c>
      <c r="N235" s="181" t="str">
        <f>IF(M235&lt;&gt;"",VLOOKUP(M235,'PRODUCT &amp; SERVICES'!$O:$P,2,0),"")</f>
        <v>Others ( Pls. Specify )</v>
      </c>
      <c r="O235" s="53"/>
      <c r="P235" s="53"/>
      <c r="Q235" s="53" t="s">
        <v>574</v>
      </c>
      <c r="R235" s="183" t="s">
        <v>29</v>
      </c>
      <c r="S235" s="53"/>
      <c r="T235" s="332"/>
      <c r="U235" s="177"/>
    </row>
    <row r="236" spans="1:21" ht="15" customHeight="1">
      <c r="A236" s="235">
        <v>46208</v>
      </c>
      <c r="B236" s="245" t="s">
        <v>575</v>
      </c>
      <c r="C236" s="183" t="s">
        <v>576</v>
      </c>
      <c r="D236" s="178">
        <v>1000</v>
      </c>
      <c r="E236" s="177" t="s">
        <v>26</v>
      </c>
      <c r="F236" s="269" t="str">
        <f>IF(E236&lt;&gt;"",VLOOKUP(E236,CODE!$B$1:$C$14,2,0),"")</f>
        <v>RCBC -SAVINGS</v>
      </c>
      <c r="G236" s="177">
        <v>43016</v>
      </c>
      <c r="H236" s="179" t="str">
        <f>IF(G236&lt;&gt;"",VLOOKUP(G236,COA!$A$3:$G$1048576,2,0),"")</f>
        <v>Job Orders</v>
      </c>
      <c r="I236" s="180" t="s">
        <v>577</v>
      </c>
      <c r="J236" s="181" t="str">
        <f>IF(I236&lt;&gt;"",VLOOKUP(I236,'CUSTOMER LISTS'!$B$3:$E$1048576,2,0),"")</f>
        <v>COUNTRYROAD FUEL REFILLING STATION</v>
      </c>
      <c r="K236" s="181" t="str">
        <f>IF(I236&lt;&gt;"",VLOOKUP(I236,'CUSTOMER LISTS'!$B$3:$E$1048576,3,0),"")</f>
        <v>ASHLEY NICOLE REAMBONANZA LLERIN</v>
      </c>
      <c r="L236" s="181" t="str">
        <f>IF(I236&lt;&gt;"",VLOOKUP(I236,'CUSTOMER LISTS'!$B$3:$E$1048576,4,0),"")</f>
        <v>BRGY. CLARIN SETTLEMENT, OROQUIETA CITY, MISAMIS OCCIDENTAL</v>
      </c>
      <c r="M236" s="177">
        <v>761</v>
      </c>
      <c r="N236" s="181" t="str">
        <f>IF(M236&lt;&gt;"",VLOOKUP(M236,'PRODUCT &amp; SERVICES'!$O:$P,2,0),"")</f>
        <v>Others ( Pls. Specify )</v>
      </c>
      <c r="O236" s="53"/>
      <c r="P236" s="53"/>
      <c r="Q236" s="53" t="s">
        <v>578</v>
      </c>
      <c r="R236" s="183" t="s">
        <v>29</v>
      </c>
      <c r="S236" s="53"/>
      <c r="T236" s="332"/>
      <c r="U236" s="177"/>
    </row>
    <row r="237" spans="1:21" ht="15" customHeight="1">
      <c r="A237" s="235">
        <v>46210</v>
      </c>
      <c r="B237" s="245" t="s">
        <v>579</v>
      </c>
      <c r="C237" s="183" t="s">
        <v>580</v>
      </c>
      <c r="D237" s="178">
        <v>1400</v>
      </c>
      <c r="E237" s="177" t="s">
        <v>31</v>
      </c>
      <c r="F237" s="269" t="str">
        <f>IF(E237&lt;&gt;"",VLOOKUP(E237,CODE!$B$1:$C$14,2,0),"")</f>
        <v>PSBC- SAVINGS</v>
      </c>
      <c r="G237" s="177">
        <v>21016</v>
      </c>
      <c r="H237" s="179" t="str">
        <f>IF(G237&lt;&gt;"",VLOOKUP(G237,COA!$A$3:$G$1048576,2,0),"")</f>
        <v>Unearned Revenue - OPS</v>
      </c>
      <c r="I237" s="234" t="s">
        <v>342</v>
      </c>
      <c r="J237" s="181" t="str">
        <f>IF(I237&lt;&gt;"",VLOOKUP(I237,'CUSTOMER LISTS'!$B$3:$E$1048576,2,0),"")</f>
        <v>TONY GAS REFILLING STATION</v>
      </c>
      <c r="K237" s="181" t="str">
        <f>IF(I237&lt;&gt;"",VLOOKUP(I237,'CUSTOMER LISTS'!$B$3:$E$1048576,3,0),"")</f>
        <v>ANTONIO VALLECER GONZALES</v>
      </c>
      <c r="L237" s="181" t="str">
        <f>IF(I237&lt;&gt;"",VLOOKUP(I237,'CUSTOMER LISTS'!$B$3:$E$1048576,4,0),"")</f>
        <v>PUROK MADASIGON, DOHINOB, ROXAS, ZAMBOANGA DEL SUR</v>
      </c>
      <c r="M237" s="177">
        <v>761</v>
      </c>
      <c r="N237" s="181" t="str">
        <f>IF(M237&lt;&gt;"",VLOOKUP(M237,'PRODUCT &amp; SERVICES'!$O:$P,2,0),"")</f>
        <v>Others ( Pls. Specify )</v>
      </c>
      <c r="O237" s="53"/>
      <c r="P237" s="53"/>
      <c r="Q237" s="53" t="s">
        <v>523</v>
      </c>
      <c r="R237" s="53"/>
      <c r="S237" s="53"/>
      <c r="T237" s="332"/>
      <c r="U237" s="177"/>
    </row>
    <row r="238" spans="1:21" ht="15" customHeight="1">
      <c r="A238" s="235">
        <v>46213</v>
      </c>
      <c r="B238" s="245" t="s">
        <v>581</v>
      </c>
      <c r="C238" s="183" t="s">
        <v>582</v>
      </c>
      <c r="D238" s="178">
        <v>1400</v>
      </c>
      <c r="E238" s="177" t="s">
        <v>31</v>
      </c>
      <c r="F238" s="269" t="str">
        <f>IF(E238&lt;&gt;"",VLOOKUP(E238,CODE!$B$1:$C$14,2,0),"")</f>
        <v>PSBC- SAVINGS</v>
      </c>
      <c r="G238" s="177">
        <v>21016</v>
      </c>
      <c r="H238" s="179" t="str">
        <f>IF(G238&lt;&gt;"",VLOOKUP(G238,COA!$A$3:$G$1048576,2,0),"")</f>
        <v>Unearned Revenue - OPS</v>
      </c>
      <c r="I238" s="180" t="s">
        <v>391</v>
      </c>
      <c r="J238" s="181" t="str">
        <f>IF(I238&lt;&gt;"",VLOOKUP(I238,'CUSTOMER LISTS'!$B$3:$E$1048576,2,0),"")</f>
        <v>DLIME GASOLINE STATION</v>
      </c>
      <c r="K238" s="181" t="str">
        <f>IF(I238&lt;&gt;"",VLOOKUP(I238,'CUSTOMER LISTS'!$B$3:$E$1048576,3,0),"")</f>
        <v>LEX IVOR MANGOMPIT ETAC</v>
      </c>
      <c r="L238" s="181" t="str">
        <f>IF(I238&lt;&gt;"",VLOOKUP(I238,'CUSTOMER LISTS'!$B$3:$E$1048576,4,0),"")</f>
        <v>BRGY. UPPER BAGONG TUDELA, JOSEFINA, ZAMBOANGA DEL SUR</v>
      </c>
      <c r="M238" s="177">
        <v>761</v>
      </c>
      <c r="N238" s="181" t="str">
        <f>IF(M238&lt;&gt;"",VLOOKUP(M238,'PRODUCT &amp; SERVICES'!$O:$P,2,0),"")</f>
        <v>Others ( Pls. Specify )</v>
      </c>
      <c r="O238" s="53"/>
      <c r="P238" s="53"/>
      <c r="Q238" s="53" t="s">
        <v>523</v>
      </c>
      <c r="R238" s="53"/>
      <c r="S238" s="53"/>
      <c r="T238" s="332"/>
      <c r="U238" s="177"/>
    </row>
    <row r="239" spans="1:21" ht="15" customHeight="1">
      <c r="A239" s="298"/>
      <c r="B239" s="374" t="s">
        <v>583</v>
      </c>
      <c r="C239" s="375" t="s">
        <v>584</v>
      </c>
      <c r="D239" s="297"/>
      <c r="F239" s="376" t="str">
        <f>IF(E239&lt;&gt;"",VLOOKUP(E239,CODE!$B$1:$C$14,2,0),"")</f>
        <v/>
      </c>
      <c r="H239" s="232" t="str">
        <f>IF(G239&lt;&gt;"",VLOOKUP(G239,COA!$A$3:$G$1048576,2,0),"")</f>
        <v/>
      </c>
      <c r="I239" s="377"/>
      <c r="J239" s="378" t="str">
        <f>IF(I239&lt;&gt;"",VLOOKUP(I239,'CUSTOMER LISTS'!$B$3:$E$1048576,2,0),"")</f>
        <v/>
      </c>
      <c r="K239" s="378" t="str">
        <f>IF(I239&lt;&gt;"",VLOOKUP(I239,'CUSTOMER LISTS'!$B$3:$E$1048576,3,0),"")</f>
        <v/>
      </c>
      <c r="L239" s="378" t="str">
        <f>IF(I239&lt;&gt;"",VLOOKUP(I239,'CUSTOMER LISTS'!$B$3:$E$1048576,4,0),"")</f>
        <v/>
      </c>
      <c r="N239" s="379" t="str">
        <f>IF(M239&lt;&gt;"",VLOOKUP(M239,'PRODUCT &amp; SERVICES'!$O:$P,2,0),"")</f>
        <v/>
      </c>
    </row>
    <row r="240" spans="1:21" ht="15" customHeight="1">
      <c r="H240" s="179" t="str">
        <f>IF(G240&lt;&gt;"",VLOOKUP(G240,COA!$A$3:$G$1048576,2,0),"")</f>
        <v/>
      </c>
      <c r="J240" s="181" t="str">
        <f>IF(I240&lt;&gt;"",VLOOKUP(I240,'CUSTOMER LISTS'!$B$3:$E$1048576,2,0),"")</f>
        <v/>
      </c>
      <c r="K240" s="181" t="str">
        <f>IF(I240&lt;&gt;"",VLOOKUP(I240,'CUSTOMER LISTS'!$B$3:$E$1048576,3,0),"")</f>
        <v/>
      </c>
      <c r="L240" s="181" t="str">
        <f>IF(I240&lt;&gt;"",VLOOKUP(I240,'CUSTOMER LISTS'!$B$3:$E$1048576,4,0),"")</f>
        <v/>
      </c>
      <c r="N240" s="243" t="str">
        <f>IF(M240&lt;&gt;"",VLOOKUP(M240,'PRODUCT &amp; SERVICES'!$O:$P,2,0),"")</f>
        <v/>
      </c>
    </row>
    <row r="1047121" spans="11:11">
      <c r="K1047121" s="2"/>
    </row>
  </sheetData>
  <autoFilter ref="A5:U240" xr:uid="{00000000-0001-0000-0000-000000000000}">
    <filterColumn colId="8" showButton="0"/>
    <filterColumn colId="9" showButton="0"/>
    <filterColumn colId="10" showButton="0"/>
  </autoFilter>
  <dataConsolidate/>
  <mergeCells count="14">
    <mergeCell ref="S67:S68"/>
    <mergeCell ref="T67:T68"/>
    <mergeCell ref="T6:T7"/>
    <mergeCell ref="U6:U7"/>
    <mergeCell ref="M6:Q6"/>
    <mergeCell ref="R6:R7"/>
    <mergeCell ref="I6:L6"/>
    <mergeCell ref="I5:L5"/>
    <mergeCell ref="E6:H6"/>
    <mergeCell ref="S6:S7"/>
    <mergeCell ref="A6:A7"/>
    <mergeCell ref="D6:D7"/>
    <mergeCell ref="B6:B7"/>
    <mergeCell ref="C6:C7"/>
  </mergeCells>
  <conditionalFormatting sqref="C6">
    <cfRule type="duplicateValues" dxfId="26" priority="6"/>
  </conditionalFormatting>
  <conditionalFormatting sqref="E7">
    <cfRule type="duplicateValues" dxfId="25" priority="2"/>
  </conditionalFormatting>
  <conditionalFormatting sqref="G7">
    <cfRule type="duplicateValues" dxfId="24" priority="3"/>
  </conditionalFormatting>
  <conditionalFormatting sqref="I7">
    <cfRule type="duplicateValues" dxfId="23" priority="4"/>
  </conditionalFormatting>
  <conditionalFormatting sqref="M7:Q7 M6">
    <cfRule type="duplicateValues" dxfId="22" priority="92"/>
  </conditionalFormatting>
  <conditionalFormatting sqref="S6">
    <cfRule type="duplicateValues" dxfId="21" priority="5"/>
  </conditionalFormatting>
  <conditionalFormatting sqref="C1:C1048576">
    <cfRule type="duplicateValues" dxfId="20" priority="1"/>
  </conditionalFormatting>
  <dataValidations count="1">
    <dataValidation allowBlank="1" showInputMessage="1" showErrorMessage="1" promptTitle="Enter Details" prompt="Please elaborate your products and services to column Q." sqref="N1:N7 N241:N1048576" xr:uid="{19B47123-475A-4DDD-B1F4-245C8D2A378A}"/>
  </dataValidations>
  <pageMargins left="0.7" right="0.7" top="0.75" bottom="0.75" header="0.3" footer="0.3"/>
  <pageSetup paperSize="5" scale="55" fitToWidth="0" fitToHeight="0" orientation="landscape" horizontalDpi="120" verticalDpi="72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43DDE7-BE78-42CD-A1BD-062445FF28F3}">
          <x14:formula1>
            <xm:f>CODE!$B$2:$B$1048576</xm:f>
          </x14:formula1>
          <xm:sqref>E1:E5 E8:E1048575</xm:sqref>
        </x14:dataValidation>
        <x14:dataValidation type="list" allowBlank="1" showInputMessage="1" showErrorMessage="1" xr:uid="{800F65EE-B99F-4951-86DB-9B9110EEA641}">
          <x14:formula1>
            <xm:f>'CUSTOMER LISTS'!$B$3:$B$1048576</xm:f>
          </x14:formula1>
          <xm:sqref>I8:I239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60CC-CEC6-4A21-ADD1-F68126A372E0}">
  <sheetPr codeName="Sheet6">
    <tabColor rgb="FF92D050"/>
  </sheetPr>
  <dimension ref="B2:E164"/>
  <sheetViews>
    <sheetView workbookViewId="0">
      <pane ySplit="2" topLeftCell="A133" activePane="bottomLeft" state="frozen"/>
      <selection pane="bottomLeft" activeCell="A145" sqref="A145"/>
    </sheetView>
  </sheetViews>
  <sheetFormatPr defaultRowHeight="14.45"/>
  <cols>
    <col min="2" max="2" width="30.28515625" customWidth="1"/>
    <col min="3" max="3" width="38.85546875" customWidth="1"/>
    <col min="4" max="4" width="43.42578125" customWidth="1"/>
    <col min="5" max="5" width="61" customWidth="1"/>
  </cols>
  <sheetData>
    <row r="2" spans="2:5" ht="16.5">
      <c r="B2" s="29" t="s">
        <v>585</v>
      </c>
      <c r="C2" s="30" t="s">
        <v>586</v>
      </c>
      <c r="D2" s="30" t="s">
        <v>587</v>
      </c>
      <c r="E2" s="30" t="s">
        <v>588</v>
      </c>
    </row>
    <row r="3" spans="2:5">
      <c r="B3" s="2" t="s">
        <v>348</v>
      </c>
      <c r="C3" s="2" t="s">
        <v>589</v>
      </c>
      <c r="D3" s="2" t="s">
        <v>590</v>
      </c>
      <c r="E3" s="2" t="s">
        <v>591</v>
      </c>
    </row>
    <row r="4" spans="2:5">
      <c r="B4" s="2" t="s">
        <v>344</v>
      </c>
      <c r="C4" s="2" t="s">
        <v>592</v>
      </c>
      <c r="D4" s="2" t="s">
        <v>593</v>
      </c>
      <c r="E4" s="2" t="s">
        <v>594</v>
      </c>
    </row>
    <row r="5" spans="2:5">
      <c r="B5" s="2" t="s">
        <v>595</v>
      </c>
      <c r="C5" s="2" t="s">
        <v>596</v>
      </c>
      <c r="D5" s="2" t="s">
        <v>597</v>
      </c>
      <c r="E5" s="2" t="s">
        <v>591</v>
      </c>
    </row>
    <row r="6" spans="2:5">
      <c r="B6" s="2" t="s">
        <v>598</v>
      </c>
      <c r="C6" s="2"/>
      <c r="D6" s="2"/>
      <c r="E6" s="2"/>
    </row>
    <row r="7" spans="2:5">
      <c r="B7" s="2" t="s">
        <v>599</v>
      </c>
      <c r="C7" s="2"/>
      <c r="D7" s="2"/>
      <c r="E7" s="2"/>
    </row>
    <row r="8" spans="2:5">
      <c r="B8" s="2" t="s">
        <v>212</v>
      </c>
      <c r="C8" s="2" t="s">
        <v>600</v>
      </c>
      <c r="D8" s="2" t="s">
        <v>601</v>
      </c>
      <c r="E8" s="2" t="s">
        <v>602</v>
      </c>
    </row>
    <row r="9" spans="2:5">
      <c r="B9" s="2" t="s">
        <v>146</v>
      </c>
      <c r="C9" s="2" t="s">
        <v>603</v>
      </c>
      <c r="D9" s="2" t="s">
        <v>604</v>
      </c>
      <c r="E9" s="2" t="s">
        <v>605</v>
      </c>
    </row>
    <row r="10" spans="2:5">
      <c r="B10" s="2" t="s">
        <v>137</v>
      </c>
      <c r="C10" s="2" t="s">
        <v>606</v>
      </c>
      <c r="D10" s="2" t="s">
        <v>607</v>
      </c>
      <c r="E10" s="2" t="s">
        <v>608</v>
      </c>
    </row>
    <row r="11" spans="2:5">
      <c r="B11" s="2" t="s">
        <v>609</v>
      </c>
      <c r="C11" s="2"/>
      <c r="D11" s="2"/>
      <c r="E11" s="2"/>
    </row>
    <row r="12" spans="2:5">
      <c r="B12" s="2" t="s">
        <v>27</v>
      </c>
      <c r="C12" s="2" t="s">
        <v>610</v>
      </c>
      <c r="D12" s="2" t="s">
        <v>611</v>
      </c>
      <c r="E12" s="2" t="s">
        <v>612</v>
      </c>
    </row>
    <row r="13" spans="2:5">
      <c r="B13" s="2" t="s">
        <v>256</v>
      </c>
      <c r="C13" s="2" t="s">
        <v>613</v>
      </c>
      <c r="D13" s="2" t="s">
        <v>614</v>
      </c>
      <c r="E13" s="2" t="s">
        <v>615</v>
      </c>
    </row>
    <row r="14" spans="2:5">
      <c r="B14" s="2" t="s">
        <v>616</v>
      </c>
      <c r="C14" s="2" t="s">
        <v>617</v>
      </c>
      <c r="D14" s="2" t="s">
        <v>618</v>
      </c>
      <c r="E14" s="2" t="s">
        <v>619</v>
      </c>
    </row>
    <row r="15" spans="2:5">
      <c r="B15" s="2" t="s">
        <v>620</v>
      </c>
      <c r="C15" s="2" t="s">
        <v>621</v>
      </c>
      <c r="D15" s="2" t="s">
        <v>622</v>
      </c>
      <c r="E15" s="2" t="s">
        <v>623</v>
      </c>
    </row>
    <row r="16" spans="2:5">
      <c r="B16" s="2" t="s">
        <v>97</v>
      </c>
      <c r="C16" s="2" t="s">
        <v>624</v>
      </c>
      <c r="D16" s="2" t="s">
        <v>625</v>
      </c>
      <c r="E16" s="2" t="s">
        <v>626</v>
      </c>
    </row>
    <row r="17" spans="2:5">
      <c r="B17" s="2" t="s">
        <v>102</v>
      </c>
      <c r="C17" s="2" t="s">
        <v>627</v>
      </c>
      <c r="D17" s="2" t="s">
        <v>628</v>
      </c>
      <c r="E17" s="2" t="s">
        <v>623</v>
      </c>
    </row>
    <row r="18" spans="2:5">
      <c r="B18" s="2" t="s">
        <v>87</v>
      </c>
      <c r="C18" s="2" t="s">
        <v>629</v>
      </c>
      <c r="D18" s="2" t="s">
        <v>630</v>
      </c>
      <c r="E18" s="2" t="s">
        <v>631</v>
      </c>
    </row>
    <row r="19" spans="2:5">
      <c r="B19" s="2" t="s">
        <v>632</v>
      </c>
      <c r="C19" s="2" t="s">
        <v>633</v>
      </c>
      <c r="D19" s="2" t="s">
        <v>634</v>
      </c>
      <c r="E19" s="2" t="s">
        <v>635</v>
      </c>
    </row>
    <row r="20" spans="2:5">
      <c r="B20" s="2" t="s">
        <v>636</v>
      </c>
      <c r="C20" s="2"/>
      <c r="D20" s="2"/>
      <c r="E20" s="2"/>
    </row>
    <row r="21" spans="2:5">
      <c r="B21" s="2" t="s">
        <v>396</v>
      </c>
      <c r="C21" s="2" t="s">
        <v>637</v>
      </c>
      <c r="D21" s="2" t="s">
        <v>638</v>
      </c>
      <c r="E21" s="2" t="s">
        <v>639</v>
      </c>
    </row>
    <row r="22" spans="2:5">
      <c r="B22" s="2" t="s">
        <v>203</v>
      </c>
      <c r="C22" s="2" t="s">
        <v>640</v>
      </c>
      <c r="D22" s="2" t="s">
        <v>641</v>
      </c>
      <c r="E22" s="2" t="s">
        <v>642</v>
      </c>
    </row>
    <row r="23" spans="2:5">
      <c r="B23" s="2" t="s">
        <v>577</v>
      </c>
      <c r="C23" s="2" t="s">
        <v>643</v>
      </c>
      <c r="D23" s="2" t="s">
        <v>644</v>
      </c>
      <c r="E23" s="2" t="s">
        <v>645</v>
      </c>
    </row>
    <row r="24" spans="2:5">
      <c r="B24" s="2" t="s">
        <v>375</v>
      </c>
      <c r="C24" s="2" t="s">
        <v>646</v>
      </c>
      <c r="D24" s="2" t="s">
        <v>647</v>
      </c>
      <c r="E24" s="2" t="s">
        <v>648</v>
      </c>
    </row>
    <row r="25" spans="2:5">
      <c r="B25" s="2" t="s">
        <v>379</v>
      </c>
      <c r="C25" s="2" t="s">
        <v>649</v>
      </c>
      <c r="D25" s="2" t="s">
        <v>650</v>
      </c>
      <c r="E25" s="2" t="s">
        <v>651</v>
      </c>
    </row>
    <row r="26" spans="2:5">
      <c r="B26" s="2" t="s">
        <v>652</v>
      </c>
      <c r="C26" s="2"/>
      <c r="D26" s="2"/>
      <c r="E26" s="2"/>
    </row>
    <row r="27" spans="2:5">
      <c r="B27" s="2" t="s">
        <v>253</v>
      </c>
      <c r="C27" s="2" t="s">
        <v>653</v>
      </c>
      <c r="D27" s="2" t="s">
        <v>654</v>
      </c>
      <c r="E27" s="2" t="s">
        <v>655</v>
      </c>
    </row>
    <row r="28" spans="2:5">
      <c r="B28" s="2" t="s">
        <v>367</v>
      </c>
      <c r="C28" s="2" t="s">
        <v>656</v>
      </c>
      <c r="D28" s="2" t="s">
        <v>657</v>
      </c>
      <c r="E28" s="2" t="s">
        <v>658</v>
      </c>
    </row>
    <row r="29" spans="2:5">
      <c r="B29" s="2" t="s">
        <v>158</v>
      </c>
      <c r="C29" s="2" t="s">
        <v>659</v>
      </c>
      <c r="D29" s="2" t="s">
        <v>660</v>
      </c>
      <c r="E29" s="2" t="s">
        <v>661</v>
      </c>
    </row>
    <row r="30" spans="2:5">
      <c r="B30" s="2" t="s">
        <v>174</v>
      </c>
      <c r="C30" s="2" t="s">
        <v>662</v>
      </c>
      <c r="D30" s="2" t="s">
        <v>663</v>
      </c>
      <c r="E30" s="2" t="s">
        <v>664</v>
      </c>
    </row>
    <row r="31" spans="2:5">
      <c r="B31" s="2" t="s">
        <v>665</v>
      </c>
      <c r="C31" s="2"/>
      <c r="D31" s="2"/>
      <c r="E31" s="2"/>
    </row>
    <row r="32" spans="2:5">
      <c r="B32" s="2" t="s">
        <v>666</v>
      </c>
      <c r="C32" s="2" t="s">
        <v>667</v>
      </c>
      <c r="D32" s="2" t="s">
        <v>668</v>
      </c>
      <c r="E32" s="2" t="s">
        <v>669</v>
      </c>
    </row>
    <row r="33" spans="2:5">
      <c r="B33" s="2" t="s">
        <v>164</v>
      </c>
      <c r="C33" s="2" t="s">
        <v>670</v>
      </c>
      <c r="D33" s="2" t="s">
        <v>671</v>
      </c>
      <c r="E33" s="2" t="s">
        <v>672</v>
      </c>
    </row>
    <row r="34" spans="2:5">
      <c r="B34" s="2" t="s">
        <v>673</v>
      </c>
      <c r="C34" s="2" t="s">
        <v>674</v>
      </c>
      <c r="D34" s="2" t="s">
        <v>675</v>
      </c>
      <c r="E34" s="2" t="s">
        <v>676</v>
      </c>
    </row>
    <row r="35" spans="2:5">
      <c r="B35" s="2" t="s">
        <v>393</v>
      </c>
      <c r="C35" s="2" t="s">
        <v>677</v>
      </c>
      <c r="D35" s="2" t="s">
        <v>678</v>
      </c>
      <c r="E35" s="2" t="s">
        <v>679</v>
      </c>
    </row>
    <row r="36" spans="2:5">
      <c r="B36" s="2" t="s">
        <v>382</v>
      </c>
      <c r="C36" s="2" t="s">
        <v>680</v>
      </c>
      <c r="D36" s="2" t="s">
        <v>681</v>
      </c>
      <c r="E36" s="2" t="s">
        <v>682</v>
      </c>
    </row>
    <row r="37" spans="2:5">
      <c r="B37" s="2" t="s">
        <v>683</v>
      </c>
      <c r="C37" s="2" t="s">
        <v>684</v>
      </c>
      <c r="D37" s="2" t="s">
        <v>685</v>
      </c>
      <c r="E37" s="2" t="s">
        <v>686</v>
      </c>
    </row>
    <row r="38" spans="2:5">
      <c r="B38" s="2" t="s">
        <v>687</v>
      </c>
      <c r="C38" s="2" t="s">
        <v>688</v>
      </c>
      <c r="D38" s="2" t="s">
        <v>689</v>
      </c>
      <c r="E38" s="2" t="s">
        <v>690</v>
      </c>
    </row>
    <row r="39" spans="2:5">
      <c r="B39" s="2" t="s">
        <v>140</v>
      </c>
      <c r="C39" s="2" t="s">
        <v>691</v>
      </c>
      <c r="D39" s="2" t="s">
        <v>692</v>
      </c>
      <c r="E39" s="2" t="s">
        <v>693</v>
      </c>
    </row>
    <row r="40" spans="2:5">
      <c r="B40" s="2" t="s">
        <v>694</v>
      </c>
      <c r="C40" s="2"/>
      <c r="D40" s="2"/>
      <c r="E40" s="2"/>
    </row>
    <row r="41" spans="2:5">
      <c r="B41" s="2" t="s">
        <v>695</v>
      </c>
      <c r="C41" s="2" t="s">
        <v>696</v>
      </c>
      <c r="D41" s="2" t="s">
        <v>697</v>
      </c>
      <c r="E41" s="2" t="s">
        <v>698</v>
      </c>
    </row>
    <row r="42" spans="2:5">
      <c r="B42" s="2" t="s">
        <v>171</v>
      </c>
      <c r="C42" s="2" t="s">
        <v>699</v>
      </c>
      <c r="D42" s="2" t="s">
        <v>700</v>
      </c>
      <c r="E42" s="2" t="s">
        <v>701</v>
      </c>
    </row>
    <row r="43" spans="2:5">
      <c r="B43" s="2" t="s">
        <v>702</v>
      </c>
      <c r="C43" s="2" t="s">
        <v>703</v>
      </c>
      <c r="D43" s="2" t="s">
        <v>704</v>
      </c>
      <c r="E43" s="2" t="s">
        <v>664</v>
      </c>
    </row>
    <row r="44" spans="2:5" ht="15.75" customHeight="1">
      <c r="B44" s="2" t="s">
        <v>440</v>
      </c>
      <c r="C44" s="2" t="s">
        <v>705</v>
      </c>
      <c r="D44" s="2" t="s">
        <v>706</v>
      </c>
      <c r="E44" s="2" t="s">
        <v>707</v>
      </c>
    </row>
    <row r="45" spans="2:5">
      <c r="B45" s="2" t="s">
        <v>187</v>
      </c>
      <c r="C45" s="2" t="s">
        <v>708</v>
      </c>
      <c r="D45" s="2" t="s">
        <v>709</v>
      </c>
      <c r="E45" s="2" t="s">
        <v>710</v>
      </c>
    </row>
    <row r="46" spans="2:5">
      <c r="B46" s="2" t="s">
        <v>711</v>
      </c>
      <c r="C46" s="2" t="s">
        <v>712</v>
      </c>
      <c r="D46" s="2" t="s">
        <v>713</v>
      </c>
      <c r="E46" s="2" t="s">
        <v>714</v>
      </c>
    </row>
    <row r="47" spans="2:5">
      <c r="B47" s="2" t="s">
        <v>715</v>
      </c>
      <c r="C47" s="2" t="s">
        <v>716</v>
      </c>
      <c r="D47" s="2" t="s">
        <v>717</v>
      </c>
      <c r="E47" s="2" t="s">
        <v>718</v>
      </c>
    </row>
    <row r="48" spans="2:5">
      <c r="B48" s="2" t="s">
        <v>719</v>
      </c>
      <c r="C48" s="2" t="s">
        <v>720</v>
      </c>
      <c r="D48" s="2" t="s">
        <v>721</v>
      </c>
      <c r="E48" s="2" t="s">
        <v>722</v>
      </c>
    </row>
    <row r="49" spans="2:5">
      <c r="B49" s="2" t="s">
        <v>723</v>
      </c>
      <c r="C49" s="2" t="s">
        <v>724</v>
      </c>
      <c r="D49" s="2" t="s">
        <v>725</v>
      </c>
      <c r="E49" s="2" t="s">
        <v>726</v>
      </c>
    </row>
    <row r="50" spans="2:5">
      <c r="B50" s="2" t="s">
        <v>391</v>
      </c>
      <c r="C50" s="2" t="s">
        <v>727</v>
      </c>
      <c r="D50" s="2" t="s">
        <v>728</v>
      </c>
      <c r="E50" s="2" t="s">
        <v>729</v>
      </c>
    </row>
    <row r="51" spans="2:5">
      <c r="B51" s="2" t="s">
        <v>418</v>
      </c>
      <c r="C51" s="2" t="s">
        <v>730</v>
      </c>
      <c r="D51" s="2" t="s">
        <v>731</v>
      </c>
      <c r="E51" s="2" t="s">
        <v>729</v>
      </c>
    </row>
    <row r="52" spans="2:5">
      <c r="B52" s="2" t="s">
        <v>732</v>
      </c>
      <c r="C52" s="2" t="s">
        <v>733</v>
      </c>
      <c r="D52" s="2" t="s">
        <v>734</v>
      </c>
      <c r="E52" s="2"/>
    </row>
    <row r="53" spans="2:5">
      <c r="B53" s="2" t="s">
        <v>735</v>
      </c>
      <c r="C53" s="2" t="s">
        <v>736</v>
      </c>
      <c r="D53" s="2" t="s">
        <v>737</v>
      </c>
      <c r="E53" s="2" t="s">
        <v>738</v>
      </c>
    </row>
    <row r="54" spans="2:5">
      <c r="B54" s="2" t="s">
        <v>404</v>
      </c>
      <c r="C54" s="2" t="s">
        <v>739</v>
      </c>
      <c r="D54" s="2" t="s">
        <v>740</v>
      </c>
      <c r="E54" s="2" t="s">
        <v>741</v>
      </c>
    </row>
    <row r="55" spans="2:5">
      <c r="B55" s="2" t="s">
        <v>742</v>
      </c>
      <c r="C55" s="2" t="s">
        <v>743</v>
      </c>
      <c r="D55" s="2" t="s">
        <v>744</v>
      </c>
      <c r="E55" s="2" t="s">
        <v>745</v>
      </c>
    </row>
    <row r="56" spans="2:5">
      <c r="B56" s="2" t="s">
        <v>746</v>
      </c>
      <c r="C56" s="2" t="s">
        <v>747</v>
      </c>
      <c r="D56" s="2" t="s">
        <v>748</v>
      </c>
      <c r="E56" s="2" t="s">
        <v>749</v>
      </c>
    </row>
    <row r="57" spans="2:5">
      <c r="B57" s="2" t="s">
        <v>750</v>
      </c>
      <c r="C57" s="2" t="s">
        <v>751</v>
      </c>
      <c r="D57" s="2" t="s">
        <v>752</v>
      </c>
      <c r="E57" s="2" t="s">
        <v>753</v>
      </c>
    </row>
    <row r="58" spans="2:5">
      <c r="B58" s="2" t="s">
        <v>100</v>
      </c>
      <c r="C58" s="2" t="s">
        <v>754</v>
      </c>
      <c r="D58" s="2" t="s">
        <v>755</v>
      </c>
      <c r="E58" s="2" t="s">
        <v>756</v>
      </c>
    </row>
    <row r="59" spans="2:5">
      <c r="B59" s="2" t="s">
        <v>757</v>
      </c>
      <c r="C59" s="2" t="s">
        <v>758</v>
      </c>
      <c r="D59" s="2" t="s">
        <v>759</v>
      </c>
      <c r="E59" s="2" t="s">
        <v>760</v>
      </c>
    </row>
    <row r="60" spans="2:5">
      <c r="B60" s="2" t="s">
        <v>761</v>
      </c>
      <c r="C60" s="2" t="s">
        <v>762</v>
      </c>
      <c r="D60" s="2" t="s">
        <v>763</v>
      </c>
      <c r="E60" s="2" t="s">
        <v>764</v>
      </c>
    </row>
    <row r="61" spans="2:5">
      <c r="B61" s="2" t="s">
        <v>38</v>
      </c>
      <c r="C61" s="2" t="s">
        <v>765</v>
      </c>
      <c r="D61" s="2" t="s">
        <v>766</v>
      </c>
      <c r="E61" s="2" t="s">
        <v>767</v>
      </c>
    </row>
    <row r="62" spans="2:5">
      <c r="B62" s="2" t="s">
        <v>768</v>
      </c>
      <c r="C62" s="2" t="s">
        <v>769</v>
      </c>
      <c r="D62" s="2" t="s">
        <v>770</v>
      </c>
      <c r="E62" s="2" t="s">
        <v>771</v>
      </c>
    </row>
    <row r="63" spans="2:5">
      <c r="B63" s="2" t="s">
        <v>772</v>
      </c>
      <c r="C63" s="2" t="s">
        <v>773</v>
      </c>
      <c r="D63" s="2" t="s">
        <v>774</v>
      </c>
      <c r="E63" s="2" t="s">
        <v>775</v>
      </c>
    </row>
    <row r="64" spans="2:5">
      <c r="B64" s="2" t="s">
        <v>153</v>
      </c>
      <c r="C64" s="2" t="s">
        <v>776</v>
      </c>
      <c r="D64" s="2" t="s">
        <v>777</v>
      </c>
      <c r="E64" s="2" t="s">
        <v>778</v>
      </c>
    </row>
    <row r="65" spans="2:5">
      <c r="B65" s="2" t="s">
        <v>779</v>
      </c>
      <c r="C65" s="2"/>
      <c r="D65" s="2"/>
      <c r="E65" s="2"/>
    </row>
    <row r="66" spans="2:5">
      <c r="B66" s="2" t="s">
        <v>274</v>
      </c>
      <c r="C66" s="2" t="s">
        <v>780</v>
      </c>
      <c r="D66" s="2" t="s">
        <v>781</v>
      </c>
      <c r="E66" s="2" t="s">
        <v>745</v>
      </c>
    </row>
    <row r="67" spans="2:5">
      <c r="B67" s="2" t="s">
        <v>782</v>
      </c>
      <c r="C67" s="2" t="s">
        <v>783</v>
      </c>
      <c r="D67" s="2" t="s">
        <v>784</v>
      </c>
      <c r="E67" s="2" t="s">
        <v>785</v>
      </c>
    </row>
    <row r="68" spans="2:5">
      <c r="B68" s="2" t="s">
        <v>161</v>
      </c>
      <c r="C68" s="2" t="s">
        <v>786</v>
      </c>
      <c r="D68" s="2" t="s">
        <v>787</v>
      </c>
      <c r="E68" s="2" t="s">
        <v>788</v>
      </c>
    </row>
    <row r="69" spans="2:5">
      <c r="B69" s="2" t="s">
        <v>789</v>
      </c>
      <c r="C69" s="2" t="s">
        <v>790</v>
      </c>
      <c r="D69" s="2" t="s">
        <v>791</v>
      </c>
      <c r="E69" s="2" t="s">
        <v>792</v>
      </c>
    </row>
    <row r="70" spans="2:5">
      <c r="B70" s="2" t="s">
        <v>242</v>
      </c>
      <c r="C70" s="2" t="s">
        <v>793</v>
      </c>
      <c r="D70" s="2" t="s">
        <v>794</v>
      </c>
      <c r="E70" s="2" t="s">
        <v>795</v>
      </c>
    </row>
    <row r="71" spans="2:5">
      <c r="B71" s="2" t="s">
        <v>219</v>
      </c>
      <c r="C71" s="2" t="s">
        <v>796</v>
      </c>
      <c r="D71" s="2" t="s">
        <v>797</v>
      </c>
      <c r="E71" s="2" t="s">
        <v>798</v>
      </c>
    </row>
    <row r="72" spans="2:5">
      <c r="B72" s="2" t="s">
        <v>332</v>
      </c>
      <c r="C72" s="2" t="s">
        <v>799</v>
      </c>
      <c r="D72" s="2" t="s">
        <v>800</v>
      </c>
      <c r="E72" s="2" t="s">
        <v>801</v>
      </c>
    </row>
    <row r="73" spans="2:5">
      <c r="B73" s="2" t="s">
        <v>802</v>
      </c>
      <c r="C73" s="2" t="s">
        <v>803</v>
      </c>
      <c r="D73" s="2" t="s">
        <v>804</v>
      </c>
      <c r="E73" s="2" t="s">
        <v>805</v>
      </c>
    </row>
    <row r="74" spans="2:5">
      <c r="B74" s="2" t="s">
        <v>806</v>
      </c>
      <c r="C74" s="2"/>
      <c r="D74" s="2"/>
      <c r="E74" s="2"/>
    </row>
    <row r="75" spans="2:5">
      <c r="B75" s="2" t="s">
        <v>807</v>
      </c>
      <c r="C75" s="2"/>
      <c r="D75" s="2"/>
      <c r="E75" s="2"/>
    </row>
    <row r="76" spans="2:5">
      <c r="B76" s="2" t="s">
        <v>335</v>
      </c>
      <c r="C76" s="2" t="s">
        <v>808</v>
      </c>
      <c r="D76" s="2" t="s">
        <v>809</v>
      </c>
      <c r="E76" s="2" t="s">
        <v>810</v>
      </c>
    </row>
    <row r="77" spans="2:5">
      <c r="B77" s="2" t="s">
        <v>149</v>
      </c>
      <c r="C77" s="2" t="s">
        <v>811</v>
      </c>
      <c r="D77" s="2" t="s">
        <v>812</v>
      </c>
      <c r="E77" s="2" t="s">
        <v>813</v>
      </c>
    </row>
    <row r="78" spans="2:5">
      <c r="B78" s="2" t="s">
        <v>814</v>
      </c>
      <c r="C78" s="2" t="s">
        <v>815</v>
      </c>
      <c r="D78" s="2" t="s">
        <v>816</v>
      </c>
      <c r="E78" s="2" t="s">
        <v>817</v>
      </c>
    </row>
    <row r="79" spans="2:5">
      <c r="B79" s="2" t="s">
        <v>132</v>
      </c>
      <c r="C79" s="2" t="s">
        <v>818</v>
      </c>
      <c r="D79" s="2" t="s">
        <v>819</v>
      </c>
      <c r="E79" s="2" t="s">
        <v>820</v>
      </c>
    </row>
    <row r="80" spans="2:5">
      <c r="B80" s="2" t="s">
        <v>821</v>
      </c>
      <c r="C80" s="2" t="s">
        <v>822</v>
      </c>
      <c r="D80" s="2" t="s">
        <v>823</v>
      </c>
      <c r="E80" s="2" t="s">
        <v>824</v>
      </c>
    </row>
    <row r="81" spans="2:5">
      <c r="B81" s="2" t="s">
        <v>82</v>
      </c>
      <c r="C81" s="2" t="s">
        <v>825</v>
      </c>
      <c r="D81" s="2" t="s">
        <v>826</v>
      </c>
      <c r="E81" s="2" t="s">
        <v>827</v>
      </c>
    </row>
    <row r="82" spans="2:5">
      <c r="B82" s="2" t="s">
        <v>828</v>
      </c>
      <c r="C82" s="2" t="s">
        <v>829</v>
      </c>
      <c r="D82" s="2" t="s">
        <v>752</v>
      </c>
      <c r="E82" s="2" t="s">
        <v>830</v>
      </c>
    </row>
    <row r="83" spans="2:5">
      <c r="B83" s="2" t="s">
        <v>195</v>
      </c>
      <c r="C83" s="2" t="s">
        <v>831</v>
      </c>
      <c r="D83" s="2" t="s">
        <v>832</v>
      </c>
      <c r="E83" s="2" t="s">
        <v>833</v>
      </c>
    </row>
    <row r="84" spans="2:5">
      <c r="B84" s="2" t="s">
        <v>318</v>
      </c>
      <c r="C84" s="2" t="s">
        <v>834</v>
      </c>
      <c r="D84" s="2" t="s">
        <v>835</v>
      </c>
      <c r="E84" s="2" t="s">
        <v>836</v>
      </c>
    </row>
    <row r="85" spans="2:5">
      <c r="B85" s="2" t="s">
        <v>111</v>
      </c>
      <c r="C85" s="2" t="s">
        <v>837</v>
      </c>
      <c r="D85" s="2" t="s">
        <v>838</v>
      </c>
      <c r="E85" s="2" t="s">
        <v>839</v>
      </c>
    </row>
    <row r="86" spans="2:5">
      <c r="B86" s="2" t="s">
        <v>840</v>
      </c>
      <c r="C86" s="2" t="s">
        <v>841</v>
      </c>
      <c r="D86" s="2" t="s">
        <v>842</v>
      </c>
      <c r="E86" s="2" t="s">
        <v>843</v>
      </c>
    </row>
    <row r="87" spans="2:5">
      <c r="B87" s="2" t="s">
        <v>250</v>
      </c>
      <c r="C87" s="2" t="s">
        <v>844</v>
      </c>
      <c r="D87" s="2" t="s">
        <v>845</v>
      </c>
      <c r="E87" s="2" t="s">
        <v>846</v>
      </c>
    </row>
    <row r="88" spans="2:5">
      <c r="B88" s="2" t="s">
        <v>200</v>
      </c>
      <c r="C88" s="2" t="s">
        <v>847</v>
      </c>
      <c r="D88" s="2" t="s">
        <v>848</v>
      </c>
      <c r="E88" s="2" t="s">
        <v>849</v>
      </c>
    </row>
    <row r="89" spans="2:5">
      <c r="B89" s="2" t="s">
        <v>850</v>
      </c>
      <c r="C89" s="2" t="s">
        <v>851</v>
      </c>
      <c r="D89" s="2" t="s">
        <v>852</v>
      </c>
      <c r="E89" s="2" t="s">
        <v>853</v>
      </c>
    </row>
    <row r="90" spans="2:5">
      <c r="B90" s="2" t="s">
        <v>221</v>
      </c>
      <c r="C90" s="2" t="s">
        <v>854</v>
      </c>
      <c r="D90" s="2" t="s">
        <v>855</v>
      </c>
      <c r="E90" s="2" t="s">
        <v>856</v>
      </c>
    </row>
    <row r="91" spans="2:5">
      <c r="B91" s="2" t="s">
        <v>857</v>
      </c>
      <c r="C91" s="2" t="s">
        <v>858</v>
      </c>
      <c r="D91" s="2" t="s">
        <v>859</v>
      </c>
      <c r="E91" s="2" t="s">
        <v>860</v>
      </c>
    </row>
    <row r="92" spans="2:5">
      <c r="B92" s="2" t="s">
        <v>369</v>
      </c>
      <c r="C92" s="2" t="s">
        <v>861</v>
      </c>
      <c r="D92" s="2" t="s">
        <v>862</v>
      </c>
      <c r="E92" s="2" t="s">
        <v>863</v>
      </c>
    </row>
    <row r="93" spans="2:5">
      <c r="B93" s="2" t="s">
        <v>245</v>
      </c>
      <c r="C93" s="2" t="s">
        <v>864</v>
      </c>
      <c r="D93" s="2" t="s">
        <v>865</v>
      </c>
      <c r="E93" s="2" t="s">
        <v>866</v>
      </c>
    </row>
    <row r="94" spans="2:5">
      <c r="B94" s="2" t="s">
        <v>867</v>
      </c>
      <c r="C94" s="2" t="s">
        <v>868</v>
      </c>
      <c r="D94" s="2" t="s">
        <v>869</v>
      </c>
      <c r="E94" s="2" t="s">
        <v>870</v>
      </c>
    </row>
    <row r="95" spans="2:5">
      <c r="B95" s="2" t="s">
        <v>168</v>
      </c>
      <c r="C95" s="2" t="s">
        <v>871</v>
      </c>
      <c r="D95" s="2" t="s">
        <v>872</v>
      </c>
      <c r="E95" s="2" t="s">
        <v>873</v>
      </c>
    </row>
    <row r="96" spans="2:5">
      <c r="B96" s="2" t="s">
        <v>230</v>
      </c>
      <c r="C96" s="2" t="s">
        <v>874</v>
      </c>
      <c r="D96" s="2" t="s">
        <v>875</v>
      </c>
      <c r="E96" s="2" t="s">
        <v>876</v>
      </c>
    </row>
    <row r="97" spans="2:5">
      <c r="B97" s="2" t="s">
        <v>877</v>
      </c>
      <c r="C97" s="2" t="s">
        <v>878</v>
      </c>
      <c r="D97" s="2" t="s">
        <v>879</v>
      </c>
      <c r="E97" s="2" t="s">
        <v>880</v>
      </c>
    </row>
    <row r="98" spans="2:5">
      <c r="B98" s="2" t="s">
        <v>881</v>
      </c>
      <c r="C98" s="2" t="s">
        <v>882</v>
      </c>
      <c r="D98" s="2" t="s">
        <v>883</v>
      </c>
      <c r="E98" s="2" t="s">
        <v>884</v>
      </c>
    </row>
    <row r="99" spans="2:5">
      <c r="B99" s="2" t="s">
        <v>885</v>
      </c>
      <c r="C99" s="2" t="s">
        <v>886</v>
      </c>
      <c r="D99" s="2" t="s">
        <v>887</v>
      </c>
      <c r="E99" s="2" t="s">
        <v>690</v>
      </c>
    </row>
    <row r="100" spans="2:5">
      <c r="B100" s="2" t="s">
        <v>34</v>
      </c>
      <c r="C100" s="2" t="s">
        <v>888</v>
      </c>
      <c r="D100" s="2" t="s">
        <v>889</v>
      </c>
      <c r="E100" s="2" t="s">
        <v>890</v>
      </c>
    </row>
    <row r="101" spans="2:5">
      <c r="B101" s="2" t="s">
        <v>236</v>
      </c>
      <c r="C101" s="2" t="s">
        <v>891</v>
      </c>
      <c r="D101" s="2" t="s">
        <v>892</v>
      </c>
      <c r="E101" s="2" t="s">
        <v>893</v>
      </c>
    </row>
    <row r="102" spans="2:5">
      <c r="B102" s="2" t="s">
        <v>894</v>
      </c>
      <c r="C102" s="2" t="s">
        <v>895</v>
      </c>
      <c r="D102" s="2" t="s">
        <v>896</v>
      </c>
      <c r="E102" s="2" t="s">
        <v>897</v>
      </c>
    </row>
    <row r="103" spans="2:5">
      <c r="B103" s="2" t="s">
        <v>898</v>
      </c>
      <c r="C103" s="2" t="s">
        <v>899</v>
      </c>
      <c r="D103" s="2" t="s">
        <v>900</v>
      </c>
      <c r="E103" s="2" t="s">
        <v>901</v>
      </c>
    </row>
    <row r="104" spans="2:5">
      <c r="B104" s="2" t="s">
        <v>372</v>
      </c>
      <c r="C104" s="2" t="s">
        <v>902</v>
      </c>
      <c r="D104" s="2" t="s">
        <v>903</v>
      </c>
      <c r="E104" s="2" t="s">
        <v>904</v>
      </c>
    </row>
    <row r="105" spans="2:5">
      <c r="B105" s="2" t="s">
        <v>905</v>
      </c>
      <c r="C105" s="2" t="s">
        <v>906</v>
      </c>
      <c r="D105" s="2" t="s">
        <v>907</v>
      </c>
      <c r="E105" s="2" t="s">
        <v>908</v>
      </c>
    </row>
    <row r="106" spans="2:5">
      <c r="B106" s="2" t="s">
        <v>909</v>
      </c>
      <c r="C106" s="2" t="s">
        <v>910</v>
      </c>
      <c r="D106" s="2" t="s">
        <v>911</v>
      </c>
      <c r="E106" s="2" t="s">
        <v>912</v>
      </c>
    </row>
    <row r="107" spans="2:5">
      <c r="B107" s="2" t="s">
        <v>913</v>
      </c>
      <c r="C107" s="2" t="s">
        <v>914</v>
      </c>
      <c r="D107" s="2" t="s">
        <v>915</v>
      </c>
      <c r="E107" s="2" t="s">
        <v>916</v>
      </c>
    </row>
    <row r="108" spans="2:5">
      <c r="B108" s="2" t="s">
        <v>917</v>
      </c>
      <c r="C108" s="2" t="s">
        <v>918</v>
      </c>
      <c r="D108" s="2" t="s">
        <v>919</v>
      </c>
      <c r="E108" s="2" t="s">
        <v>920</v>
      </c>
    </row>
    <row r="109" spans="2:5">
      <c r="B109" s="2" t="s">
        <v>362</v>
      </c>
      <c r="C109" s="2" t="s">
        <v>921</v>
      </c>
      <c r="D109" s="2" t="s">
        <v>922</v>
      </c>
      <c r="E109" s="2" t="s">
        <v>923</v>
      </c>
    </row>
    <row r="110" spans="2:5">
      <c r="B110" s="2" t="s">
        <v>526</v>
      </c>
      <c r="C110" s="2" t="s">
        <v>924</v>
      </c>
      <c r="D110" s="2" t="s">
        <v>925</v>
      </c>
      <c r="E110" s="2" t="s">
        <v>926</v>
      </c>
    </row>
    <row r="111" spans="2:5">
      <c r="B111" s="2" t="s">
        <v>155</v>
      </c>
      <c r="C111" s="2" t="s">
        <v>927</v>
      </c>
      <c r="D111" s="2" t="s">
        <v>928</v>
      </c>
      <c r="E111" s="2" t="s">
        <v>929</v>
      </c>
    </row>
    <row r="112" spans="2:5">
      <c r="B112" s="2" t="s">
        <v>106</v>
      </c>
      <c r="C112" s="2" t="s">
        <v>930</v>
      </c>
      <c r="D112" s="2" t="s">
        <v>931</v>
      </c>
      <c r="E112" s="2" t="s">
        <v>932</v>
      </c>
    </row>
    <row r="113" spans="2:5">
      <c r="B113" s="2" t="s">
        <v>933</v>
      </c>
      <c r="C113" s="2" t="s">
        <v>934</v>
      </c>
      <c r="D113" s="2" t="s">
        <v>935</v>
      </c>
      <c r="E113" s="2" t="s">
        <v>936</v>
      </c>
    </row>
    <row r="114" spans="2:5">
      <c r="B114" s="2" t="s">
        <v>104</v>
      </c>
      <c r="C114" s="2" t="s">
        <v>937</v>
      </c>
      <c r="D114" s="2" t="s">
        <v>938</v>
      </c>
      <c r="E114" s="2" t="s">
        <v>939</v>
      </c>
    </row>
    <row r="115" spans="2:5">
      <c r="B115" s="2" t="s">
        <v>940</v>
      </c>
      <c r="C115" s="2" t="s">
        <v>941</v>
      </c>
      <c r="D115" s="2" t="s">
        <v>941</v>
      </c>
      <c r="E115" s="2" t="s">
        <v>824</v>
      </c>
    </row>
    <row r="116" spans="2:5">
      <c r="B116" s="2" t="s">
        <v>942</v>
      </c>
      <c r="C116" s="2" t="s">
        <v>943</v>
      </c>
      <c r="D116" s="2" t="s">
        <v>944</v>
      </c>
      <c r="E116" s="2" t="s">
        <v>945</v>
      </c>
    </row>
    <row r="117" spans="2:5">
      <c r="B117" s="2" t="s">
        <v>261</v>
      </c>
      <c r="C117" s="2" t="s">
        <v>946</v>
      </c>
      <c r="D117" s="2" t="s">
        <v>947</v>
      </c>
      <c r="E117" s="2" t="s">
        <v>948</v>
      </c>
    </row>
    <row r="118" spans="2:5">
      <c r="B118" s="2" t="s">
        <v>56</v>
      </c>
      <c r="C118" s="2" t="s">
        <v>246</v>
      </c>
      <c r="D118" s="2" t="s">
        <v>246</v>
      </c>
      <c r="E118" s="2" t="s">
        <v>866</v>
      </c>
    </row>
    <row r="119" spans="2:5">
      <c r="B119" s="2" t="s">
        <v>949</v>
      </c>
      <c r="C119" s="2" t="s">
        <v>950</v>
      </c>
      <c r="D119" s="2" t="s">
        <v>951</v>
      </c>
      <c r="E119" s="2" t="s">
        <v>952</v>
      </c>
    </row>
    <row r="120" spans="2:5">
      <c r="B120" s="2" t="s">
        <v>330</v>
      </c>
      <c r="C120" s="2" t="s">
        <v>953</v>
      </c>
      <c r="D120" s="2" t="s">
        <v>954</v>
      </c>
      <c r="E120" s="2" t="s">
        <v>955</v>
      </c>
    </row>
    <row r="121" spans="2:5">
      <c r="B121" s="2" t="s">
        <v>956</v>
      </c>
      <c r="C121" s="2" t="s">
        <v>957</v>
      </c>
      <c r="D121" s="2" t="s">
        <v>958</v>
      </c>
      <c r="E121" s="2" t="s">
        <v>959</v>
      </c>
    </row>
    <row r="122" spans="2:5">
      <c r="B122" s="2" t="s">
        <v>342</v>
      </c>
      <c r="C122" s="2" t="s">
        <v>960</v>
      </c>
      <c r="D122" s="2" t="s">
        <v>961</v>
      </c>
      <c r="E122" s="2" t="s">
        <v>962</v>
      </c>
    </row>
    <row r="123" spans="2:5">
      <c r="B123" s="2" t="s">
        <v>68</v>
      </c>
      <c r="C123" s="2" t="s">
        <v>596</v>
      </c>
      <c r="D123" s="2" t="s">
        <v>963</v>
      </c>
      <c r="E123" s="2" t="s">
        <v>658</v>
      </c>
    </row>
    <row r="124" spans="2:5">
      <c r="B124" s="2" t="s">
        <v>964</v>
      </c>
      <c r="C124" s="2" t="s">
        <v>965</v>
      </c>
      <c r="D124" s="2" t="s">
        <v>965</v>
      </c>
      <c r="E124" s="2"/>
    </row>
    <row r="125" spans="2:5">
      <c r="B125" s="2" t="s">
        <v>386</v>
      </c>
      <c r="C125" s="2" t="s">
        <v>966</v>
      </c>
      <c r="D125" s="2" t="s">
        <v>967</v>
      </c>
      <c r="E125" s="2" t="s">
        <v>968</v>
      </c>
    </row>
    <row r="126" spans="2:5">
      <c r="B126" s="2" t="s">
        <v>422</v>
      </c>
      <c r="C126" s="2" t="s">
        <v>969</v>
      </c>
      <c r="D126" s="2" t="s">
        <v>794</v>
      </c>
      <c r="E126" s="2" t="s">
        <v>795</v>
      </c>
    </row>
    <row r="127" spans="2:5">
      <c r="B127" s="2" t="s">
        <v>227</v>
      </c>
      <c r="C127" s="2" t="s">
        <v>970</v>
      </c>
      <c r="D127" s="2" t="s">
        <v>971</v>
      </c>
      <c r="E127" s="2" t="s">
        <v>972</v>
      </c>
    </row>
    <row r="128" spans="2:5">
      <c r="B128" s="2" t="s">
        <v>269</v>
      </c>
      <c r="C128" s="2" t="s">
        <v>973</v>
      </c>
      <c r="D128" s="2" t="s">
        <v>974</v>
      </c>
      <c r="E128" s="2" t="s">
        <v>901</v>
      </c>
    </row>
    <row r="129" spans="2:5">
      <c r="B129" s="2" t="s">
        <v>388</v>
      </c>
      <c r="C129" s="2" t="s">
        <v>975</v>
      </c>
      <c r="D129" s="2" t="s">
        <v>976</v>
      </c>
      <c r="E129" s="2" t="s">
        <v>977</v>
      </c>
    </row>
    <row r="130" spans="2:5">
      <c r="B130" s="2" t="s">
        <v>75</v>
      </c>
      <c r="C130" s="2" t="s">
        <v>978</v>
      </c>
      <c r="D130" s="2" t="s">
        <v>706</v>
      </c>
      <c r="E130" s="2" t="s">
        <v>707</v>
      </c>
    </row>
    <row r="131" spans="2:5">
      <c r="B131" s="2" t="s">
        <v>979</v>
      </c>
      <c r="C131" s="2" t="s">
        <v>980</v>
      </c>
      <c r="D131" s="2" t="s">
        <v>981</v>
      </c>
      <c r="E131" s="2" t="s">
        <v>982</v>
      </c>
    </row>
    <row r="132" spans="2:5">
      <c r="B132" s="2" t="s">
        <v>215</v>
      </c>
      <c r="C132" s="2" t="s">
        <v>983</v>
      </c>
      <c r="D132" s="2" t="s">
        <v>984</v>
      </c>
      <c r="E132" s="2" t="s">
        <v>827</v>
      </c>
    </row>
    <row r="133" spans="2:5">
      <c r="B133" s="2" t="s">
        <v>985</v>
      </c>
      <c r="C133" s="2" t="s">
        <v>986</v>
      </c>
      <c r="D133" s="2" t="s">
        <v>987</v>
      </c>
      <c r="E133" s="2" t="s">
        <v>988</v>
      </c>
    </row>
    <row r="134" spans="2:5">
      <c r="B134" s="2" t="s">
        <v>989</v>
      </c>
      <c r="C134" s="2" t="s">
        <v>990</v>
      </c>
      <c r="D134" s="2" t="s">
        <v>991</v>
      </c>
      <c r="E134" s="2" t="s">
        <v>992</v>
      </c>
    </row>
    <row r="135" spans="2:5">
      <c r="B135" s="2" t="s">
        <v>993</v>
      </c>
      <c r="C135" s="2"/>
      <c r="D135" s="2" t="s">
        <v>994</v>
      </c>
      <c r="E135" s="2" t="s">
        <v>995</v>
      </c>
    </row>
    <row r="136" spans="2:5">
      <c r="B136" s="2" t="s">
        <v>359</v>
      </c>
      <c r="C136" s="2" t="s">
        <v>996</v>
      </c>
      <c r="D136" s="2" t="s">
        <v>997</v>
      </c>
      <c r="E136" s="2" t="s">
        <v>998</v>
      </c>
    </row>
    <row r="137" spans="2:5">
      <c r="B137" s="2" t="s">
        <v>224</v>
      </c>
      <c r="C137" s="2" t="s">
        <v>999</v>
      </c>
      <c r="D137" s="2" t="s">
        <v>1000</v>
      </c>
      <c r="E137" s="2" t="s">
        <v>908</v>
      </c>
    </row>
    <row r="138" spans="2:5">
      <c r="B138" s="2" t="s">
        <v>183</v>
      </c>
      <c r="C138" s="2" t="s">
        <v>1001</v>
      </c>
      <c r="D138" s="2" t="s">
        <v>1002</v>
      </c>
      <c r="E138" s="2" t="s">
        <v>1003</v>
      </c>
    </row>
    <row r="139" spans="2:5">
      <c r="B139" s="2" t="s">
        <v>549</v>
      </c>
      <c r="C139" s="2" t="s">
        <v>1004</v>
      </c>
      <c r="D139" s="2" t="s">
        <v>1005</v>
      </c>
      <c r="E139" s="2" t="s">
        <v>745</v>
      </c>
    </row>
    <row r="140" spans="2:5">
      <c r="B140" s="2" t="s">
        <v>1006</v>
      </c>
      <c r="C140" s="2" t="s">
        <v>1007</v>
      </c>
      <c r="D140" s="2" t="s">
        <v>1008</v>
      </c>
      <c r="E140" s="2" t="s">
        <v>1009</v>
      </c>
    </row>
    <row r="141" spans="2:5">
      <c r="B141" s="54" t="s">
        <v>1010</v>
      </c>
      <c r="C141" s="54" t="s">
        <v>1011</v>
      </c>
      <c r="D141" s="54" t="s">
        <v>1012</v>
      </c>
      <c r="E141" s="54" t="s">
        <v>866</v>
      </c>
    </row>
    <row r="142" spans="2:5">
      <c r="B142" s="53" t="s">
        <v>45</v>
      </c>
      <c r="C142" s="53" t="s">
        <v>1013</v>
      </c>
      <c r="D142" s="53" t="s">
        <v>1013</v>
      </c>
      <c r="E142" s="53" t="s">
        <v>1014</v>
      </c>
    </row>
    <row r="143" spans="2:5">
      <c r="B143" s="53"/>
      <c r="C143" s="53"/>
      <c r="D143" s="53" t="s">
        <v>1015</v>
      </c>
      <c r="E143" s="53" t="s">
        <v>1016</v>
      </c>
    </row>
    <row r="144" spans="2:5">
      <c r="B144" s="53" t="s">
        <v>52</v>
      </c>
      <c r="C144" s="53" t="s">
        <v>1017</v>
      </c>
      <c r="D144" s="53" t="s">
        <v>1017</v>
      </c>
      <c r="E144" s="53" t="s">
        <v>1014</v>
      </c>
    </row>
    <row r="145" spans="2:5">
      <c r="B145" s="53" t="s">
        <v>78</v>
      </c>
      <c r="C145" s="53" t="s">
        <v>1018</v>
      </c>
      <c r="D145" s="53" t="s">
        <v>1019</v>
      </c>
      <c r="E145" s="53" t="s">
        <v>1020</v>
      </c>
    </row>
    <row r="146" spans="2:5" ht="12.75" customHeight="1">
      <c r="B146" s="69" t="s">
        <v>61</v>
      </c>
      <c r="C146" s="69" t="s">
        <v>1021</v>
      </c>
      <c r="D146" s="69" t="s">
        <v>1022</v>
      </c>
      <c r="E146" s="70" t="s">
        <v>1023</v>
      </c>
    </row>
    <row r="147" spans="2:5" ht="20.25" customHeight="1">
      <c r="B147" s="71" t="s">
        <v>116</v>
      </c>
      <c r="C147" s="72" t="s">
        <v>1024</v>
      </c>
      <c r="D147" s="71" t="s">
        <v>1025</v>
      </c>
      <c r="E147" s="72" t="s">
        <v>1023</v>
      </c>
    </row>
    <row r="148" spans="2:5">
      <c r="B148" s="71" t="s">
        <v>125</v>
      </c>
      <c r="C148" s="71" t="s">
        <v>1026</v>
      </c>
      <c r="D148" s="71" t="s">
        <v>1027</v>
      </c>
      <c r="E148" s="71" t="s">
        <v>1028</v>
      </c>
    </row>
    <row r="149" spans="2:5">
      <c r="B149" s="71" t="s">
        <v>178</v>
      </c>
      <c r="C149" s="71" t="s">
        <v>178</v>
      </c>
      <c r="D149" s="71" t="s">
        <v>178</v>
      </c>
      <c r="E149" s="71" t="s">
        <v>1029</v>
      </c>
    </row>
    <row r="150" spans="2:5">
      <c r="B150" s="253" t="s">
        <v>190</v>
      </c>
      <c r="C150" s="253" t="s">
        <v>1030</v>
      </c>
      <c r="D150" s="253"/>
      <c r="E150" s="253" t="s">
        <v>1031</v>
      </c>
    </row>
    <row r="151" spans="2:5">
      <c r="B151" s="71" t="s">
        <v>207</v>
      </c>
      <c r="C151" s="71" t="s">
        <v>1032</v>
      </c>
      <c r="D151" s="71" t="s">
        <v>1033</v>
      </c>
      <c r="E151" s="71" t="s">
        <v>1034</v>
      </c>
    </row>
    <row r="152" spans="2:5">
      <c r="B152" s="53" t="s">
        <v>299</v>
      </c>
      <c r="C152" s="53" t="s">
        <v>1035</v>
      </c>
      <c r="D152" s="53" t="s">
        <v>1036</v>
      </c>
      <c r="E152" s="53" t="s">
        <v>1029</v>
      </c>
    </row>
    <row r="153" spans="2:5">
      <c r="B153" s="53" t="s">
        <v>350</v>
      </c>
      <c r="C153" s="53" t="s">
        <v>1037</v>
      </c>
      <c r="D153" s="53"/>
      <c r="E153" s="53" t="s">
        <v>1038</v>
      </c>
    </row>
    <row r="154" spans="2:5" ht="15">
      <c r="B154" s="251" t="s">
        <v>398</v>
      </c>
      <c r="C154" s="251" t="s">
        <v>1039</v>
      </c>
      <c r="D154" s="251" t="s">
        <v>1040</v>
      </c>
      <c r="E154" s="252" t="s">
        <v>1041</v>
      </c>
    </row>
    <row r="155" spans="2:5">
      <c r="B155" s="53" t="s">
        <v>406</v>
      </c>
      <c r="C155" s="53" t="s">
        <v>1042</v>
      </c>
      <c r="D155" s="53" t="s">
        <v>1043</v>
      </c>
      <c r="E155" s="53" t="s">
        <v>1044</v>
      </c>
    </row>
    <row r="156" spans="2:5">
      <c r="B156" s="69" t="s">
        <v>409</v>
      </c>
      <c r="C156" s="69" t="s">
        <v>1045</v>
      </c>
      <c r="D156" s="69"/>
      <c r="E156" s="69" t="s">
        <v>1046</v>
      </c>
    </row>
    <row r="157" spans="2:5" ht="15">
      <c r="B157" s="254" t="s">
        <v>414</v>
      </c>
      <c r="C157" s="254" t="s">
        <v>1047</v>
      </c>
      <c r="D157" s="254" t="s">
        <v>1048</v>
      </c>
      <c r="E157" s="254" t="s">
        <v>1049</v>
      </c>
    </row>
    <row r="158" spans="2:5">
      <c r="B158" s="53" t="s">
        <v>505</v>
      </c>
      <c r="C158" s="53" t="s">
        <v>1050</v>
      </c>
      <c r="D158" s="53" t="s">
        <v>1051</v>
      </c>
      <c r="E158" s="53" t="s">
        <v>1052</v>
      </c>
    </row>
    <row r="159" spans="2:5">
      <c r="B159" s="53" t="s">
        <v>510</v>
      </c>
      <c r="C159" s="53" t="s">
        <v>510</v>
      </c>
      <c r="D159" s="53" t="s">
        <v>510</v>
      </c>
      <c r="E159" s="53" t="s">
        <v>510</v>
      </c>
    </row>
    <row r="160" spans="2:5" ht="15">
      <c r="B160" t="s">
        <v>434</v>
      </c>
      <c r="C160" s="296" t="s">
        <v>1053</v>
      </c>
      <c r="D160" s="296" t="s">
        <v>1054</v>
      </c>
      <c r="E160" s="296" t="s">
        <v>1055</v>
      </c>
    </row>
    <row r="161" spans="2:5">
      <c r="B161" t="s">
        <v>438</v>
      </c>
      <c r="C161" t="s">
        <v>1056</v>
      </c>
      <c r="D161" t="s">
        <v>1057</v>
      </c>
      <c r="E161" t="s">
        <v>1058</v>
      </c>
    </row>
    <row r="162" spans="2:5">
      <c r="B162" t="s">
        <v>442</v>
      </c>
      <c r="C162" t="s">
        <v>1059</v>
      </c>
      <c r="D162" t="s">
        <v>1060</v>
      </c>
      <c r="E162" t="s">
        <v>1061</v>
      </c>
    </row>
    <row r="163" spans="2:5">
      <c r="B163" t="s">
        <v>444</v>
      </c>
      <c r="D163" t="s">
        <v>1062</v>
      </c>
      <c r="E163" t="s">
        <v>1063</v>
      </c>
    </row>
    <row r="164" spans="2:5">
      <c r="B164" t="s">
        <v>446</v>
      </c>
      <c r="C164" t="s">
        <v>1064</v>
      </c>
      <c r="D164" t="s">
        <v>1065</v>
      </c>
      <c r="E164" t="s">
        <v>1066</v>
      </c>
    </row>
  </sheetData>
  <autoFilter ref="B2:E159" xr:uid="{D6D160CC-CEC6-4A21-ADD1-F68126A372E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2EB5-AB67-4CBC-8D69-44CA16C04A70}">
  <sheetPr>
    <tabColor rgb="FF92D050"/>
  </sheetPr>
  <dimension ref="B1:Q127"/>
  <sheetViews>
    <sheetView topLeftCell="A94" zoomScale="85" zoomScaleNormal="85" workbookViewId="0">
      <selection activeCell="D121" sqref="D121"/>
    </sheetView>
  </sheetViews>
  <sheetFormatPr defaultRowHeight="14.45" outlineLevelRow="4"/>
  <cols>
    <col min="1" max="1" width="5.140625" customWidth="1"/>
    <col min="2" max="2" width="4.7109375" customWidth="1"/>
    <col min="3" max="3" width="5.28515625" customWidth="1"/>
    <col min="10" max="10" width="10.5703125" bestFit="1" customWidth="1"/>
    <col min="15" max="15" width="10.5703125" style="37" customWidth="1"/>
    <col min="16" max="16" width="20.42578125" customWidth="1"/>
  </cols>
  <sheetData>
    <row r="1" spans="2:17">
      <c r="B1" s="24" t="s">
        <v>1067</v>
      </c>
      <c r="O1" s="36" t="s">
        <v>1068</v>
      </c>
    </row>
    <row r="2" spans="2:17">
      <c r="B2" s="24"/>
    </row>
    <row r="3" spans="2:17">
      <c r="B3" s="24"/>
    </row>
    <row r="4" spans="2:17" s="35" customFormat="1" outlineLevel="3">
      <c r="B4" s="34" t="s">
        <v>1069</v>
      </c>
      <c r="G4" s="74" t="s">
        <v>1070</v>
      </c>
      <c r="O4" s="37"/>
    </row>
    <row r="5" spans="2:17" outlineLevel="4">
      <c r="B5" s="1">
        <v>1.1000000000000001</v>
      </c>
      <c r="C5" t="s">
        <v>1071</v>
      </c>
    </row>
    <row r="6" spans="2:17" outlineLevel="4">
      <c r="B6" s="1"/>
      <c r="C6" s="33">
        <v>111</v>
      </c>
      <c r="D6" t="s">
        <v>1072</v>
      </c>
      <c r="O6" s="33">
        <f>C6</f>
        <v>111</v>
      </c>
      <c r="P6" t="str">
        <f>D6</f>
        <v>Premium (RON95)</v>
      </c>
      <c r="Q6" s="6" t="s">
        <v>248</v>
      </c>
    </row>
    <row r="7" spans="2:17" outlineLevel="4">
      <c r="B7" s="1"/>
      <c r="C7" s="33">
        <v>112</v>
      </c>
      <c r="D7" t="s">
        <v>1073</v>
      </c>
      <c r="O7" s="33">
        <f>C7</f>
        <v>112</v>
      </c>
      <c r="P7" t="str">
        <f>D7</f>
        <v>Regular (RON 91)</v>
      </c>
      <c r="Q7" s="6" t="s">
        <v>248</v>
      </c>
    </row>
    <row r="8" spans="2:17" outlineLevel="4">
      <c r="B8" s="1">
        <v>1.2</v>
      </c>
      <c r="C8" t="s">
        <v>1074</v>
      </c>
    </row>
    <row r="9" spans="2:17" outlineLevel="4">
      <c r="B9" s="1"/>
      <c r="C9" s="33">
        <v>121</v>
      </c>
      <c r="D9" t="s">
        <v>1075</v>
      </c>
      <c r="O9" s="33">
        <f>C9</f>
        <v>121</v>
      </c>
      <c r="P9" t="str">
        <f>D9</f>
        <v>Diesel ( Krudo )</v>
      </c>
      <c r="Q9" s="6" t="s">
        <v>248</v>
      </c>
    </row>
    <row r="10" spans="2:17" outlineLevel="4">
      <c r="B10" s="1">
        <v>1.3</v>
      </c>
      <c r="C10" t="s">
        <v>1076</v>
      </c>
    </row>
    <row r="11" spans="2:17" outlineLevel="4">
      <c r="B11" s="1"/>
      <c r="C11" s="33">
        <v>131</v>
      </c>
      <c r="D11" t="s">
        <v>1076</v>
      </c>
      <c r="O11" s="33">
        <f>C11</f>
        <v>131</v>
      </c>
      <c r="P11" t="str">
        <f>D11</f>
        <v>Jet Fuel</v>
      </c>
      <c r="Q11" s="6" t="s">
        <v>248</v>
      </c>
    </row>
    <row r="12" spans="2:17" outlineLevel="4">
      <c r="B12" s="1">
        <v>1.4</v>
      </c>
      <c r="C12" t="s">
        <v>1077</v>
      </c>
    </row>
    <row r="13" spans="2:17" outlineLevel="4">
      <c r="B13" s="1"/>
      <c r="C13" s="33">
        <v>141</v>
      </c>
      <c r="O13" s="33">
        <f>C13</f>
        <v>141</v>
      </c>
      <c r="Q13" s="6" t="s">
        <v>248</v>
      </c>
    </row>
    <row r="14" spans="2:17" outlineLevel="4">
      <c r="B14" s="1"/>
      <c r="C14" s="33">
        <v>142</v>
      </c>
      <c r="O14" s="33">
        <f t="shared" ref="O14:O18" si="0">C14</f>
        <v>142</v>
      </c>
      <c r="Q14" s="6" t="s">
        <v>248</v>
      </c>
    </row>
    <row r="15" spans="2:17" outlineLevel="4">
      <c r="B15" s="1"/>
      <c r="C15" s="33">
        <v>143</v>
      </c>
      <c r="O15" s="33">
        <f t="shared" si="0"/>
        <v>143</v>
      </c>
      <c r="Q15" s="6" t="s">
        <v>248</v>
      </c>
    </row>
    <row r="16" spans="2:17" outlineLevel="4">
      <c r="B16" s="1"/>
      <c r="C16" s="33">
        <v>144</v>
      </c>
      <c r="O16" s="33">
        <f t="shared" si="0"/>
        <v>144</v>
      </c>
      <c r="Q16" s="6" t="s">
        <v>248</v>
      </c>
    </row>
    <row r="17" spans="2:17" outlineLevel="4">
      <c r="B17" s="1">
        <v>1.5</v>
      </c>
      <c r="C17" t="s">
        <v>1078</v>
      </c>
    </row>
    <row r="18" spans="2:17" outlineLevel="4">
      <c r="B18" s="1"/>
      <c r="C18" s="33">
        <v>151</v>
      </c>
      <c r="O18" s="33">
        <f t="shared" si="0"/>
        <v>151</v>
      </c>
      <c r="Q18" s="6" t="s">
        <v>248</v>
      </c>
    </row>
    <row r="19" spans="2:17" outlineLevel="1"/>
    <row r="20" spans="2:17" s="35" customFormat="1" outlineLevel="2">
      <c r="B20" s="34" t="s">
        <v>1079</v>
      </c>
      <c r="G20" s="73"/>
      <c r="J20" s="73" t="s">
        <v>1080</v>
      </c>
      <c r="O20" s="37"/>
    </row>
    <row r="21" spans="2:17" outlineLevel="3">
      <c r="C21" s="1">
        <v>2.1</v>
      </c>
      <c r="D21" s="24" t="s">
        <v>1081</v>
      </c>
    </row>
    <row r="22" spans="2:17" outlineLevel="3">
      <c r="D22" s="33">
        <v>211</v>
      </c>
      <c r="E22" t="s">
        <v>1082</v>
      </c>
      <c r="O22" s="33">
        <f>D22</f>
        <v>211</v>
      </c>
      <c r="P22" t="str">
        <f>E22</f>
        <v>Storage tanks</v>
      </c>
      <c r="Q22" s="6" t="s">
        <v>122</v>
      </c>
    </row>
    <row r="23" spans="2:17" outlineLevel="3">
      <c r="D23" s="33">
        <v>212</v>
      </c>
      <c r="E23" t="s">
        <v>1083</v>
      </c>
      <c r="O23" s="33">
        <f>D23</f>
        <v>212</v>
      </c>
      <c r="P23" t="str">
        <f>E23</f>
        <v>Barrels / Drums</v>
      </c>
      <c r="Q23" s="6" t="s">
        <v>122</v>
      </c>
    </row>
    <row r="24" spans="2:17" outlineLevel="3">
      <c r="C24" s="1">
        <v>2.2000000000000002</v>
      </c>
      <c r="D24" s="24" t="s">
        <v>1084</v>
      </c>
    </row>
    <row r="25" spans="2:17" outlineLevel="4">
      <c r="D25" s="1" t="s">
        <v>1085</v>
      </c>
      <c r="E25" s="24" t="s">
        <v>1086</v>
      </c>
    </row>
    <row r="26" spans="2:17" outlineLevel="4">
      <c r="B26" s="1"/>
      <c r="E26" s="33">
        <v>2211</v>
      </c>
      <c r="F26" t="s">
        <v>1087</v>
      </c>
      <c r="J26" s="6" t="s">
        <v>1088</v>
      </c>
      <c r="O26" s="33">
        <f>E26</f>
        <v>2211</v>
      </c>
      <c r="P26" t="str">
        <f>F26</f>
        <v>1.5 KL TSRO Standard Machine</v>
      </c>
      <c r="Q26" s="6" t="s">
        <v>122</v>
      </c>
    </row>
    <row r="27" spans="2:17" outlineLevel="4">
      <c r="B27" s="1"/>
      <c r="E27" s="33">
        <v>2212</v>
      </c>
      <c r="F27" t="s">
        <v>1089</v>
      </c>
      <c r="J27" s="6" t="s">
        <v>1088</v>
      </c>
      <c r="O27" s="33">
        <f t="shared" ref="O27:O35" si="1">E27</f>
        <v>2212</v>
      </c>
      <c r="P27" t="str">
        <f t="shared" ref="P27:P35" si="2">F27</f>
        <v>1.5 KL TSRO Standing Machine</v>
      </c>
      <c r="Q27" s="6" t="s">
        <v>122</v>
      </c>
    </row>
    <row r="28" spans="2:17" outlineLevel="4">
      <c r="B28" s="1"/>
      <c r="E28" s="33">
        <v>2213</v>
      </c>
      <c r="F28" t="s">
        <v>1090</v>
      </c>
      <c r="J28" s="6" t="s">
        <v>1088</v>
      </c>
      <c r="O28" s="33">
        <f t="shared" si="1"/>
        <v>2213</v>
      </c>
      <c r="P28" t="str">
        <f t="shared" si="2"/>
        <v>2.0 KL TSRO Standard Machine</v>
      </c>
      <c r="Q28" s="6" t="s">
        <v>122</v>
      </c>
    </row>
    <row r="29" spans="2:17" outlineLevel="4">
      <c r="B29" s="1"/>
      <c r="E29" s="33">
        <v>2214</v>
      </c>
      <c r="F29" t="s">
        <v>1091</v>
      </c>
      <c r="J29" s="6" t="s">
        <v>1088</v>
      </c>
      <c r="O29" s="33">
        <f t="shared" si="1"/>
        <v>2214</v>
      </c>
      <c r="P29" t="str">
        <f t="shared" si="2"/>
        <v>2.0 KL TSRO Standing Machine</v>
      </c>
      <c r="Q29" s="6" t="s">
        <v>122</v>
      </c>
    </row>
    <row r="30" spans="2:17" outlineLevel="4">
      <c r="B30" s="1"/>
      <c r="E30" s="33">
        <v>2215</v>
      </c>
      <c r="F30" t="s">
        <v>1092</v>
      </c>
      <c r="J30" s="6" t="s">
        <v>1088</v>
      </c>
      <c r="O30" s="33">
        <f t="shared" si="1"/>
        <v>2215</v>
      </c>
      <c r="P30" t="str">
        <f t="shared" si="2"/>
        <v>3.0 KL TSRO Standard Machine</v>
      </c>
      <c r="Q30" s="6" t="s">
        <v>122</v>
      </c>
    </row>
    <row r="31" spans="2:17" outlineLevel="4">
      <c r="B31" s="1"/>
      <c r="E31" s="33">
        <v>2216</v>
      </c>
      <c r="F31" t="s">
        <v>1093</v>
      </c>
      <c r="J31" s="6" t="s">
        <v>1088</v>
      </c>
      <c r="O31" s="33">
        <f t="shared" si="1"/>
        <v>2216</v>
      </c>
      <c r="P31" t="str">
        <f t="shared" si="2"/>
        <v>3.0 KL TSRO Standing Machine</v>
      </c>
      <c r="Q31" s="6" t="s">
        <v>122</v>
      </c>
    </row>
    <row r="32" spans="2:17" outlineLevel="4">
      <c r="B32" s="1"/>
      <c r="E32" s="33">
        <v>2217</v>
      </c>
      <c r="F32" t="s">
        <v>1094</v>
      </c>
      <c r="J32" s="6" t="s">
        <v>1088</v>
      </c>
      <c r="O32" s="33">
        <f t="shared" si="1"/>
        <v>2217</v>
      </c>
      <c r="P32" t="str">
        <f t="shared" si="2"/>
        <v>5.0 KL TSRO Standard Machine</v>
      </c>
      <c r="Q32" s="6" t="s">
        <v>122</v>
      </c>
    </row>
    <row r="33" spans="2:17" outlineLevel="4">
      <c r="B33" s="1"/>
      <c r="E33" s="33">
        <v>2218</v>
      </c>
      <c r="F33" t="s">
        <v>1095</v>
      </c>
      <c r="J33" s="6" t="s">
        <v>1088</v>
      </c>
      <c r="O33" s="33">
        <f t="shared" si="1"/>
        <v>2218</v>
      </c>
      <c r="P33" t="str">
        <f t="shared" si="2"/>
        <v>5.0 KL TSRO Standing Machine</v>
      </c>
      <c r="Q33" s="6" t="s">
        <v>122</v>
      </c>
    </row>
    <row r="34" spans="2:17" outlineLevel="4">
      <c r="B34" s="1"/>
      <c r="E34" s="33">
        <v>2219</v>
      </c>
      <c r="F34" t="s">
        <v>1096</v>
      </c>
      <c r="J34" s="6" t="s">
        <v>1088</v>
      </c>
      <c r="O34" s="33">
        <f t="shared" si="1"/>
        <v>2219</v>
      </c>
      <c r="P34" t="str">
        <f t="shared" si="2"/>
        <v>6.0 KL TSRO Standard Machine</v>
      </c>
      <c r="Q34" s="6" t="s">
        <v>122</v>
      </c>
    </row>
    <row r="35" spans="2:17" outlineLevel="4">
      <c r="B35" s="1"/>
      <c r="E35" s="33">
        <v>2220</v>
      </c>
      <c r="F35" t="s">
        <v>1097</v>
      </c>
      <c r="J35" s="6" t="s">
        <v>1088</v>
      </c>
      <c r="O35" s="33">
        <f t="shared" si="1"/>
        <v>2220</v>
      </c>
      <c r="P35" t="str">
        <f t="shared" si="2"/>
        <v>6.0 KL TSRO Standing Machine</v>
      </c>
      <c r="Q35" s="6" t="s">
        <v>122</v>
      </c>
    </row>
    <row r="36" spans="2:17" outlineLevel="2">
      <c r="B36" s="1"/>
    </row>
    <row r="37" spans="2:17" outlineLevel="2">
      <c r="D37" s="1" t="s">
        <v>1098</v>
      </c>
      <c r="E37" s="24" t="s">
        <v>1099</v>
      </c>
    </row>
    <row r="38" spans="2:17" outlineLevel="2">
      <c r="D38" s="1"/>
      <c r="E38" s="33">
        <v>2221</v>
      </c>
      <c r="F38" t="s">
        <v>1100</v>
      </c>
      <c r="O38" s="33">
        <f t="shared" ref="O38:P46" si="3">E38</f>
        <v>2221</v>
      </c>
      <c r="P38" t="str">
        <f t="shared" si="3"/>
        <v>Transfer Pump</v>
      </c>
      <c r="Q38" s="6" t="s">
        <v>122</v>
      </c>
    </row>
    <row r="39" spans="2:17" outlineLevel="2">
      <c r="D39" s="1"/>
      <c r="E39" s="33">
        <v>2222</v>
      </c>
      <c r="F39" t="s">
        <v>1101</v>
      </c>
      <c r="O39" s="33">
        <f t="shared" si="3"/>
        <v>2222</v>
      </c>
      <c r="P39" t="str">
        <f t="shared" si="3"/>
        <v>Hose</v>
      </c>
      <c r="Q39" s="6" t="s">
        <v>122</v>
      </c>
    </row>
    <row r="40" spans="2:17" outlineLevel="2">
      <c r="D40" s="1"/>
      <c r="E40" s="33">
        <v>2223</v>
      </c>
      <c r="F40" t="s">
        <v>1102</v>
      </c>
      <c r="O40" s="33">
        <f t="shared" si="3"/>
        <v>2223</v>
      </c>
      <c r="P40" t="str">
        <f t="shared" si="3"/>
        <v>Nozzle</v>
      </c>
      <c r="Q40" s="6" t="s">
        <v>122</v>
      </c>
    </row>
    <row r="41" spans="2:17" outlineLevel="2">
      <c r="D41" s="1"/>
      <c r="E41" s="33">
        <v>2224</v>
      </c>
      <c r="F41" t="s">
        <v>1103</v>
      </c>
      <c r="O41" s="33">
        <f t="shared" si="3"/>
        <v>2224</v>
      </c>
      <c r="P41" t="str">
        <f t="shared" si="3"/>
        <v>Keypad</v>
      </c>
      <c r="Q41" s="6" t="s">
        <v>122</v>
      </c>
    </row>
    <row r="42" spans="2:17" outlineLevel="2">
      <c r="D42" s="1"/>
      <c r="E42" s="33">
        <v>2225</v>
      </c>
      <c r="F42" t="s">
        <v>1104</v>
      </c>
      <c r="O42" s="33">
        <f t="shared" si="3"/>
        <v>2225</v>
      </c>
      <c r="P42" t="str">
        <f t="shared" si="3"/>
        <v>Display</v>
      </c>
      <c r="Q42" s="6" t="s">
        <v>122</v>
      </c>
    </row>
    <row r="43" spans="2:17" outlineLevel="2">
      <c r="D43" s="1"/>
      <c r="E43" s="33">
        <v>2226</v>
      </c>
      <c r="F43" t="s">
        <v>1105</v>
      </c>
      <c r="O43" s="33">
        <f t="shared" si="3"/>
        <v>2226</v>
      </c>
      <c r="P43" t="str">
        <f t="shared" si="3"/>
        <v>Pulser</v>
      </c>
      <c r="Q43" s="6" t="s">
        <v>122</v>
      </c>
    </row>
    <row r="44" spans="2:17" outlineLevel="2">
      <c r="D44" s="1"/>
      <c r="E44" s="33">
        <v>2227</v>
      </c>
      <c r="F44" t="s">
        <v>1106</v>
      </c>
      <c r="O44" s="33">
        <f t="shared" si="3"/>
        <v>2227</v>
      </c>
      <c r="P44" t="str">
        <f t="shared" si="3"/>
        <v>Encoder</v>
      </c>
      <c r="Q44" s="6" t="s">
        <v>122</v>
      </c>
    </row>
    <row r="45" spans="2:17" outlineLevel="2">
      <c r="D45" s="1"/>
      <c r="E45" s="33">
        <v>2228</v>
      </c>
      <c r="F45" t="s">
        <v>1107</v>
      </c>
      <c r="O45" s="33">
        <f t="shared" si="3"/>
        <v>2228</v>
      </c>
      <c r="P45" t="str">
        <f t="shared" si="3"/>
        <v>Solenoid Valves</v>
      </c>
      <c r="Q45" s="6" t="s">
        <v>122</v>
      </c>
    </row>
    <row r="46" spans="2:17" outlineLevel="2">
      <c r="D46" s="1"/>
      <c r="E46" s="33">
        <v>2229</v>
      </c>
      <c r="F46" t="s">
        <v>1108</v>
      </c>
      <c r="O46" s="33">
        <f t="shared" si="3"/>
        <v>2229</v>
      </c>
      <c r="P46" t="str">
        <f t="shared" si="3"/>
        <v>CPU</v>
      </c>
      <c r="Q46" s="6" t="s">
        <v>122</v>
      </c>
    </row>
    <row r="47" spans="2:17" outlineLevel="2">
      <c r="D47" s="1"/>
      <c r="E47" s="24"/>
      <c r="O47" s="33"/>
    </row>
    <row r="48" spans="2:17" outlineLevel="2">
      <c r="D48" s="1" t="s">
        <v>1109</v>
      </c>
      <c r="E48" s="24" t="s">
        <v>1110</v>
      </c>
      <c r="O48" s="33"/>
    </row>
    <row r="49" spans="2:17" outlineLevel="2">
      <c r="D49" s="1"/>
      <c r="E49" s="6">
        <v>2231</v>
      </c>
      <c r="F49" t="s">
        <v>1111</v>
      </c>
      <c r="O49" s="33">
        <v>2231</v>
      </c>
      <c r="P49" t="str">
        <f t="shared" ref="P49" si="4">F49</f>
        <v>UGT</v>
      </c>
      <c r="Q49" s="6" t="s">
        <v>122</v>
      </c>
    </row>
    <row r="50" spans="2:17" outlineLevel="2">
      <c r="D50" s="1"/>
      <c r="E50" s="24"/>
    </row>
    <row r="51" spans="2:17" outlineLevel="2">
      <c r="B51" s="1">
        <v>2.2999999999999998</v>
      </c>
      <c r="C51" s="24" t="s">
        <v>1112</v>
      </c>
      <c r="G51" s="382" t="s">
        <v>1113</v>
      </c>
    </row>
    <row r="52" spans="2:17" outlineLevel="2">
      <c r="C52" t="s">
        <v>1114</v>
      </c>
      <c r="D52" s="24" t="s">
        <v>1115</v>
      </c>
    </row>
    <row r="53" spans="2:17" outlineLevel="2">
      <c r="D53" s="33">
        <v>2311</v>
      </c>
      <c r="E53" t="s">
        <v>1116</v>
      </c>
      <c r="O53" s="38">
        <f t="shared" ref="O53:P55" si="5">D53</f>
        <v>2311</v>
      </c>
      <c r="P53" t="str">
        <f t="shared" si="5"/>
        <v>Stainless Calibration Bucket</v>
      </c>
      <c r="Q53" s="6" t="s">
        <v>122</v>
      </c>
    </row>
    <row r="54" spans="2:17" outlineLevel="2">
      <c r="D54" s="33">
        <v>2312</v>
      </c>
      <c r="E54" t="s">
        <v>1117</v>
      </c>
      <c r="O54" s="38">
        <f t="shared" si="5"/>
        <v>2312</v>
      </c>
      <c r="P54" t="str">
        <f t="shared" si="5"/>
        <v>Galvanize Calibration Bucket</v>
      </c>
      <c r="Q54" s="6" t="s">
        <v>122</v>
      </c>
    </row>
    <row r="55" spans="2:17" outlineLevel="2">
      <c r="D55" s="33">
        <v>2313</v>
      </c>
      <c r="E55" t="s">
        <v>1118</v>
      </c>
      <c r="O55" s="38">
        <f t="shared" si="5"/>
        <v>2313</v>
      </c>
      <c r="P55" t="str">
        <f t="shared" si="5"/>
        <v>Other Calibration Buckets</v>
      </c>
      <c r="Q55" s="6" t="s">
        <v>122</v>
      </c>
    </row>
    <row r="56" spans="2:17" outlineLevel="2">
      <c r="C56" t="s">
        <v>1119</v>
      </c>
      <c r="D56" s="24" t="s">
        <v>1120</v>
      </c>
    </row>
    <row r="57" spans="2:17" outlineLevel="2">
      <c r="D57" s="33">
        <v>2321</v>
      </c>
      <c r="E57" t="s">
        <v>1121</v>
      </c>
      <c r="O57" s="38">
        <f t="shared" ref="O57:O58" si="6">D57</f>
        <v>2321</v>
      </c>
      <c r="P57" t="str">
        <f>E57</f>
        <v>Dipstick ( Foldable )</v>
      </c>
      <c r="Q57" s="6" t="s">
        <v>122</v>
      </c>
    </row>
    <row r="58" spans="2:17" outlineLevel="2">
      <c r="D58" s="33">
        <v>2322</v>
      </c>
      <c r="E58" t="s">
        <v>1122</v>
      </c>
      <c r="O58" s="38">
        <f t="shared" si="6"/>
        <v>2322</v>
      </c>
      <c r="P58" t="str">
        <f>E58</f>
        <v>Dipstick ( Others )</v>
      </c>
      <c r="Q58" s="6" t="s">
        <v>122</v>
      </c>
    </row>
    <row r="59" spans="2:17" outlineLevel="2">
      <c r="C59" t="s">
        <v>1123</v>
      </c>
      <c r="D59" s="24" t="s">
        <v>1124</v>
      </c>
    </row>
    <row r="60" spans="2:17" outlineLevel="2">
      <c r="D60" s="33">
        <v>2331</v>
      </c>
      <c r="E60" t="s">
        <v>1125</v>
      </c>
      <c r="O60" s="38">
        <f t="shared" ref="O60" si="7">D60</f>
        <v>2331</v>
      </c>
      <c r="P60" t="str">
        <f>E60</f>
        <v>Flow Meter</v>
      </c>
      <c r="Q60" s="6" t="s">
        <v>122</v>
      </c>
    </row>
    <row r="61" spans="2:17" outlineLevel="1"/>
    <row r="62" spans="2:17" s="35" customFormat="1" outlineLevel="2">
      <c r="B62" s="34" t="s">
        <v>1126</v>
      </c>
      <c r="G62" s="73" t="s">
        <v>1113</v>
      </c>
      <c r="O62" s="37"/>
    </row>
    <row r="63" spans="2:17" outlineLevel="2">
      <c r="C63" s="6">
        <v>3.1</v>
      </c>
      <c r="D63" s="24" t="s">
        <v>1127</v>
      </c>
    </row>
    <row r="64" spans="2:17" outlineLevel="2">
      <c r="C64" s="6"/>
      <c r="D64" s="33">
        <v>311</v>
      </c>
      <c r="E64" t="s">
        <v>1128</v>
      </c>
      <c r="O64" s="33">
        <f>D64</f>
        <v>311</v>
      </c>
      <c r="P64" t="str">
        <f>E64</f>
        <v>Fuel Filter</v>
      </c>
      <c r="Q64" s="6" t="s">
        <v>122</v>
      </c>
    </row>
    <row r="65" spans="2:17" outlineLevel="2">
      <c r="C65" s="6">
        <v>3.2</v>
      </c>
      <c r="D65" s="24" t="s">
        <v>1129</v>
      </c>
      <c r="O65" s="33"/>
    </row>
    <row r="66" spans="2:17" outlineLevel="2">
      <c r="C66" s="6"/>
      <c r="D66" s="33">
        <v>321</v>
      </c>
      <c r="E66" t="s">
        <v>1130</v>
      </c>
      <c r="O66" s="33">
        <f>D66</f>
        <v>321</v>
      </c>
      <c r="P66" t="str">
        <f>E66</f>
        <v>Stabilizer</v>
      </c>
      <c r="Q66" s="6" t="s">
        <v>122</v>
      </c>
    </row>
    <row r="67" spans="2:17" outlineLevel="2">
      <c r="C67" s="6">
        <v>3.3</v>
      </c>
      <c r="D67" s="24" t="s">
        <v>1131</v>
      </c>
    </row>
    <row r="68" spans="2:17" outlineLevel="2">
      <c r="C68" s="6"/>
      <c r="D68" s="33">
        <v>331</v>
      </c>
      <c r="E68" t="s">
        <v>1132</v>
      </c>
      <c r="O68" s="33">
        <f>D68</f>
        <v>331</v>
      </c>
      <c r="P68" t="str">
        <f>E68</f>
        <v>Tank Cleaning Chemicals</v>
      </c>
      <c r="Q68" s="6" t="s">
        <v>122</v>
      </c>
    </row>
    <row r="69" spans="2:17" outlineLevel="1"/>
    <row r="70" spans="2:17" s="35" customFormat="1" outlineLevel="2">
      <c r="B70" s="34" t="s">
        <v>1133</v>
      </c>
      <c r="O70" s="37"/>
    </row>
    <row r="71" spans="2:17" outlineLevel="2">
      <c r="C71" s="6">
        <v>4.0999999999999996</v>
      </c>
      <c r="D71" s="24" t="s">
        <v>1134</v>
      </c>
    </row>
    <row r="72" spans="2:17" outlineLevel="2">
      <c r="C72" s="6"/>
      <c r="D72" s="33">
        <v>411</v>
      </c>
      <c r="E72" t="s">
        <v>1134</v>
      </c>
      <c r="O72" s="33">
        <f>D72</f>
        <v>411</v>
      </c>
      <c r="P72" t="str">
        <f>E72</f>
        <v>Gloves</v>
      </c>
      <c r="Q72" s="6" t="s">
        <v>122</v>
      </c>
    </row>
    <row r="73" spans="2:17" outlineLevel="2">
      <c r="C73" s="6">
        <v>4.2</v>
      </c>
      <c r="D73" s="24" t="s">
        <v>1135</v>
      </c>
    </row>
    <row r="74" spans="2:17" outlineLevel="2">
      <c r="C74" s="6"/>
      <c r="D74" s="33">
        <v>421</v>
      </c>
      <c r="E74" t="s">
        <v>1135</v>
      </c>
      <c r="O74" s="33">
        <f>D74</f>
        <v>421</v>
      </c>
      <c r="P74" t="str">
        <f>E74</f>
        <v>Goggles</v>
      </c>
      <c r="Q74" s="6" t="s">
        <v>122</v>
      </c>
    </row>
    <row r="75" spans="2:17" outlineLevel="2">
      <c r="C75" s="6">
        <v>4.3</v>
      </c>
      <c r="D75" s="24" t="s">
        <v>1136</v>
      </c>
    </row>
    <row r="76" spans="2:17" outlineLevel="2">
      <c r="C76" s="6"/>
      <c r="D76" s="33">
        <v>421</v>
      </c>
      <c r="E76" t="s">
        <v>1136</v>
      </c>
      <c r="O76" s="33">
        <f>D76</f>
        <v>421</v>
      </c>
      <c r="P76" t="str">
        <f>E76</f>
        <v>Suits</v>
      </c>
      <c r="Q76" s="6" t="s">
        <v>122</v>
      </c>
    </row>
    <row r="77" spans="2:17" outlineLevel="2">
      <c r="C77" s="6">
        <v>4.4000000000000004</v>
      </c>
      <c r="D77" s="24" t="s">
        <v>1137</v>
      </c>
    </row>
    <row r="78" spans="2:17" outlineLevel="2">
      <c r="C78" s="6"/>
      <c r="D78" s="33">
        <v>441</v>
      </c>
      <c r="E78" t="s">
        <v>1138</v>
      </c>
      <c r="O78" s="33">
        <f t="shared" ref="O78:O86" si="8">D78</f>
        <v>441</v>
      </c>
      <c r="P78" t="str">
        <f t="shared" ref="P78:P86" si="9">E78</f>
        <v>Fire Extinguisher 5 lbs</v>
      </c>
      <c r="Q78" s="6" t="s">
        <v>122</v>
      </c>
    </row>
    <row r="79" spans="2:17" outlineLevel="2">
      <c r="C79" s="6"/>
      <c r="D79" s="33">
        <v>442</v>
      </c>
      <c r="E79" t="s">
        <v>1139</v>
      </c>
      <c r="O79" s="33">
        <f t="shared" si="8"/>
        <v>442</v>
      </c>
      <c r="P79" t="str">
        <f t="shared" si="9"/>
        <v>Fire Extinguisher 10 lbs</v>
      </c>
      <c r="Q79" s="6" t="s">
        <v>122</v>
      </c>
    </row>
    <row r="80" spans="2:17" outlineLevel="2">
      <c r="C80" s="6"/>
      <c r="D80" s="33">
        <v>443</v>
      </c>
      <c r="E80" t="s">
        <v>1140</v>
      </c>
      <c r="O80" s="33">
        <f t="shared" si="8"/>
        <v>443</v>
      </c>
      <c r="P80" t="str">
        <f t="shared" si="9"/>
        <v>Fire Extinguisher 15 lbs</v>
      </c>
      <c r="Q80" s="6" t="s">
        <v>122</v>
      </c>
    </row>
    <row r="81" spans="2:17" outlineLevel="2">
      <c r="C81" s="6"/>
      <c r="D81" s="33">
        <v>444</v>
      </c>
      <c r="E81" t="s">
        <v>1141</v>
      </c>
      <c r="O81" s="33">
        <f t="shared" si="8"/>
        <v>444</v>
      </c>
      <c r="P81" t="str">
        <f t="shared" si="9"/>
        <v>Fire Extinguisher 20 lbs</v>
      </c>
      <c r="Q81" s="6" t="s">
        <v>122</v>
      </c>
    </row>
    <row r="82" spans="2:17" outlineLevel="2">
      <c r="C82" s="6"/>
      <c r="D82" s="33">
        <v>445</v>
      </c>
      <c r="E82" t="s">
        <v>1142</v>
      </c>
      <c r="O82" s="33">
        <f t="shared" si="8"/>
        <v>445</v>
      </c>
      <c r="P82" t="str">
        <f t="shared" si="9"/>
        <v>Fire Extinguisher 25 lbs</v>
      </c>
      <c r="Q82" s="6" t="s">
        <v>122</v>
      </c>
    </row>
    <row r="83" spans="2:17" outlineLevel="2">
      <c r="C83" s="6">
        <v>4.5</v>
      </c>
      <c r="D83" s="24" t="s">
        <v>1143</v>
      </c>
    </row>
    <row r="84" spans="2:17" outlineLevel="2">
      <c r="C84" s="6"/>
      <c r="D84" s="33">
        <v>451</v>
      </c>
      <c r="E84" t="s">
        <v>1144</v>
      </c>
      <c r="O84" s="33">
        <f t="shared" si="8"/>
        <v>451</v>
      </c>
      <c r="P84" t="str">
        <f t="shared" si="9"/>
        <v>Spill Kits</v>
      </c>
      <c r="Q84" s="6" t="s">
        <v>122</v>
      </c>
    </row>
    <row r="85" spans="2:17" outlineLevel="2">
      <c r="C85" s="6">
        <v>4.5999999999999996</v>
      </c>
      <c r="D85" s="24" t="s">
        <v>1145</v>
      </c>
      <c r="O85" s="33"/>
      <c r="Q85" s="6"/>
    </row>
    <row r="86" spans="2:17" outlineLevel="2">
      <c r="C86" s="6"/>
      <c r="D86" s="33">
        <v>452</v>
      </c>
      <c r="E86" t="s">
        <v>1146</v>
      </c>
      <c r="O86" s="33">
        <f t="shared" si="8"/>
        <v>452</v>
      </c>
      <c r="P86" t="str">
        <f t="shared" si="9"/>
        <v>Thermal Paper</v>
      </c>
      <c r="Q86" s="6" t="s">
        <v>122</v>
      </c>
    </row>
    <row r="87" spans="2:17" outlineLevel="1"/>
    <row r="88" spans="2:17" s="35" customFormat="1" outlineLevel="2">
      <c r="B88" s="34" t="s">
        <v>1147</v>
      </c>
    </row>
    <row r="89" spans="2:17" outlineLevel="2">
      <c r="C89" s="6">
        <v>5.0999999999999996</v>
      </c>
      <c r="D89" t="s">
        <v>1148</v>
      </c>
    </row>
    <row r="90" spans="2:17" outlineLevel="2">
      <c r="C90" s="6"/>
      <c r="D90" s="33">
        <v>511</v>
      </c>
      <c r="E90" t="s">
        <v>1148</v>
      </c>
      <c r="O90" s="33">
        <f t="shared" ref="O90:P94" si="10">D90</f>
        <v>511</v>
      </c>
      <c r="P90" t="str">
        <f t="shared" si="10"/>
        <v>Funnels</v>
      </c>
      <c r="Q90" s="6" t="s">
        <v>122</v>
      </c>
    </row>
    <row r="91" spans="2:17" outlineLevel="2">
      <c r="C91" s="6">
        <v>5.2</v>
      </c>
      <c r="D91" t="s">
        <v>1149</v>
      </c>
    </row>
    <row r="92" spans="2:17" outlineLevel="2">
      <c r="C92" s="6"/>
      <c r="D92" s="33">
        <v>521</v>
      </c>
      <c r="E92" t="s">
        <v>1149</v>
      </c>
      <c r="O92" s="33">
        <f t="shared" si="10"/>
        <v>521</v>
      </c>
      <c r="P92" t="str">
        <f t="shared" si="10"/>
        <v>Clamps</v>
      </c>
      <c r="Q92" s="6" t="s">
        <v>122</v>
      </c>
    </row>
    <row r="93" spans="2:17" outlineLevel="2">
      <c r="C93" s="6">
        <v>5.3</v>
      </c>
      <c r="D93" t="s">
        <v>1150</v>
      </c>
    </row>
    <row r="94" spans="2:17" outlineLevel="2">
      <c r="C94" s="6"/>
      <c r="D94" s="33">
        <v>531</v>
      </c>
      <c r="E94" t="s">
        <v>1151</v>
      </c>
      <c r="O94" s="33">
        <f t="shared" si="10"/>
        <v>531</v>
      </c>
      <c r="P94" t="str">
        <f t="shared" si="10"/>
        <v>Tools</v>
      </c>
      <c r="Q94" s="6" t="s">
        <v>122</v>
      </c>
    </row>
    <row r="96" spans="2:17" s="35" customFormat="1">
      <c r="B96" s="34" t="s">
        <v>1152</v>
      </c>
    </row>
    <row r="97" spans="2:17">
      <c r="C97" s="24" t="s">
        <v>1153</v>
      </c>
    </row>
    <row r="98" spans="2:17">
      <c r="C98" t="s">
        <v>1154</v>
      </c>
    </row>
    <row r="99" spans="2:17">
      <c r="D99" s="33">
        <v>611</v>
      </c>
      <c r="E99" t="s">
        <v>1155</v>
      </c>
      <c r="O99" s="33">
        <f t="shared" ref="O99:P101" si="11">D99</f>
        <v>611</v>
      </c>
      <c r="P99" t="str">
        <f t="shared" si="11"/>
        <v>Lead - Acid Batteries</v>
      </c>
      <c r="Q99" s="6" t="s">
        <v>122</v>
      </c>
    </row>
    <row r="100" spans="2:17">
      <c r="C100" t="s">
        <v>1156</v>
      </c>
    </row>
    <row r="101" spans="2:17">
      <c r="D101" s="33">
        <v>611</v>
      </c>
      <c r="E101" t="s">
        <v>1157</v>
      </c>
      <c r="O101" s="33">
        <f t="shared" si="11"/>
        <v>611</v>
      </c>
      <c r="P101" t="str">
        <f t="shared" si="11"/>
        <v>Lithium -ion Batteries</v>
      </c>
      <c r="Q101" s="6" t="s">
        <v>122</v>
      </c>
    </row>
    <row r="102" spans="2:17">
      <c r="C102" s="24" t="s">
        <v>1158</v>
      </c>
    </row>
    <row r="103" spans="2:17">
      <c r="C103" t="s">
        <v>1159</v>
      </c>
    </row>
    <row r="104" spans="2:17">
      <c r="D104" s="33">
        <v>621</v>
      </c>
      <c r="E104" t="s">
        <v>1160</v>
      </c>
      <c r="O104" s="33">
        <f t="shared" ref="O104:P104" si="12">D104</f>
        <v>621</v>
      </c>
      <c r="P104" t="str">
        <f t="shared" si="12"/>
        <v>Inverter 12 V</v>
      </c>
      <c r="Q104" s="6" t="s">
        <v>122</v>
      </c>
    </row>
    <row r="105" spans="2:17">
      <c r="C105" t="s">
        <v>1161</v>
      </c>
    </row>
    <row r="106" spans="2:17">
      <c r="C106" s="24" t="s">
        <v>1162</v>
      </c>
    </row>
    <row r="107" spans="2:17">
      <c r="C107" t="s">
        <v>1163</v>
      </c>
    </row>
    <row r="108" spans="2:17">
      <c r="C108" t="s">
        <v>1164</v>
      </c>
    </row>
    <row r="110" spans="2:17" s="35" customFormat="1">
      <c r="B110" s="34" t="s">
        <v>1165</v>
      </c>
    </row>
    <row r="111" spans="2:17">
      <c r="B111" s="24"/>
    </row>
    <row r="112" spans="2:17">
      <c r="C112" s="24">
        <v>7.1</v>
      </c>
      <c r="D112" t="s">
        <v>1166</v>
      </c>
    </row>
    <row r="113" spans="2:17">
      <c r="C113" s="24"/>
      <c r="D113" s="33">
        <v>711</v>
      </c>
      <c r="E113" t="s">
        <v>1167</v>
      </c>
      <c r="O113" s="33">
        <f>D113</f>
        <v>711</v>
      </c>
      <c r="P113" t="str">
        <f t="shared" ref="P113:P114" si="13">E113</f>
        <v>National</v>
      </c>
      <c r="Q113" s="6" t="s">
        <v>29</v>
      </c>
    </row>
    <row r="114" spans="2:17">
      <c r="C114" s="24"/>
      <c r="D114" s="33">
        <v>712</v>
      </c>
      <c r="E114" t="s">
        <v>1168</v>
      </c>
      <c r="O114" s="33">
        <f>D114</f>
        <v>712</v>
      </c>
      <c r="P114" t="str">
        <f t="shared" si="13"/>
        <v>Sea-Oil</v>
      </c>
      <c r="Q114" s="6" t="s">
        <v>29</v>
      </c>
    </row>
    <row r="115" spans="2:17">
      <c r="C115" s="24"/>
      <c r="D115" s="6"/>
    </row>
    <row r="116" spans="2:17">
      <c r="C116" s="24">
        <v>7.2</v>
      </c>
      <c r="D116" t="s">
        <v>1169</v>
      </c>
    </row>
    <row r="117" spans="2:17">
      <c r="C117" s="24"/>
      <c r="D117" s="33">
        <v>721</v>
      </c>
      <c r="E117" t="s">
        <v>1170</v>
      </c>
      <c r="O117" s="33">
        <f>D117</f>
        <v>721</v>
      </c>
      <c r="P117" t="str">
        <f t="shared" ref="P117:P125" si="14">E117</f>
        <v>Job Order</v>
      </c>
      <c r="Q117" s="6" t="s">
        <v>29</v>
      </c>
    </row>
    <row r="118" spans="2:17">
      <c r="C118" s="24">
        <v>7.3</v>
      </c>
      <c r="D118" t="s">
        <v>1171</v>
      </c>
    </row>
    <row r="119" spans="2:17">
      <c r="C119" s="24"/>
      <c r="D119" s="33">
        <v>731</v>
      </c>
      <c r="E119" t="s">
        <v>1171</v>
      </c>
      <c r="O119" s="33">
        <f>D119</f>
        <v>731</v>
      </c>
      <c r="P119" t="str">
        <f t="shared" si="14"/>
        <v>Other OPS ( Pls. Specify )</v>
      </c>
      <c r="Q119" s="6" t="s">
        <v>29</v>
      </c>
    </row>
    <row r="120" spans="2:17">
      <c r="C120" s="24">
        <v>7.4</v>
      </c>
      <c r="D120" t="s">
        <v>1172</v>
      </c>
    </row>
    <row r="121" spans="2:17">
      <c r="C121" s="24"/>
      <c r="D121" s="33">
        <v>741</v>
      </c>
      <c r="E121" t="s">
        <v>1172</v>
      </c>
      <c r="O121" s="33">
        <f>D121</f>
        <v>741</v>
      </c>
      <c r="P121" t="str">
        <f t="shared" si="14"/>
        <v>Due from STPC ( Pls. Specify )</v>
      </c>
      <c r="Q121" s="6" t="s">
        <v>29</v>
      </c>
    </row>
    <row r="122" spans="2:17">
      <c r="C122" s="24">
        <v>7.5</v>
      </c>
      <c r="D122" t="s">
        <v>1173</v>
      </c>
    </row>
    <row r="123" spans="2:17">
      <c r="C123" s="24"/>
      <c r="D123" s="33">
        <v>751</v>
      </c>
      <c r="E123" t="s">
        <v>1173</v>
      </c>
      <c r="O123" s="33">
        <f>D123</f>
        <v>751</v>
      </c>
      <c r="P123" t="str">
        <f t="shared" si="14"/>
        <v>Other Services ( Pls. Specify )</v>
      </c>
      <c r="Q123" s="6" t="s">
        <v>29</v>
      </c>
    </row>
    <row r="124" spans="2:17">
      <c r="C124" s="24">
        <v>7.6</v>
      </c>
      <c r="D124" t="s">
        <v>1174</v>
      </c>
    </row>
    <row r="125" spans="2:17">
      <c r="D125" s="33">
        <v>761</v>
      </c>
      <c r="E125" t="s">
        <v>1174</v>
      </c>
      <c r="O125" s="33">
        <f>D125</f>
        <v>761</v>
      </c>
      <c r="P125" t="str">
        <f t="shared" si="14"/>
        <v>Others ( Pls. Specify )</v>
      </c>
      <c r="Q125" s="6" t="s">
        <v>29</v>
      </c>
    </row>
    <row r="127" spans="2:17" s="35" customFormat="1">
      <c r="B127" s="34" t="s">
        <v>1175</v>
      </c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C6EA-DEBC-49A4-AAEC-6F482A388FAB}">
  <sheetPr codeName="Sheet7">
    <tabColor rgb="FF92D050"/>
  </sheetPr>
  <dimension ref="B1:F14"/>
  <sheetViews>
    <sheetView workbookViewId="0">
      <selection activeCell="B15" sqref="B15"/>
    </sheetView>
  </sheetViews>
  <sheetFormatPr defaultRowHeight="14.45"/>
  <cols>
    <col min="2" max="2" width="10.5703125" customWidth="1"/>
    <col min="3" max="3" width="26" customWidth="1"/>
    <col min="6" max="6" width="10.42578125" customWidth="1"/>
  </cols>
  <sheetData>
    <row r="1" spans="2:6">
      <c r="B1" s="255" t="s">
        <v>1068</v>
      </c>
      <c r="C1" s="255" t="s">
        <v>1176</v>
      </c>
      <c r="F1" s="31" t="s">
        <v>10</v>
      </c>
    </row>
    <row r="2" spans="2:6">
      <c r="B2" s="3" t="s">
        <v>273</v>
      </c>
      <c r="C2" s="2" t="s">
        <v>1177</v>
      </c>
      <c r="F2" s="3" t="s">
        <v>248</v>
      </c>
    </row>
    <row r="3" spans="2:6">
      <c r="B3" s="3" t="s">
        <v>199</v>
      </c>
      <c r="C3" s="2" t="s">
        <v>1178</v>
      </c>
      <c r="F3" s="3" t="s">
        <v>122</v>
      </c>
    </row>
    <row r="4" spans="2:6">
      <c r="B4" s="3" t="s">
        <v>48</v>
      </c>
      <c r="C4" s="2" t="s">
        <v>1179</v>
      </c>
      <c r="F4" s="3" t="s">
        <v>29</v>
      </c>
    </row>
    <row r="5" spans="2:6">
      <c r="B5" s="3" t="s">
        <v>74</v>
      </c>
      <c r="C5" s="2" t="s">
        <v>1180</v>
      </c>
    </row>
    <row r="6" spans="2:6">
      <c r="B6" s="3" t="s">
        <v>211</v>
      </c>
      <c r="C6" s="2" t="s">
        <v>1181</v>
      </c>
    </row>
    <row r="7" spans="2:6">
      <c r="B7" s="3" t="s">
        <v>51</v>
      </c>
      <c r="C7" s="2" t="s">
        <v>1182</v>
      </c>
    </row>
    <row r="8" spans="2:6">
      <c r="B8" s="3" t="s">
        <v>44</v>
      </c>
      <c r="C8" s="2" t="s">
        <v>1183</v>
      </c>
    </row>
    <row r="9" spans="2:6">
      <c r="B9" s="3" t="s">
        <v>93</v>
      </c>
      <c r="C9" s="2" t="s">
        <v>1184</v>
      </c>
    </row>
    <row r="10" spans="2:6">
      <c r="B10" s="3" t="s">
        <v>31</v>
      </c>
      <c r="C10" s="2" t="s">
        <v>1185</v>
      </c>
    </row>
    <row r="11" spans="2:6">
      <c r="B11" s="200" t="s">
        <v>26</v>
      </c>
      <c r="C11" s="54" t="s">
        <v>1186</v>
      </c>
    </row>
    <row r="12" spans="2:6">
      <c r="B12" s="177" t="s">
        <v>1187</v>
      </c>
      <c r="C12" s="53" t="s">
        <v>1188</v>
      </c>
    </row>
    <row r="13" spans="2:6">
      <c r="B13" s="239" t="s">
        <v>516</v>
      </c>
      <c r="C13" s="69" t="s">
        <v>1189</v>
      </c>
    </row>
    <row r="14" spans="2:6">
      <c r="B14" s="200" t="s">
        <v>501</v>
      </c>
      <c r="C14" s="54" t="s">
        <v>1190</v>
      </c>
    </row>
  </sheetData>
  <sortState xmlns:xlrd2="http://schemas.microsoft.com/office/spreadsheetml/2017/richdata2" ref="C2:C11">
    <sortCondition ref="C2:C11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92D050"/>
  </sheetPr>
  <dimension ref="A3:G374"/>
  <sheetViews>
    <sheetView zoomScale="85" zoomScaleNormal="85" workbookViewId="0">
      <pane ySplit="3" topLeftCell="A142" activePane="bottomLeft" state="frozen"/>
      <selection pane="bottomLeft" activeCell="D172" sqref="D172"/>
    </sheetView>
  </sheetViews>
  <sheetFormatPr defaultRowHeight="15.6"/>
  <cols>
    <col min="1" max="1" width="13.140625" style="23" customWidth="1"/>
    <col min="2" max="2" width="42.7109375" style="23" customWidth="1"/>
    <col min="3" max="3" width="21.7109375" style="23" customWidth="1"/>
    <col min="4" max="4" width="25.140625" style="23" customWidth="1"/>
    <col min="5" max="5" width="50.140625" style="23" customWidth="1"/>
    <col min="6" max="6" width="32.28515625" style="23" customWidth="1"/>
    <col min="7" max="7" width="16.7109375" style="23" customWidth="1"/>
  </cols>
  <sheetData>
    <row r="3" spans="1:7" ht="30">
      <c r="A3" s="7" t="s">
        <v>16</v>
      </c>
      <c r="B3" s="7" t="s">
        <v>1191</v>
      </c>
      <c r="C3" s="7" t="s">
        <v>10</v>
      </c>
      <c r="D3" s="7" t="s">
        <v>1192</v>
      </c>
      <c r="E3" s="7" t="s">
        <v>1080</v>
      </c>
      <c r="F3" s="7" t="s">
        <v>1193</v>
      </c>
      <c r="G3" s="7" t="s">
        <v>1194</v>
      </c>
    </row>
    <row r="4" spans="1:7">
      <c r="A4" s="8">
        <v>10000</v>
      </c>
      <c r="B4" s="9" t="s">
        <v>1195</v>
      </c>
      <c r="C4" s="10" t="s">
        <v>248</v>
      </c>
      <c r="D4" s="10" t="s">
        <v>1196</v>
      </c>
      <c r="E4" s="10" t="s">
        <v>1197</v>
      </c>
      <c r="F4" s="10" t="s">
        <v>1198</v>
      </c>
      <c r="G4" s="10" t="s">
        <v>1199</v>
      </c>
    </row>
    <row r="5" spans="1:7">
      <c r="A5" s="8">
        <v>10010</v>
      </c>
      <c r="B5" s="9" t="s">
        <v>1200</v>
      </c>
      <c r="C5" s="10" t="s">
        <v>248</v>
      </c>
      <c r="D5" s="10" t="s">
        <v>1196</v>
      </c>
      <c r="E5" s="10" t="s">
        <v>1201</v>
      </c>
      <c r="F5" s="10" t="s">
        <v>1198</v>
      </c>
      <c r="G5" s="10" t="s">
        <v>1199</v>
      </c>
    </row>
    <row r="6" spans="1:7">
      <c r="A6" s="8">
        <v>10013</v>
      </c>
      <c r="B6" s="9" t="s">
        <v>1202</v>
      </c>
      <c r="C6" s="10" t="s">
        <v>122</v>
      </c>
      <c r="D6" s="10" t="s">
        <v>1196</v>
      </c>
      <c r="E6" s="10" t="s">
        <v>1201</v>
      </c>
      <c r="F6" s="10" t="s">
        <v>1198</v>
      </c>
      <c r="G6" s="10" t="s">
        <v>1199</v>
      </c>
    </row>
    <row r="7" spans="1:7">
      <c r="A7" s="8">
        <v>10016</v>
      </c>
      <c r="B7" s="9" t="s">
        <v>1203</v>
      </c>
      <c r="C7" s="10" t="s">
        <v>29</v>
      </c>
      <c r="D7" s="10" t="s">
        <v>1196</v>
      </c>
      <c r="E7" s="10" t="s">
        <v>1201</v>
      </c>
      <c r="F7" s="10" t="s">
        <v>1198</v>
      </c>
      <c r="G7" s="10" t="s">
        <v>1199</v>
      </c>
    </row>
    <row r="8" spans="1:7">
      <c r="A8" s="8">
        <v>10020</v>
      </c>
      <c r="B8" s="9" t="s">
        <v>1204</v>
      </c>
      <c r="C8" s="10" t="s">
        <v>248</v>
      </c>
      <c r="D8" s="10" t="s">
        <v>1205</v>
      </c>
      <c r="E8" s="10" t="s">
        <v>1206</v>
      </c>
      <c r="F8" s="10" t="s">
        <v>1198</v>
      </c>
      <c r="G8" s="10" t="s">
        <v>1199</v>
      </c>
    </row>
    <row r="9" spans="1:7">
      <c r="A9" s="8">
        <v>10023</v>
      </c>
      <c r="B9" s="9" t="s">
        <v>1207</v>
      </c>
      <c r="C9" s="10" t="s">
        <v>122</v>
      </c>
      <c r="D9" s="10" t="s">
        <v>1205</v>
      </c>
      <c r="E9" s="10" t="s">
        <v>1206</v>
      </c>
      <c r="F9" s="10" t="s">
        <v>1198</v>
      </c>
      <c r="G9" s="10" t="s">
        <v>1199</v>
      </c>
    </row>
    <row r="10" spans="1:7">
      <c r="A10" s="8">
        <v>10026</v>
      </c>
      <c r="B10" s="9" t="s">
        <v>1208</v>
      </c>
      <c r="C10" s="10" t="s">
        <v>29</v>
      </c>
      <c r="D10" s="10" t="s">
        <v>1205</v>
      </c>
      <c r="E10" s="10" t="s">
        <v>1206</v>
      </c>
      <c r="F10" s="10" t="s">
        <v>1198</v>
      </c>
      <c r="G10" s="10" t="s">
        <v>1199</v>
      </c>
    </row>
    <row r="11" spans="1:7">
      <c r="A11" s="8">
        <v>10030</v>
      </c>
      <c r="B11" s="9" t="s">
        <v>1209</v>
      </c>
      <c r="C11" s="10" t="s">
        <v>248</v>
      </c>
      <c r="D11" s="10" t="s">
        <v>1196</v>
      </c>
      <c r="E11" s="10" t="s">
        <v>1210</v>
      </c>
      <c r="F11" s="10" t="s">
        <v>1198</v>
      </c>
      <c r="G11" s="10" t="s">
        <v>1199</v>
      </c>
    </row>
    <row r="12" spans="1:7">
      <c r="A12" s="8">
        <v>10033</v>
      </c>
      <c r="B12" s="9" t="s">
        <v>1211</v>
      </c>
      <c r="C12" s="10" t="s">
        <v>122</v>
      </c>
      <c r="D12" s="10" t="s">
        <v>1196</v>
      </c>
      <c r="E12" s="10" t="s">
        <v>1210</v>
      </c>
      <c r="F12" s="10" t="s">
        <v>1198</v>
      </c>
      <c r="G12" s="10" t="s">
        <v>1199</v>
      </c>
    </row>
    <row r="13" spans="1:7">
      <c r="A13" s="8">
        <v>10036</v>
      </c>
      <c r="B13" s="9" t="s">
        <v>1212</v>
      </c>
      <c r="C13" s="10" t="s">
        <v>29</v>
      </c>
      <c r="D13" s="10" t="s">
        <v>1196</v>
      </c>
      <c r="E13" s="10" t="s">
        <v>1210</v>
      </c>
      <c r="F13" s="10" t="s">
        <v>1198</v>
      </c>
      <c r="G13" s="10" t="s">
        <v>1199</v>
      </c>
    </row>
    <row r="14" spans="1:7">
      <c r="A14" s="8">
        <v>10040</v>
      </c>
      <c r="B14" s="9" t="s">
        <v>1213</v>
      </c>
      <c r="C14" s="10" t="s">
        <v>248</v>
      </c>
      <c r="D14" s="10" t="s">
        <v>1196</v>
      </c>
      <c r="E14" s="10" t="s">
        <v>1210</v>
      </c>
      <c r="F14" s="10" t="s">
        <v>1198</v>
      </c>
      <c r="G14" s="10" t="s">
        <v>1199</v>
      </c>
    </row>
    <row r="15" spans="1:7">
      <c r="A15" s="8">
        <v>10043</v>
      </c>
      <c r="B15" s="9" t="s">
        <v>1214</v>
      </c>
      <c r="C15" s="10" t="s">
        <v>122</v>
      </c>
      <c r="D15" s="10" t="s">
        <v>1196</v>
      </c>
      <c r="E15" s="10" t="s">
        <v>1210</v>
      </c>
      <c r="F15" s="10" t="s">
        <v>1198</v>
      </c>
      <c r="G15" s="10" t="s">
        <v>1199</v>
      </c>
    </row>
    <row r="16" spans="1:7">
      <c r="A16" s="8">
        <v>10046</v>
      </c>
      <c r="B16" s="9" t="s">
        <v>1215</v>
      </c>
      <c r="C16" s="10" t="s">
        <v>29</v>
      </c>
      <c r="D16" s="10" t="s">
        <v>1196</v>
      </c>
      <c r="E16" s="10" t="s">
        <v>1210</v>
      </c>
      <c r="F16" s="10" t="s">
        <v>1198</v>
      </c>
      <c r="G16" s="10" t="s">
        <v>1199</v>
      </c>
    </row>
    <row r="17" spans="1:7">
      <c r="A17" s="8">
        <v>10050</v>
      </c>
      <c r="B17" s="9" t="s">
        <v>1216</v>
      </c>
      <c r="C17" s="10" t="s">
        <v>248</v>
      </c>
      <c r="D17" s="10" t="s">
        <v>1196</v>
      </c>
      <c r="E17" s="10" t="s">
        <v>1210</v>
      </c>
      <c r="F17" s="10" t="s">
        <v>1198</v>
      </c>
      <c r="G17" s="10" t="s">
        <v>1199</v>
      </c>
    </row>
    <row r="18" spans="1:7">
      <c r="A18" s="8">
        <v>10053</v>
      </c>
      <c r="B18" s="9" t="s">
        <v>1217</v>
      </c>
      <c r="C18" s="10" t="s">
        <v>122</v>
      </c>
      <c r="D18" s="10" t="s">
        <v>1196</v>
      </c>
      <c r="E18" s="10" t="s">
        <v>1210</v>
      </c>
      <c r="F18" s="10" t="s">
        <v>1198</v>
      </c>
      <c r="G18" s="10" t="s">
        <v>1199</v>
      </c>
    </row>
    <row r="19" spans="1:7">
      <c r="A19" s="8">
        <v>10056</v>
      </c>
      <c r="B19" s="9" t="s">
        <v>1218</v>
      </c>
      <c r="C19" s="10" t="s">
        <v>29</v>
      </c>
      <c r="D19" s="10" t="s">
        <v>1196</v>
      </c>
      <c r="E19" s="10" t="s">
        <v>1210</v>
      </c>
      <c r="F19" s="10" t="s">
        <v>1198</v>
      </c>
      <c r="G19" s="10" t="s">
        <v>1199</v>
      </c>
    </row>
    <row r="20" spans="1:7">
      <c r="A20" s="8">
        <v>10060</v>
      </c>
      <c r="B20" s="9" t="s">
        <v>1219</v>
      </c>
      <c r="C20" s="10" t="s">
        <v>248</v>
      </c>
      <c r="D20" s="10" t="s">
        <v>1196</v>
      </c>
      <c r="E20" s="10" t="s">
        <v>1210</v>
      </c>
      <c r="F20" s="10" t="s">
        <v>1198</v>
      </c>
      <c r="G20" s="10" t="s">
        <v>1199</v>
      </c>
    </row>
    <row r="21" spans="1:7">
      <c r="A21" s="8">
        <v>10063</v>
      </c>
      <c r="B21" s="9" t="s">
        <v>1220</v>
      </c>
      <c r="C21" s="10" t="s">
        <v>122</v>
      </c>
      <c r="D21" s="10" t="s">
        <v>1196</v>
      </c>
      <c r="E21" s="10" t="s">
        <v>1210</v>
      </c>
      <c r="F21" s="10" t="s">
        <v>1198</v>
      </c>
      <c r="G21" s="10" t="s">
        <v>1199</v>
      </c>
    </row>
    <row r="22" spans="1:7">
      <c r="A22" s="8">
        <v>10066</v>
      </c>
      <c r="B22" s="9" t="s">
        <v>1221</v>
      </c>
      <c r="C22" s="10" t="s">
        <v>29</v>
      </c>
      <c r="D22" s="10" t="s">
        <v>1196</v>
      </c>
      <c r="E22" s="10" t="s">
        <v>1210</v>
      </c>
      <c r="F22" s="10" t="s">
        <v>1198</v>
      </c>
      <c r="G22" s="10" t="s">
        <v>1199</v>
      </c>
    </row>
    <row r="23" spans="1:7">
      <c r="A23" s="8">
        <v>10070</v>
      </c>
      <c r="B23" s="9" t="s">
        <v>1222</v>
      </c>
      <c r="C23" s="10" t="s">
        <v>248</v>
      </c>
      <c r="D23" s="10" t="s">
        <v>1196</v>
      </c>
      <c r="E23" s="10" t="s">
        <v>1210</v>
      </c>
      <c r="F23" s="10" t="s">
        <v>1198</v>
      </c>
      <c r="G23" s="10" t="s">
        <v>1199</v>
      </c>
    </row>
    <row r="24" spans="1:7">
      <c r="A24" s="8">
        <v>10073</v>
      </c>
      <c r="B24" s="9" t="s">
        <v>1223</v>
      </c>
      <c r="C24" s="10" t="s">
        <v>122</v>
      </c>
      <c r="D24" s="10" t="s">
        <v>1196</v>
      </c>
      <c r="E24" s="10" t="s">
        <v>1210</v>
      </c>
      <c r="F24" s="10" t="s">
        <v>1198</v>
      </c>
      <c r="G24" s="10" t="s">
        <v>1199</v>
      </c>
    </row>
    <row r="25" spans="1:7">
      <c r="A25" s="8">
        <v>10076</v>
      </c>
      <c r="B25" s="9" t="s">
        <v>1224</v>
      </c>
      <c r="C25" s="10" t="s">
        <v>29</v>
      </c>
      <c r="D25" s="10" t="s">
        <v>1196</v>
      </c>
      <c r="E25" s="10" t="s">
        <v>1210</v>
      </c>
      <c r="F25" s="10" t="s">
        <v>1198</v>
      </c>
      <c r="G25" s="10" t="s">
        <v>1199</v>
      </c>
    </row>
    <row r="26" spans="1:7">
      <c r="A26" s="8">
        <v>10080</v>
      </c>
      <c r="B26" s="9" t="s">
        <v>1225</v>
      </c>
      <c r="C26" s="10" t="s">
        <v>248</v>
      </c>
      <c r="D26" s="10" t="s">
        <v>1196</v>
      </c>
      <c r="E26" s="10" t="s">
        <v>1210</v>
      </c>
      <c r="F26" s="10" t="s">
        <v>1198</v>
      </c>
      <c r="G26" s="10" t="s">
        <v>1199</v>
      </c>
    </row>
    <row r="27" spans="1:7">
      <c r="A27" s="8">
        <v>10083</v>
      </c>
      <c r="B27" s="9" t="s">
        <v>1226</v>
      </c>
      <c r="C27" s="10" t="s">
        <v>122</v>
      </c>
      <c r="D27" s="10" t="s">
        <v>1196</v>
      </c>
      <c r="E27" s="10" t="s">
        <v>1210</v>
      </c>
      <c r="F27" s="10" t="s">
        <v>1198</v>
      </c>
      <c r="G27" s="10" t="s">
        <v>1199</v>
      </c>
    </row>
    <row r="28" spans="1:7">
      <c r="A28" s="8">
        <v>10086</v>
      </c>
      <c r="B28" s="9" t="s">
        <v>1227</v>
      </c>
      <c r="C28" s="10" t="s">
        <v>29</v>
      </c>
      <c r="D28" s="10" t="s">
        <v>1196</v>
      </c>
      <c r="E28" s="10" t="s">
        <v>1210</v>
      </c>
      <c r="F28" s="10" t="s">
        <v>1198</v>
      </c>
      <c r="G28" s="10" t="s">
        <v>1199</v>
      </c>
    </row>
    <row r="29" spans="1:7">
      <c r="A29" s="8">
        <v>10090</v>
      </c>
      <c r="B29" s="9" t="s">
        <v>1228</v>
      </c>
      <c r="C29" s="10" t="s">
        <v>248</v>
      </c>
      <c r="D29" s="10" t="s">
        <v>1196</v>
      </c>
      <c r="E29" s="10" t="s">
        <v>1210</v>
      </c>
      <c r="F29" s="10" t="s">
        <v>1198</v>
      </c>
      <c r="G29" s="10" t="s">
        <v>1199</v>
      </c>
    </row>
    <row r="30" spans="1:7">
      <c r="A30" s="8">
        <v>10093</v>
      </c>
      <c r="B30" s="9" t="s">
        <v>1229</v>
      </c>
      <c r="C30" s="10" t="s">
        <v>122</v>
      </c>
      <c r="D30" s="10" t="s">
        <v>1196</v>
      </c>
      <c r="E30" s="10" t="s">
        <v>1210</v>
      </c>
      <c r="F30" s="10" t="s">
        <v>1198</v>
      </c>
      <c r="G30" s="10" t="s">
        <v>1199</v>
      </c>
    </row>
    <row r="31" spans="1:7">
      <c r="A31" s="8">
        <v>10096</v>
      </c>
      <c r="B31" s="9" t="s">
        <v>1230</v>
      </c>
      <c r="C31" s="10" t="s">
        <v>29</v>
      </c>
      <c r="D31" s="10" t="s">
        <v>1196</v>
      </c>
      <c r="E31" s="10" t="s">
        <v>1210</v>
      </c>
      <c r="F31" s="10" t="s">
        <v>1198</v>
      </c>
      <c r="G31" s="10" t="s">
        <v>1199</v>
      </c>
    </row>
    <row r="32" spans="1:7">
      <c r="A32" s="8">
        <v>10100</v>
      </c>
      <c r="B32" s="9" t="s">
        <v>1231</v>
      </c>
      <c r="C32" s="10" t="s">
        <v>248</v>
      </c>
      <c r="D32" s="10" t="s">
        <v>1196</v>
      </c>
      <c r="E32" s="10" t="s">
        <v>1210</v>
      </c>
      <c r="F32" s="10" t="s">
        <v>1198</v>
      </c>
      <c r="G32" s="10" t="s">
        <v>1199</v>
      </c>
    </row>
    <row r="33" spans="1:7">
      <c r="A33" s="8">
        <v>10103</v>
      </c>
      <c r="B33" s="9" t="s">
        <v>1232</v>
      </c>
      <c r="C33" s="10" t="s">
        <v>122</v>
      </c>
      <c r="D33" s="10" t="s">
        <v>1196</v>
      </c>
      <c r="E33" s="10" t="s">
        <v>1210</v>
      </c>
      <c r="F33" s="10" t="s">
        <v>1198</v>
      </c>
      <c r="G33" s="10" t="s">
        <v>1199</v>
      </c>
    </row>
    <row r="34" spans="1:7">
      <c r="A34" s="8">
        <v>10106</v>
      </c>
      <c r="B34" s="9" t="s">
        <v>1233</v>
      </c>
      <c r="C34" s="10" t="s">
        <v>29</v>
      </c>
      <c r="D34" s="10" t="s">
        <v>1196</v>
      </c>
      <c r="E34" s="10" t="s">
        <v>1210</v>
      </c>
      <c r="F34" s="10" t="s">
        <v>1198</v>
      </c>
      <c r="G34" s="10" t="s">
        <v>1199</v>
      </c>
    </row>
    <row r="35" spans="1:7">
      <c r="A35" s="8">
        <v>10110</v>
      </c>
      <c r="B35" s="9" t="s">
        <v>1234</v>
      </c>
      <c r="C35" s="10" t="s">
        <v>248</v>
      </c>
      <c r="D35" s="10" t="s">
        <v>1196</v>
      </c>
      <c r="E35" s="10" t="s">
        <v>1210</v>
      </c>
      <c r="F35" s="10" t="s">
        <v>1198</v>
      </c>
      <c r="G35" s="10" t="s">
        <v>1199</v>
      </c>
    </row>
    <row r="36" spans="1:7">
      <c r="A36" s="8">
        <v>10113</v>
      </c>
      <c r="B36" s="9" t="s">
        <v>1235</v>
      </c>
      <c r="C36" s="10" t="s">
        <v>122</v>
      </c>
      <c r="D36" s="10" t="s">
        <v>1196</v>
      </c>
      <c r="E36" s="10" t="s">
        <v>1210</v>
      </c>
      <c r="F36" s="10" t="s">
        <v>1198</v>
      </c>
      <c r="G36" s="10" t="s">
        <v>1199</v>
      </c>
    </row>
    <row r="37" spans="1:7">
      <c r="A37" s="8">
        <v>10119</v>
      </c>
      <c r="B37" s="9" t="s">
        <v>1236</v>
      </c>
      <c r="C37" s="10" t="s">
        <v>29</v>
      </c>
      <c r="D37" s="10" t="s">
        <v>1196</v>
      </c>
      <c r="E37" s="10" t="s">
        <v>1210</v>
      </c>
      <c r="F37" s="10" t="s">
        <v>1198</v>
      </c>
      <c r="G37" s="10" t="s">
        <v>1199</v>
      </c>
    </row>
    <row r="38" spans="1:7">
      <c r="A38" s="8">
        <v>12010</v>
      </c>
      <c r="B38" s="9" t="s">
        <v>1237</v>
      </c>
      <c r="C38" s="10" t="s">
        <v>248</v>
      </c>
      <c r="D38" s="10" t="s">
        <v>1238</v>
      </c>
      <c r="E38" s="10" t="s">
        <v>1239</v>
      </c>
      <c r="F38" s="10" t="s">
        <v>1198</v>
      </c>
      <c r="G38" s="10" t="s">
        <v>1199</v>
      </c>
    </row>
    <row r="39" spans="1:7">
      <c r="A39" s="8">
        <v>12013</v>
      </c>
      <c r="B39" s="9" t="s">
        <v>1240</v>
      </c>
      <c r="C39" s="10" t="s">
        <v>122</v>
      </c>
      <c r="D39" s="10" t="s">
        <v>1238</v>
      </c>
      <c r="E39" s="10" t="s">
        <v>1239</v>
      </c>
      <c r="F39" s="10" t="s">
        <v>1198</v>
      </c>
      <c r="G39" s="10" t="s">
        <v>1199</v>
      </c>
    </row>
    <row r="40" spans="1:7">
      <c r="A40" s="8">
        <v>12016</v>
      </c>
      <c r="B40" s="9" t="s">
        <v>1241</v>
      </c>
      <c r="C40" s="10" t="s">
        <v>29</v>
      </c>
      <c r="D40" s="10" t="s">
        <v>1238</v>
      </c>
      <c r="E40" s="10" t="s">
        <v>1239</v>
      </c>
      <c r="F40" s="10" t="s">
        <v>1198</v>
      </c>
      <c r="G40" s="10" t="s">
        <v>1199</v>
      </c>
    </row>
    <row r="41" spans="1:7">
      <c r="A41" s="8">
        <v>12020</v>
      </c>
      <c r="B41" s="9" t="s">
        <v>1242</v>
      </c>
      <c r="C41" s="10" t="s">
        <v>248</v>
      </c>
      <c r="D41" s="10" t="s">
        <v>1238</v>
      </c>
      <c r="E41" s="10" t="s">
        <v>1239</v>
      </c>
      <c r="F41" s="10" t="s">
        <v>1198</v>
      </c>
      <c r="G41" s="10" t="s">
        <v>1199</v>
      </c>
    </row>
    <row r="42" spans="1:7">
      <c r="A42" s="8">
        <v>12023</v>
      </c>
      <c r="B42" s="9" t="s">
        <v>1243</v>
      </c>
      <c r="C42" s="10" t="s">
        <v>122</v>
      </c>
      <c r="D42" s="10" t="s">
        <v>1238</v>
      </c>
      <c r="E42" s="10" t="s">
        <v>1239</v>
      </c>
      <c r="F42" s="10" t="s">
        <v>1198</v>
      </c>
      <c r="G42" s="10" t="s">
        <v>1199</v>
      </c>
    </row>
    <row r="43" spans="1:7">
      <c r="A43" s="8">
        <v>12026</v>
      </c>
      <c r="B43" s="9" t="s">
        <v>1244</v>
      </c>
      <c r="C43" s="10" t="s">
        <v>29</v>
      </c>
      <c r="D43" s="10" t="s">
        <v>1238</v>
      </c>
      <c r="E43" s="10" t="s">
        <v>1239</v>
      </c>
      <c r="F43" s="10" t="s">
        <v>1198</v>
      </c>
      <c r="G43" s="10" t="s">
        <v>1199</v>
      </c>
    </row>
    <row r="44" spans="1:7">
      <c r="A44" s="8">
        <v>12030</v>
      </c>
      <c r="B44" s="9" t="s">
        <v>1245</v>
      </c>
      <c r="C44" s="10" t="s">
        <v>248</v>
      </c>
      <c r="D44" s="10" t="s">
        <v>1238</v>
      </c>
      <c r="E44" s="10" t="s">
        <v>1239</v>
      </c>
      <c r="F44" s="10" t="s">
        <v>1198</v>
      </c>
      <c r="G44" s="10" t="s">
        <v>1199</v>
      </c>
    </row>
    <row r="45" spans="1:7">
      <c r="A45" s="8">
        <v>12040</v>
      </c>
      <c r="B45" s="9" t="s">
        <v>1246</v>
      </c>
      <c r="C45" s="10" t="s">
        <v>248</v>
      </c>
      <c r="D45" s="10" t="s">
        <v>1238</v>
      </c>
      <c r="E45" s="10" t="s">
        <v>1247</v>
      </c>
      <c r="F45" s="10" t="s">
        <v>1198</v>
      </c>
      <c r="G45" s="10" t="s">
        <v>1199</v>
      </c>
    </row>
    <row r="46" spans="1:7">
      <c r="A46" s="8">
        <v>12043</v>
      </c>
      <c r="B46" s="9" t="s">
        <v>1248</v>
      </c>
      <c r="C46" s="10" t="s">
        <v>122</v>
      </c>
      <c r="D46" s="10" t="s">
        <v>1238</v>
      </c>
      <c r="E46" s="10" t="s">
        <v>1247</v>
      </c>
      <c r="F46" s="10" t="s">
        <v>1198</v>
      </c>
      <c r="G46" s="10" t="s">
        <v>1199</v>
      </c>
    </row>
    <row r="47" spans="1:7">
      <c r="A47" s="8">
        <v>12046</v>
      </c>
      <c r="B47" s="9" t="s">
        <v>1249</v>
      </c>
      <c r="C47" s="10" t="s">
        <v>29</v>
      </c>
      <c r="D47" s="10" t="s">
        <v>1238</v>
      </c>
      <c r="E47" s="10" t="s">
        <v>1247</v>
      </c>
      <c r="F47" s="10" t="s">
        <v>1198</v>
      </c>
      <c r="G47" s="10" t="s">
        <v>1199</v>
      </c>
    </row>
    <row r="48" spans="1:7">
      <c r="A48" s="8">
        <v>12056</v>
      </c>
      <c r="B48" s="9" t="s">
        <v>1250</v>
      </c>
      <c r="C48" s="10" t="s">
        <v>29</v>
      </c>
      <c r="D48" s="10" t="s">
        <v>1251</v>
      </c>
      <c r="E48" s="10" t="s">
        <v>1252</v>
      </c>
      <c r="F48" s="10" t="s">
        <v>1198</v>
      </c>
      <c r="G48" s="10" t="s">
        <v>1199</v>
      </c>
    </row>
    <row r="49" spans="1:7">
      <c r="A49" s="8">
        <v>12070</v>
      </c>
      <c r="B49" s="9" t="s">
        <v>1253</v>
      </c>
      <c r="C49" s="10" t="s">
        <v>248</v>
      </c>
      <c r="D49" s="10" t="s">
        <v>1251</v>
      </c>
      <c r="E49" s="10" t="s">
        <v>1254</v>
      </c>
      <c r="F49" s="10" t="s">
        <v>1198</v>
      </c>
      <c r="G49" s="10" t="s">
        <v>1199</v>
      </c>
    </row>
    <row r="50" spans="1:7">
      <c r="A50" s="8">
        <v>12073</v>
      </c>
      <c r="B50" s="9" t="s">
        <v>1255</v>
      </c>
      <c r="C50" s="10" t="s">
        <v>122</v>
      </c>
      <c r="D50" s="10" t="s">
        <v>1251</v>
      </c>
      <c r="E50" s="10" t="s">
        <v>1254</v>
      </c>
      <c r="F50" s="10" t="s">
        <v>1198</v>
      </c>
      <c r="G50" s="10" t="s">
        <v>1199</v>
      </c>
    </row>
    <row r="51" spans="1:7">
      <c r="A51" s="8">
        <v>12076</v>
      </c>
      <c r="B51" s="9" t="s">
        <v>1256</v>
      </c>
      <c r="C51" s="10" t="s">
        <v>29</v>
      </c>
      <c r="D51" s="10" t="s">
        <v>1251</v>
      </c>
      <c r="E51" s="10" t="s">
        <v>1254</v>
      </c>
      <c r="F51" s="10" t="s">
        <v>1198</v>
      </c>
      <c r="G51" s="10" t="s">
        <v>1199</v>
      </c>
    </row>
    <row r="52" spans="1:7">
      <c r="A52" s="8">
        <v>12100</v>
      </c>
      <c r="B52" s="9" t="s">
        <v>1257</v>
      </c>
      <c r="C52" s="10" t="s">
        <v>248</v>
      </c>
      <c r="D52" s="10" t="s">
        <v>1251</v>
      </c>
      <c r="E52" s="10" t="s">
        <v>1258</v>
      </c>
      <c r="F52" s="10" t="s">
        <v>1198</v>
      </c>
      <c r="G52" s="10" t="s">
        <v>1199</v>
      </c>
    </row>
    <row r="53" spans="1:7">
      <c r="A53" s="8">
        <v>12103</v>
      </c>
      <c r="B53" s="9" t="s">
        <v>1259</v>
      </c>
      <c r="C53" s="10" t="s">
        <v>122</v>
      </c>
      <c r="D53" s="10" t="s">
        <v>1251</v>
      </c>
      <c r="E53" s="10" t="s">
        <v>1258</v>
      </c>
      <c r="F53" s="10" t="s">
        <v>1198</v>
      </c>
      <c r="G53" s="10" t="s">
        <v>1199</v>
      </c>
    </row>
    <row r="54" spans="1:7">
      <c r="A54" s="8">
        <v>12106</v>
      </c>
      <c r="B54" s="9" t="s">
        <v>1260</v>
      </c>
      <c r="C54" s="10" t="s">
        <v>29</v>
      </c>
      <c r="D54" s="10" t="s">
        <v>1251</v>
      </c>
      <c r="E54" s="10" t="s">
        <v>1258</v>
      </c>
      <c r="F54" s="10" t="s">
        <v>1198</v>
      </c>
      <c r="G54" s="10" t="s">
        <v>1199</v>
      </c>
    </row>
    <row r="55" spans="1:7">
      <c r="A55" s="8">
        <v>15000</v>
      </c>
      <c r="B55" s="9" t="s">
        <v>1261</v>
      </c>
      <c r="C55" s="10" t="s">
        <v>248</v>
      </c>
      <c r="D55" s="10" t="s">
        <v>1251</v>
      </c>
      <c r="E55" s="10" t="s">
        <v>1262</v>
      </c>
      <c r="F55" s="10" t="s">
        <v>1198</v>
      </c>
      <c r="G55" s="10" t="s">
        <v>1199</v>
      </c>
    </row>
    <row r="56" spans="1:7">
      <c r="A56" s="8">
        <v>15500</v>
      </c>
      <c r="B56" s="9" t="s">
        <v>1263</v>
      </c>
      <c r="C56" s="10" t="s">
        <v>248</v>
      </c>
      <c r="D56" s="10" t="s">
        <v>1251</v>
      </c>
      <c r="E56" s="10" t="s">
        <v>1262</v>
      </c>
      <c r="F56" s="10" t="s">
        <v>1198</v>
      </c>
      <c r="G56" s="10" t="s">
        <v>1199</v>
      </c>
    </row>
    <row r="57" spans="1:7">
      <c r="A57" s="8">
        <v>15503</v>
      </c>
      <c r="B57" s="9" t="s">
        <v>1264</v>
      </c>
      <c r="C57" s="10" t="s">
        <v>122</v>
      </c>
      <c r="D57" s="10" t="s">
        <v>1251</v>
      </c>
      <c r="E57" s="10" t="s">
        <v>1262</v>
      </c>
      <c r="F57" s="10" t="s">
        <v>1198</v>
      </c>
      <c r="G57" s="10" t="s">
        <v>1199</v>
      </c>
    </row>
    <row r="58" spans="1:7">
      <c r="A58" s="8">
        <v>15506</v>
      </c>
      <c r="B58" s="9" t="s">
        <v>1265</v>
      </c>
      <c r="C58" s="10" t="s">
        <v>29</v>
      </c>
      <c r="D58" s="10" t="s">
        <v>1251</v>
      </c>
      <c r="E58" s="10" t="s">
        <v>1262</v>
      </c>
      <c r="F58" s="10" t="s">
        <v>1198</v>
      </c>
      <c r="G58" s="10" t="s">
        <v>1199</v>
      </c>
    </row>
    <row r="59" spans="1:7">
      <c r="A59" s="8">
        <v>15510</v>
      </c>
      <c r="B59" s="9" t="s">
        <v>1266</v>
      </c>
      <c r="C59" s="10" t="s">
        <v>248</v>
      </c>
      <c r="D59" s="10" t="s">
        <v>1251</v>
      </c>
      <c r="E59" s="10" t="s">
        <v>1267</v>
      </c>
      <c r="F59" s="10" t="s">
        <v>1198</v>
      </c>
      <c r="G59" s="10" t="s">
        <v>1199</v>
      </c>
    </row>
    <row r="60" spans="1:7">
      <c r="A60" s="8">
        <v>15513</v>
      </c>
      <c r="B60" s="9" t="s">
        <v>1268</v>
      </c>
      <c r="C60" s="10" t="s">
        <v>122</v>
      </c>
      <c r="D60" s="10" t="s">
        <v>1251</v>
      </c>
      <c r="E60" s="10" t="s">
        <v>1267</v>
      </c>
      <c r="F60" s="10" t="s">
        <v>1198</v>
      </c>
      <c r="G60" s="10" t="s">
        <v>1199</v>
      </c>
    </row>
    <row r="61" spans="1:7">
      <c r="A61" s="8">
        <v>15516</v>
      </c>
      <c r="B61" s="9" t="s">
        <v>1269</v>
      </c>
      <c r="C61" s="10" t="s">
        <v>29</v>
      </c>
      <c r="D61" s="10" t="s">
        <v>1251</v>
      </c>
      <c r="E61" s="10" t="s">
        <v>1267</v>
      </c>
      <c r="F61" s="10" t="s">
        <v>1198</v>
      </c>
      <c r="G61" s="10" t="s">
        <v>1199</v>
      </c>
    </row>
    <row r="62" spans="1:7">
      <c r="A62" s="8">
        <v>13000</v>
      </c>
      <c r="B62" s="9" t="s">
        <v>1270</v>
      </c>
      <c r="C62" s="10" t="s">
        <v>248</v>
      </c>
      <c r="D62" s="10" t="s">
        <v>1271</v>
      </c>
      <c r="E62" s="10" t="s">
        <v>1272</v>
      </c>
      <c r="F62" s="10" t="s">
        <v>1198</v>
      </c>
      <c r="G62" s="10" t="s">
        <v>1199</v>
      </c>
    </row>
    <row r="63" spans="1:7">
      <c r="A63" s="8">
        <v>13010</v>
      </c>
      <c r="B63" s="9" t="s">
        <v>1273</v>
      </c>
      <c r="C63" s="10" t="s">
        <v>248</v>
      </c>
      <c r="D63" s="10" t="s">
        <v>1271</v>
      </c>
      <c r="E63" s="10" t="s">
        <v>1272</v>
      </c>
      <c r="F63" s="10" t="s">
        <v>1198</v>
      </c>
      <c r="G63" s="10" t="s">
        <v>1199</v>
      </c>
    </row>
    <row r="64" spans="1:7">
      <c r="A64" s="8">
        <v>13012</v>
      </c>
      <c r="B64" s="9" t="s">
        <v>1274</v>
      </c>
      <c r="C64" s="10" t="s">
        <v>248</v>
      </c>
      <c r="D64" s="10" t="s">
        <v>1271</v>
      </c>
      <c r="E64" s="10" t="s">
        <v>1272</v>
      </c>
      <c r="F64" s="10" t="s">
        <v>1198</v>
      </c>
      <c r="G64" s="10" t="s">
        <v>1199</v>
      </c>
    </row>
    <row r="65" spans="1:7">
      <c r="A65" s="8">
        <v>13020</v>
      </c>
      <c r="B65" s="9" t="s">
        <v>1275</v>
      </c>
      <c r="C65" s="10" t="s">
        <v>248</v>
      </c>
      <c r="D65" s="10" t="s">
        <v>1271</v>
      </c>
      <c r="E65" s="10" t="s">
        <v>1272</v>
      </c>
      <c r="F65" s="10" t="s">
        <v>1198</v>
      </c>
      <c r="G65" s="10" t="s">
        <v>1199</v>
      </c>
    </row>
    <row r="66" spans="1:7">
      <c r="A66" s="8">
        <v>13030</v>
      </c>
      <c r="B66" s="9" t="s">
        <v>1276</v>
      </c>
      <c r="C66" s="10" t="s">
        <v>248</v>
      </c>
      <c r="D66" s="10" t="s">
        <v>1271</v>
      </c>
      <c r="E66" s="10" t="s">
        <v>1272</v>
      </c>
      <c r="F66" s="10" t="s">
        <v>1198</v>
      </c>
      <c r="G66" s="10" t="s">
        <v>1199</v>
      </c>
    </row>
    <row r="67" spans="1:7">
      <c r="A67" s="8">
        <v>13040</v>
      </c>
      <c r="B67" s="9" t="s">
        <v>1277</v>
      </c>
      <c r="C67" s="10" t="s">
        <v>248</v>
      </c>
      <c r="D67" s="10" t="s">
        <v>1271</v>
      </c>
      <c r="E67" s="10" t="s">
        <v>1272</v>
      </c>
      <c r="F67" s="10" t="s">
        <v>1198</v>
      </c>
      <c r="G67" s="10" t="s">
        <v>1199</v>
      </c>
    </row>
    <row r="68" spans="1:7">
      <c r="A68" s="8">
        <v>13053</v>
      </c>
      <c r="B68" s="9" t="s">
        <v>1278</v>
      </c>
      <c r="C68" s="10" t="s">
        <v>122</v>
      </c>
      <c r="D68" s="10" t="s">
        <v>1271</v>
      </c>
      <c r="E68" s="10" t="s">
        <v>1272</v>
      </c>
      <c r="F68" s="10" t="s">
        <v>1198</v>
      </c>
      <c r="G68" s="10" t="s">
        <v>1199</v>
      </c>
    </row>
    <row r="69" spans="1:7">
      <c r="A69" s="8">
        <v>13066</v>
      </c>
      <c r="B69" s="9" t="s">
        <v>1279</v>
      </c>
      <c r="C69" s="10" t="s">
        <v>29</v>
      </c>
      <c r="D69" s="10" t="s">
        <v>1271</v>
      </c>
      <c r="E69" s="10" t="s">
        <v>1272</v>
      </c>
      <c r="F69" s="10" t="s">
        <v>1198</v>
      </c>
      <c r="G69" s="10" t="s">
        <v>1199</v>
      </c>
    </row>
    <row r="70" spans="1:7">
      <c r="A70" s="8">
        <v>13073</v>
      </c>
      <c r="B70" s="9" t="s">
        <v>1280</v>
      </c>
      <c r="C70" s="10" t="s">
        <v>122</v>
      </c>
      <c r="D70" s="10" t="s">
        <v>1271</v>
      </c>
      <c r="E70" s="10" t="s">
        <v>1272</v>
      </c>
      <c r="F70" s="10" t="s">
        <v>1198</v>
      </c>
      <c r="G70" s="10" t="s">
        <v>1199</v>
      </c>
    </row>
    <row r="71" spans="1:7">
      <c r="A71" s="8">
        <v>13080</v>
      </c>
      <c r="B71" s="9" t="s">
        <v>1281</v>
      </c>
      <c r="C71" s="10" t="s">
        <v>248</v>
      </c>
      <c r="D71" s="10" t="s">
        <v>1271</v>
      </c>
      <c r="E71" s="10" t="s">
        <v>1272</v>
      </c>
      <c r="F71" s="10" t="s">
        <v>1198</v>
      </c>
      <c r="G71" s="10" t="s">
        <v>1199</v>
      </c>
    </row>
    <row r="72" spans="1:7">
      <c r="A72" s="8">
        <v>13093</v>
      </c>
      <c r="B72" s="9" t="s">
        <v>1282</v>
      </c>
      <c r="C72" s="10" t="s">
        <v>122</v>
      </c>
      <c r="D72" s="10" t="s">
        <v>1271</v>
      </c>
      <c r="E72" s="10" t="s">
        <v>1272</v>
      </c>
      <c r="F72" s="10" t="s">
        <v>1198</v>
      </c>
      <c r="G72" s="10" t="s">
        <v>1199</v>
      </c>
    </row>
    <row r="73" spans="1:7">
      <c r="A73" s="8">
        <v>14000</v>
      </c>
      <c r="B73" s="9" t="s">
        <v>1283</v>
      </c>
      <c r="C73" s="10" t="s">
        <v>248</v>
      </c>
      <c r="D73" s="10" t="s">
        <v>1284</v>
      </c>
      <c r="E73" s="10" t="s">
        <v>1285</v>
      </c>
      <c r="F73" s="10" t="s">
        <v>1198</v>
      </c>
      <c r="G73" s="10" t="s">
        <v>1199</v>
      </c>
    </row>
    <row r="74" spans="1:7">
      <c r="A74" s="8">
        <v>14003</v>
      </c>
      <c r="B74" s="9" t="s">
        <v>1286</v>
      </c>
      <c r="C74" s="10" t="s">
        <v>122</v>
      </c>
      <c r="D74" s="10" t="s">
        <v>1284</v>
      </c>
      <c r="E74" s="10" t="s">
        <v>1285</v>
      </c>
      <c r="F74" s="10" t="s">
        <v>1198</v>
      </c>
      <c r="G74" s="10" t="s">
        <v>1199</v>
      </c>
    </row>
    <row r="75" spans="1:7">
      <c r="A75" s="8">
        <v>14010</v>
      </c>
      <c r="B75" s="9" t="s">
        <v>1287</v>
      </c>
      <c r="C75" s="10" t="s">
        <v>248</v>
      </c>
      <c r="D75" s="10" t="s">
        <v>1284</v>
      </c>
      <c r="E75" s="10" t="s">
        <v>1285</v>
      </c>
      <c r="F75" s="10" t="s">
        <v>1198</v>
      </c>
      <c r="G75" s="10" t="s">
        <v>1199</v>
      </c>
    </row>
    <row r="76" spans="1:7">
      <c r="A76" s="8">
        <v>14013</v>
      </c>
      <c r="B76" s="9" t="s">
        <v>1288</v>
      </c>
      <c r="C76" s="10" t="s">
        <v>122</v>
      </c>
      <c r="D76" s="10" t="s">
        <v>1284</v>
      </c>
      <c r="E76" s="10" t="s">
        <v>1285</v>
      </c>
      <c r="F76" s="10" t="s">
        <v>1198</v>
      </c>
      <c r="G76" s="10" t="s">
        <v>1199</v>
      </c>
    </row>
    <row r="77" spans="1:7">
      <c r="A77" s="8">
        <v>14020</v>
      </c>
      <c r="B77" s="9" t="s">
        <v>1289</v>
      </c>
      <c r="C77" s="10" t="s">
        <v>248</v>
      </c>
      <c r="D77" s="10" t="s">
        <v>1284</v>
      </c>
      <c r="E77" s="10" t="s">
        <v>1285</v>
      </c>
      <c r="F77" s="10" t="s">
        <v>1198</v>
      </c>
      <c r="G77" s="10" t="s">
        <v>1199</v>
      </c>
    </row>
    <row r="78" spans="1:7">
      <c r="A78" s="8">
        <v>14023</v>
      </c>
      <c r="B78" s="9" t="s">
        <v>1290</v>
      </c>
      <c r="C78" s="10" t="s">
        <v>122</v>
      </c>
      <c r="D78" s="10" t="s">
        <v>1284</v>
      </c>
      <c r="E78" s="10" t="s">
        <v>1285</v>
      </c>
      <c r="F78" s="10" t="s">
        <v>1198</v>
      </c>
      <c r="G78" s="10" t="s">
        <v>1199</v>
      </c>
    </row>
    <row r="79" spans="1:7">
      <c r="A79" s="8">
        <v>14030</v>
      </c>
      <c r="B79" s="9" t="s">
        <v>1291</v>
      </c>
      <c r="C79" s="10" t="s">
        <v>248</v>
      </c>
      <c r="D79" s="10" t="s">
        <v>1284</v>
      </c>
      <c r="E79" s="10" t="s">
        <v>1285</v>
      </c>
      <c r="F79" s="10" t="s">
        <v>1198</v>
      </c>
      <c r="G79" s="10" t="s">
        <v>1199</v>
      </c>
    </row>
    <row r="80" spans="1:7">
      <c r="A80" s="8">
        <v>14033</v>
      </c>
      <c r="B80" s="9" t="s">
        <v>1292</v>
      </c>
      <c r="C80" s="10" t="s">
        <v>122</v>
      </c>
      <c r="D80" s="10" t="s">
        <v>1284</v>
      </c>
      <c r="E80" s="10" t="s">
        <v>1285</v>
      </c>
      <c r="F80" s="10" t="s">
        <v>1198</v>
      </c>
      <c r="G80" s="10" t="s">
        <v>1199</v>
      </c>
    </row>
    <row r="81" spans="1:7">
      <c r="A81" s="8">
        <v>14036</v>
      </c>
      <c r="B81" s="9" t="s">
        <v>1293</v>
      </c>
      <c r="C81" s="10" t="s">
        <v>29</v>
      </c>
      <c r="D81" s="10" t="s">
        <v>1284</v>
      </c>
      <c r="E81" s="10" t="s">
        <v>1285</v>
      </c>
      <c r="F81" s="10" t="s">
        <v>1198</v>
      </c>
      <c r="G81" s="10" t="s">
        <v>1199</v>
      </c>
    </row>
    <row r="82" spans="1:7">
      <c r="A82" s="8">
        <v>14040</v>
      </c>
      <c r="B82" s="9" t="s">
        <v>1294</v>
      </c>
      <c r="C82" s="10" t="s">
        <v>248</v>
      </c>
      <c r="D82" s="10" t="s">
        <v>1284</v>
      </c>
      <c r="E82" s="10" t="s">
        <v>1285</v>
      </c>
      <c r="F82" s="10" t="s">
        <v>1198</v>
      </c>
      <c r="G82" s="10" t="s">
        <v>1199</v>
      </c>
    </row>
    <row r="83" spans="1:7">
      <c r="A83" s="8">
        <v>14043</v>
      </c>
      <c r="B83" s="9" t="s">
        <v>1295</v>
      </c>
      <c r="C83" s="10" t="s">
        <v>122</v>
      </c>
      <c r="D83" s="10" t="s">
        <v>1284</v>
      </c>
      <c r="E83" s="10" t="s">
        <v>1285</v>
      </c>
      <c r="F83" s="10" t="s">
        <v>1198</v>
      </c>
      <c r="G83" s="10" t="s">
        <v>1199</v>
      </c>
    </row>
    <row r="84" spans="1:7">
      <c r="A84" s="8">
        <v>14046</v>
      </c>
      <c r="B84" s="9" t="s">
        <v>1296</v>
      </c>
      <c r="C84" s="10" t="s">
        <v>29</v>
      </c>
      <c r="D84" s="10" t="s">
        <v>1284</v>
      </c>
      <c r="E84" s="10" t="s">
        <v>1285</v>
      </c>
      <c r="F84" s="10" t="s">
        <v>1198</v>
      </c>
      <c r="G84" s="10" t="s">
        <v>1199</v>
      </c>
    </row>
    <row r="85" spans="1:7">
      <c r="A85" s="8">
        <v>14050</v>
      </c>
      <c r="B85" s="9" t="s">
        <v>1297</v>
      </c>
      <c r="C85" s="10" t="s">
        <v>248</v>
      </c>
      <c r="D85" s="10" t="s">
        <v>1284</v>
      </c>
      <c r="E85" s="10" t="s">
        <v>1285</v>
      </c>
      <c r="F85" s="10" t="s">
        <v>1198</v>
      </c>
      <c r="G85" s="10" t="s">
        <v>1199</v>
      </c>
    </row>
    <row r="86" spans="1:7">
      <c r="A86" s="8">
        <v>14053</v>
      </c>
      <c r="B86" s="9" t="s">
        <v>1298</v>
      </c>
      <c r="C86" s="10" t="s">
        <v>122</v>
      </c>
      <c r="D86" s="10" t="s">
        <v>1284</v>
      </c>
      <c r="E86" s="10" t="s">
        <v>1285</v>
      </c>
      <c r="F86" s="10" t="s">
        <v>1198</v>
      </c>
      <c r="G86" s="10" t="s">
        <v>1199</v>
      </c>
    </row>
    <row r="87" spans="1:7">
      <c r="A87" s="8">
        <v>14506</v>
      </c>
      <c r="B87" s="9" t="s">
        <v>1299</v>
      </c>
      <c r="C87" s="10" t="s">
        <v>29</v>
      </c>
      <c r="D87" s="10" t="s">
        <v>1284</v>
      </c>
      <c r="E87" s="10" t="s">
        <v>1285</v>
      </c>
      <c r="F87" s="10" t="s">
        <v>1198</v>
      </c>
      <c r="G87" s="10" t="s">
        <v>1199</v>
      </c>
    </row>
    <row r="88" spans="1:7">
      <c r="A88" s="8">
        <v>14600</v>
      </c>
      <c r="B88" s="9" t="s">
        <v>1300</v>
      </c>
      <c r="C88" s="10" t="s">
        <v>248</v>
      </c>
      <c r="D88" s="10" t="s">
        <v>1284</v>
      </c>
      <c r="E88" s="10" t="s">
        <v>1285</v>
      </c>
      <c r="F88" s="10" t="s">
        <v>1198</v>
      </c>
      <c r="G88" s="10" t="s">
        <v>1199</v>
      </c>
    </row>
    <row r="89" spans="1:7">
      <c r="A89" s="8">
        <v>14603</v>
      </c>
      <c r="B89" s="9" t="s">
        <v>1301</v>
      </c>
      <c r="C89" s="10" t="s">
        <v>122</v>
      </c>
      <c r="D89" s="10" t="s">
        <v>1284</v>
      </c>
      <c r="E89" s="10" t="s">
        <v>1285</v>
      </c>
      <c r="F89" s="10" t="s">
        <v>1198</v>
      </c>
      <c r="G89" s="10" t="s">
        <v>1199</v>
      </c>
    </row>
    <row r="90" spans="1:7">
      <c r="A90" s="8">
        <v>14606</v>
      </c>
      <c r="B90" s="9" t="s">
        <v>1302</v>
      </c>
      <c r="C90" s="10" t="s">
        <v>29</v>
      </c>
      <c r="D90" s="10" t="s">
        <v>1284</v>
      </c>
      <c r="E90" s="10" t="s">
        <v>1285</v>
      </c>
      <c r="F90" s="10" t="s">
        <v>1198</v>
      </c>
      <c r="G90" s="10" t="s">
        <v>1199</v>
      </c>
    </row>
    <row r="91" spans="1:7">
      <c r="A91" s="8">
        <v>17000</v>
      </c>
      <c r="B91" s="9" t="s">
        <v>1303</v>
      </c>
      <c r="C91" s="10" t="s">
        <v>248</v>
      </c>
      <c r="D91" s="10" t="s">
        <v>1304</v>
      </c>
      <c r="E91" s="10" t="s">
        <v>1305</v>
      </c>
      <c r="F91" s="10" t="s">
        <v>1306</v>
      </c>
      <c r="G91" s="10" t="s">
        <v>1199</v>
      </c>
    </row>
    <row r="92" spans="1:7">
      <c r="A92" s="8">
        <v>17010</v>
      </c>
      <c r="B92" s="9" t="s">
        <v>1307</v>
      </c>
      <c r="C92" s="10" t="s">
        <v>248</v>
      </c>
      <c r="D92" s="10" t="s">
        <v>1304</v>
      </c>
      <c r="E92" s="10" t="s">
        <v>1305</v>
      </c>
      <c r="F92" s="10" t="s">
        <v>1306</v>
      </c>
      <c r="G92" s="10" t="s">
        <v>1199</v>
      </c>
    </row>
    <row r="93" spans="1:7">
      <c r="A93" s="8">
        <v>18503</v>
      </c>
      <c r="B93" s="11" t="s">
        <v>1308</v>
      </c>
      <c r="C93" s="10" t="s">
        <v>122</v>
      </c>
      <c r="D93" s="10" t="s">
        <v>1304</v>
      </c>
      <c r="E93" s="10" t="s">
        <v>1305</v>
      </c>
      <c r="F93" s="10" t="s">
        <v>1306</v>
      </c>
      <c r="G93" s="10" t="s">
        <v>1199</v>
      </c>
    </row>
    <row r="94" spans="1:7">
      <c r="A94" s="8">
        <v>18600</v>
      </c>
      <c r="B94" s="9" t="s">
        <v>1309</v>
      </c>
      <c r="C94" s="10" t="s">
        <v>248</v>
      </c>
      <c r="D94" s="10" t="s">
        <v>1304</v>
      </c>
      <c r="E94" s="10" t="s">
        <v>1305</v>
      </c>
      <c r="F94" s="10" t="s">
        <v>1306</v>
      </c>
      <c r="G94" s="10" t="s">
        <v>1199</v>
      </c>
    </row>
    <row r="95" spans="1:7">
      <c r="A95" s="8">
        <v>18650</v>
      </c>
      <c r="B95" s="9" t="s">
        <v>1310</v>
      </c>
      <c r="C95" s="10" t="s">
        <v>248</v>
      </c>
      <c r="D95" s="10" t="s">
        <v>1304</v>
      </c>
      <c r="E95" s="10" t="s">
        <v>1305</v>
      </c>
      <c r="F95" s="10" t="s">
        <v>1306</v>
      </c>
      <c r="G95" s="10" t="s">
        <v>1199</v>
      </c>
    </row>
    <row r="96" spans="1:7">
      <c r="A96" s="8">
        <v>19000</v>
      </c>
      <c r="B96" s="9" t="s">
        <v>1311</v>
      </c>
      <c r="C96" s="10" t="s">
        <v>248</v>
      </c>
      <c r="D96" s="10" t="s">
        <v>1304</v>
      </c>
      <c r="E96" s="10" t="s">
        <v>1312</v>
      </c>
      <c r="F96" s="10" t="s">
        <v>1306</v>
      </c>
      <c r="G96" s="10" t="s">
        <v>1199</v>
      </c>
    </row>
    <row r="97" spans="1:7">
      <c r="A97" s="8">
        <v>19500</v>
      </c>
      <c r="B97" s="9" t="s">
        <v>1313</v>
      </c>
      <c r="C97" s="10" t="s">
        <v>248</v>
      </c>
      <c r="D97" s="10" t="s">
        <v>1304</v>
      </c>
      <c r="E97" s="10" t="s">
        <v>1312</v>
      </c>
      <c r="F97" s="10" t="s">
        <v>1306</v>
      </c>
      <c r="G97" s="10" t="s">
        <v>1199</v>
      </c>
    </row>
    <row r="98" spans="1:7">
      <c r="A98" s="8">
        <v>19700</v>
      </c>
      <c r="B98" s="9" t="s">
        <v>1314</v>
      </c>
      <c r="C98" s="10" t="s">
        <v>248</v>
      </c>
      <c r="D98" s="10" t="s">
        <v>1304</v>
      </c>
      <c r="E98" s="10" t="s">
        <v>1312</v>
      </c>
      <c r="F98" s="10" t="s">
        <v>1306</v>
      </c>
      <c r="G98" s="10" t="s">
        <v>1199</v>
      </c>
    </row>
    <row r="99" spans="1:7">
      <c r="A99" s="8">
        <v>19750</v>
      </c>
      <c r="B99" s="9" t="s">
        <v>1315</v>
      </c>
      <c r="C99" s="10" t="s">
        <v>248</v>
      </c>
      <c r="D99" s="10" t="s">
        <v>1304</v>
      </c>
      <c r="E99" s="10" t="s">
        <v>1312</v>
      </c>
      <c r="F99" s="10" t="s">
        <v>1306</v>
      </c>
      <c r="G99" s="10" t="s">
        <v>1199</v>
      </c>
    </row>
    <row r="100" spans="1:7">
      <c r="A100" s="8">
        <v>19800</v>
      </c>
      <c r="B100" s="9" t="s">
        <v>1316</v>
      </c>
      <c r="C100" s="10" t="s">
        <v>248</v>
      </c>
      <c r="D100" s="10" t="s">
        <v>1304</v>
      </c>
      <c r="E100" s="10" t="s">
        <v>1316</v>
      </c>
      <c r="F100" s="10" t="s">
        <v>1306</v>
      </c>
      <c r="G100" s="10" t="s">
        <v>1199</v>
      </c>
    </row>
    <row r="101" spans="1:7">
      <c r="A101" s="8">
        <v>19900</v>
      </c>
      <c r="B101" s="9" t="s">
        <v>1317</v>
      </c>
      <c r="C101" s="10" t="s">
        <v>248</v>
      </c>
      <c r="D101" s="10" t="s">
        <v>1304</v>
      </c>
      <c r="E101" s="10" t="s">
        <v>1318</v>
      </c>
      <c r="F101" s="10" t="s">
        <v>1306</v>
      </c>
      <c r="G101" s="10" t="s">
        <v>1199</v>
      </c>
    </row>
    <row r="102" spans="1:7">
      <c r="A102" s="8">
        <v>19910</v>
      </c>
      <c r="B102" s="9" t="s">
        <v>1319</v>
      </c>
      <c r="C102" s="10" t="s">
        <v>248</v>
      </c>
      <c r="D102" s="10" t="s">
        <v>1304</v>
      </c>
      <c r="E102" s="10" t="s">
        <v>1318</v>
      </c>
      <c r="F102" s="10" t="s">
        <v>1306</v>
      </c>
      <c r="G102" s="10" t="s">
        <v>1199</v>
      </c>
    </row>
    <row r="103" spans="1:7">
      <c r="A103" s="8">
        <v>19920</v>
      </c>
      <c r="B103" s="9" t="s">
        <v>1320</v>
      </c>
      <c r="C103" s="10" t="s">
        <v>248</v>
      </c>
      <c r="D103" s="10" t="s">
        <v>1304</v>
      </c>
      <c r="E103" s="10" t="s">
        <v>1318</v>
      </c>
      <c r="F103" s="10" t="s">
        <v>1306</v>
      </c>
      <c r="G103" s="10" t="s">
        <v>1199</v>
      </c>
    </row>
    <row r="104" spans="1:7">
      <c r="A104" s="8">
        <v>19930</v>
      </c>
      <c r="B104" s="9" t="s">
        <v>1321</v>
      </c>
      <c r="C104" s="10" t="s">
        <v>248</v>
      </c>
      <c r="D104" s="10" t="s">
        <v>1304</v>
      </c>
      <c r="E104" s="10" t="s">
        <v>1318</v>
      </c>
      <c r="F104" s="10" t="s">
        <v>1306</v>
      </c>
      <c r="G104" s="10" t="s">
        <v>1199</v>
      </c>
    </row>
    <row r="105" spans="1:7">
      <c r="A105" s="8">
        <v>19940</v>
      </c>
      <c r="B105" s="9" t="s">
        <v>1322</v>
      </c>
      <c r="C105" s="10" t="s">
        <v>248</v>
      </c>
      <c r="D105" s="10" t="s">
        <v>1304</v>
      </c>
      <c r="E105" s="10" t="s">
        <v>1318</v>
      </c>
      <c r="F105" s="10" t="s">
        <v>1306</v>
      </c>
      <c r="G105" s="10" t="s">
        <v>1199</v>
      </c>
    </row>
    <row r="106" spans="1:7">
      <c r="A106" s="8">
        <v>19950</v>
      </c>
      <c r="B106" s="9" t="s">
        <v>1323</v>
      </c>
      <c r="C106" s="10" t="s">
        <v>248</v>
      </c>
      <c r="D106" s="10" t="s">
        <v>1304</v>
      </c>
      <c r="E106" s="10" t="s">
        <v>1318</v>
      </c>
      <c r="F106" s="10" t="s">
        <v>1306</v>
      </c>
      <c r="G106" s="10" t="s">
        <v>1199</v>
      </c>
    </row>
    <row r="107" spans="1:7">
      <c r="A107" s="8">
        <v>19960</v>
      </c>
      <c r="B107" s="9" t="s">
        <v>1324</v>
      </c>
      <c r="C107" s="10" t="s">
        <v>248</v>
      </c>
      <c r="D107" s="10" t="s">
        <v>1304</v>
      </c>
      <c r="E107" s="10" t="s">
        <v>1318</v>
      </c>
      <c r="F107" s="10" t="s">
        <v>1306</v>
      </c>
      <c r="G107" s="10" t="s">
        <v>1199</v>
      </c>
    </row>
    <row r="108" spans="1:7">
      <c r="A108" s="8">
        <v>19963</v>
      </c>
      <c r="B108" s="9" t="s">
        <v>1325</v>
      </c>
      <c r="C108" s="10" t="s">
        <v>122</v>
      </c>
      <c r="D108" s="10" t="s">
        <v>1304</v>
      </c>
      <c r="E108" s="10" t="s">
        <v>1318</v>
      </c>
      <c r="F108" s="10" t="s">
        <v>1306</v>
      </c>
      <c r="G108" s="10" t="s">
        <v>1199</v>
      </c>
    </row>
    <row r="109" spans="1:7">
      <c r="A109" s="8">
        <v>19966</v>
      </c>
      <c r="B109" s="9" t="s">
        <v>1326</v>
      </c>
      <c r="C109" s="10" t="s">
        <v>29</v>
      </c>
      <c r="D109" s="10" t="s">
        <v>1304</v>
      </c>
      <c r="E109" s="10" t="s">
        <v>1318</v>
      </c>
      <c r="F109" s="10" t="s">
        <v>1306</v>
      </c>
      <c r="G109" s="10" t="s">
        <v>1199</v>
      </c>
    </row>
    <row r="110" spans="1:7">
      <c r="A110" s="8">
        <v>19970</v>
      </c>
      <c r="B110" s="9" t="s">
        <v>1327</v>
      </c>
      <c r="C110" s="10" t="s">
        <v>248</v>
      </c>
      <c r="D110" s="10" t="s">
        <v>1284</v>
      </c>
      <c r="E110" s="10" t="s">
        <v>1267</v>
      </c>
      <c r="F110" s="10" t="s">
        <v>1306</v>
      </c>
      <c r="G110" s="10" t="s">
        <v>1199</v>
      </c>
    </row>
    <row r="111" spans="1:7">
      <c r="A111" s="8">
        <v>19973</v>
      </c>
      <c r="B111" s="9" t="s">
        <v>1328</v>
      </c>
      <c r="C111" s="10" t="s">
        <v>122</v>
      </c>
      <c r="D111" s="10" t="s">
        <v>1284</v>
      </c>
      <c r="E111" s="10" t="s">
        <v>1267</v>
      </c>
      <c r="F111" s="10" t="s">
        <v>1306</v>
      </c>
      <c r="G111" s="10" t="s">
        <v>1199</v>
      </c>
    </row>
    <row r="112" spans="1:7">
      <c r="A112" s="8">
        <v>19976</v>
      </c>
      <c r="B112" s="9" t="s">
        <v>1329</v>
      </c>
      <c r="C112" s="10" t="s">
        <v>29</v>
      </c>
      <c r="D112" s="10" t="s">
        <v>1284</v>
      </c>
      <c r="E112" s="10" t="s">
        <v>1267</v>
      </c>
      <c r="F112" s="10" t="s">
        <v>1306</v>
      </c>
      <c r="G112" s="10" t="s">
        <v>1199</v>
      </c>
    </row>
    <row r="113" spans="1:7">
      <c r="A113" s="8">
        <v>20000</v>
      </c>
      <c r="B113" s="11" t="s">
        <v>1330</v>
      </c>
      <c r="C113" s="10" t="s">
        <v>248</v>
      </c>
      <c r="D113" s="10" t="s">
        <v>1331</v>
      </c>
      <c r="E113" s="10" t="s">
        <v>1332</v>
      </c>
      <c r="F113" s="10" t="s">
        <v>1333</v>
      </c>
      <c r="G113" s="10" t="s">
        <v>1334</v>
      </c>
    </row>
    <row r="114" spans="1:7">
      <c r="A114" s="8">
        <v>20003</v>
      </c>
      <c r="B114" s="11" t="s">
        <v>1335</v>
      </c>
      <c r="C114" s="10" t="s">
        <v>122</v>
      </c>
      <c r="D114" s="10" t="s">
        <v>1331</v>
      </c>
      <c r="E114" s="10" t="s">
        <v>1332</v>
      </c>
      <c r="F114" s="10" t="s">
        <v>1333</v>
      </c>
      <c r="G114" s="10" t="s">
        <v>1334</v>
      </c>
    </row>
    <row r="115" spans="1:7">
      <c r="A115" s="8">
        <v>20006</v>
      </c>
      <c r="B115" s="11" t="s">
        <v>1336</v>
      </c>
      <c r="C115" s="10" t="s">
        <v>29</v>
      </c>
      <c r="D115" s="10" t="s">
        <v>1331</v>
      </c>
      <c r="E115" s="10" t="s">
        <v>1332</v>
      </c>
      <c r="F115" s="10" t="s">
        <v>1333</v>
      </c>
      <c r="G115" s="10" t="s">
        <v>1334</v>
      </c>
    </row>
    <row r="116" spans="1:7">
      <c r="A116" s="8">
        <v>21000</v>
      </c>
      <c r="B116" s="11" t="s">
        <v>1337</v>
      </c>
      <c r="C116" s="10" t="s">
        <v>248</v>
      </c>
      <c r="D116" s="10" t="s">
        <v>1331</v>
      </c>
      <c r="E116" s="10" t="s">
        <v>1338</v>
      </c>
      <c r="F116" s="10" t="s">
        <v>1333</v>
      </c>
      <c r="G116" s="10" t="s">
        <v>1334</v>
      </c>
    </row>
    <row r="117" spans="1:7">
      <c r="A117" s="8">
        <v>21023</v>
      </c>
      <c r="B117" s="11" t="s">
        <v>1339</v>
      </c>
      <c r="C117" s="10" t="s">
        <v>122</v>
      </c>
      <c r="D117" s="10" t="s">
        <v>1331</v>
      </c>
      <c r="E117" s="10" t="s">
        <v>1338</v>
      </c>
      <c r="F117" s="10" t="s">
        <v>1333</v>
      </c>
      <c r="G117" s="10" t="s">
        <v>1334</v>
      </c>
    </row>
    <row r="118" spans="1:7">
      <c r="A118" s="8">
        <v>21016</v>
      </c>
      <c r="B118" s="11" t="s">
        <v>1340</v>
      </c>
      <c r="C118" s="10" t="s">
        <v>29</v>
      </c>
      <c r="D118" s="10" t="s">
        <v>1331</v>
      </c>
      <c r="E118" s="10" t="s">
        <v>1338</v>
      </c>
      <c r="F118" s="10" t="s">
        <v>1333</v>
      </c>
      <c r="G118" s="10" t="s">
        <v>1334</v>
      </c>
    </row>
    <row r="119" spans="1:7">
      <c r="A119" s="8">
        <v>21100</v>
      </c>
      <c r="B119" s="11" t="s">
        <v>1341</v>
      </c>
      <c r="C119" s="10" t="s">
        <v>248</v>
      </c>
      <c r="D119" s="10" t="s">
        <v>1342</v>
      </c>
      <c r="E119" s="10" t="s">
        <v>1332</v>
      </c>
      <c r="F119" s="10" t="s">
        <v>1333</v>
      </c>
      <c r="G119" s="10" t="s">
        <v>1334</v>
      </c>
    </row>
    <row r="120" spans="1:7">
      <c r="A120" s="8">
        <v>21103</v>
      </c>
      <c r="B120" s="11" t="s">
        <v>1343</v>
      </c>
      <c r="C120" s="10" t="s">
        <v>122</v>
      </c>
      <c r="D120" s="10" t="s">
        <v>1342</v>
      </c>
      <c r="E120" s="10" t="s">
        <v>1332</v>
      </c>
      <c r="F120" s="10" t="s">
        <v>1333</v>
      </c>
      <c r="G120" s="10" t="s">
        <v>1334</v>
      </c>
    </row>
    <row r="121" spans="1:7">
      <c r="A121" s="8">
        <v>21106</v>
      </c>
      <c r="B121" s="11" t="s">
        <v>1344</v>
      </c>
      <c r="C121" s="10" t="s">
        <v>29</v>
      </c>
      <c r="D121" s="10" t="s">
        <v>1342</v>
      </c>
      <c r="E121" s="10" t="s">
        <v>1332</v>
      </c>
      <c r="F121" s="10" t="s">
        <v>1333</v>
      </c>
      <c r="G121" s="10" t="s">
        <v>1334</v>
      </c>
    </row>
    <row r="122" spans="1:7">
      <c r="A122" s="8">
        <v>22000</v>
      </c>
      <c r="B122" s="11" t="s">
        <v>1345</v>
      </c>
      <c r="C122" s="10" t="s">
        <v>248</v>
      </c>
      <c r="D122" s="10" t="s">
        <v>1342</v>
      </c>
      <c r="E122" s="10" t="s">
        <v>1346</v>
      </c>
      <c r="F122" s="10" t="s">
        <v>1333</v>
      </c>
      <c r="G122" s="10" t="s">
        <v>1334</v>
      </c>
    </row>
    <row r="123" spans="1:7">
      <c r="A123" s="8">
        <v>22003</v>
      </c>
      <c r="B123" s="11" t="s">
        <v>1347</v>
      </c>
      <c r="C123" s="10" t="s">
        <v>122</v>
      </c>
      <c r="D123" s="10" t="s">
        <v>1342</v>
      </c>
      <c r="E123" s="10" t="s">
        <v>1346</v>
      </c>
      <c r="F123" s="10" t="s">
        <v>1333</v>
      </c>
      <c r="G123" s="10" t="s">
        <v>1334</v>
      </c>
    </row>
    <row r="124" spans="1:7">
      <c r="A124" s="8">
        <v>22006</v>
      </c>
      <c r="B124" s="11" t="s">
        <v>1348</v>
      </c>
      <c r="C124" s="10" t="s">
        <v>29</v>
      </c>
      <c r="D124" s="10" t="s">
        <v>1342</v>
      </c>
      <c r="E124" s="10" t="s">
        <v>1346</v>
      </c>
      <c r="F124" s="10" t="s">
        <v>1333</v>
      </c>
      <c r="G124" s="10" t="s">
        <v>1334</v>
      </c>
    </row>
    <row r="125" spans="1:7">
      <c r="A125" s="8">
        <v>22010</v>
      </c>
      <c r="B125" s="11" t="s">
        <v>1349</v>
      </c>
      <c r="C125" s="10" t="s">
        <v>248</v>
      </c>
      <c r="D125" s="10" t="s">
        <v>1342</v>
      </c>
      <c r="E125" s="10" t="s">
        <v>1346</v>
      </c>
      <c r="F125" s="10" t="s">
        <v>1333</v>
      </c>
      <c r="G125" s="10" t="s">
        <v>1334</v>
      </c>
    </row>
    <row r="126" spans="1:7">
      <c r="A126" s="8">
        <v>22013</v>
      </c>
      <c r="B126" s="11" t="s">
        <v>1350</v>
      </c>
      <c r="C126" s="10" t="s">
        <v>122</v>
      </c>
      <c r="D126" s="10" t="s">
        <v>1342</v>
      </c>
      <c r="E126" s="10" t="s">
        <v>1346</v>
      </c>
      <c r="F126" s="10" t="s">
        <v>1333</v>
      </c>
      <c r="G126" s="10" t="s">
        <v>1334</v>
      </c>
    </row>
    <row r="127" spans="1:7">
      <c r="A127" s="8">
        <v>22016</v>
      </c>
      <c r="B127" s="11" t="s">
        <v>1351</v>
      </c>
      <c r="C127" s="10" t="s">
        <v>29</v>
      </c>
      <c r="D127" s="10" t="s">
        <v>1342</v>
      </c>
      <c r="E127" s="10" t="s">
        <v>1346</v>
      </c>
      <c r="F127" s="10" t="s">
        <v>1333</v>
      </c>
      <c r="G127" s="10" t="s">
        <v>1334</v>
      </c>
    </row>
    <row r="128" spans="1:7">
      <c r="A128" s="8">
        <v>22020</v>
      </c>
      <c r="B128" s="11" t="s">
        <v>1352</v>
      </c>
      <c r="C128" s="10" t="s">
        <v>248</v>
      </c>
      <c r="D128" s="10" t="s">
        <v>1342</v>
      </c>
      <c r="E128" s="10" t="s">
        <v>1346</v>
      </c>
      <c r="F128" s="10" t="s">
        <v>1333</v>
      </c>
      <c r="G128" s="10" t="s">
        <v>1334</v>
      </c>
    </row>
    <row r="129" spans="1:7">
      <c r="A129" s="8">
        <v>22023</v>
      </c>
      <c r="B129" s="11" t="s">
        <v>1353</v>
      </c>
      <c r="C129" s="10" t="s">
        <v>122</v>
      </c>
      <c r="D129" s="10" t="s">
        <v>1342</v>
      </c>
      <c r="E129" s="10" t="s">
        <v>1346</v>
      </c>
      <c r="F129" s="10" t="s">
        <v>1333</v>
      </c>
      <c r="G129" s="10" t="s">
        <v>1334</v>
      </c>
    </row>
    <row r="130" spans="1:7">
      <c r="A130" s="8">
        <v>22026</v>
      </c>
      <c r="B130" s="11" t="s">
        <v>1354</v>
      </c>
      <c r="C130" s="10" t="s">
        <v>29</v>
      </c>
      <c r="D130" s="10" t="s">
        <v>1342</v>
      </c>
      <c r="E130" s="10" t="s">
        <v>1346</v>
      </c>
      <c r="F130" s="10" t="s">
        <v>1333</v>
      </c>
      <c r="G130" s="10" t="s">
        <v>1334</v>
      </c>
    </row>
    <row r="131" spans="1:7">
      <c r="A131" s="8">
        <v>23010</v>
      </c>
      <c r="B131" s="11" t="s">
        <v>1355</v>
      </c>
      <c r="C131" s="10" t="s">
        <v>248</v>
      </c>
      <c r="D131" s="10" t="s">
        <v>1342</v>
      </c>
      <c r="E131" s="10" t="s">
        <v>1356</v>
      </c>
      <c r="F131" s="10" t="s">
        <v>1333</v>
      </c>
      <c r="G131" s="10" t="s">
        <v>1334</v>
      </c>
    </row>
    <row r="132" spans="1:7">
      <c r="A132" s="8">
        <v>23013</v>
      </c>
      <c r="B132" s="11" t="s">
        <v>1357</v>
      </c>
      <c r="C132" s="10" t="s">
        <v>122</v>
      </c>
      <c r="D132" s="10" t="s">
        <v>1342</v>
      </c>
      <c r="E132" s="10" t="s">
        <v>1356</v>
      </c>
      <c r="F132" s="10" t="s">
        <v>1333</v>
      </c>
      <c r="G132" s="10" t="s">
        <v>1334</v>
      </c>
    </row>
    <row r="133" spans="1:7">
      <c r="A133" s="8">
        <v>23016</v>
      </c>
      <c r="B133" s="11" t="s">
        <v>1358</v>
      </c>
      <c r="C133" s="10" t="s">
        <v>29</v>
      </c>
      <c r="D133" s="10" t="s">
        <v>1342</v>
      </c>
      <c r="E133" s="10" t="s">
        <v>1356</v>
      </c>
      <c r="F133" s="10" t="s">
        <v>1333</v>
      </c>
      <c r="G133" s="10" t="s">
        <v>1334</v>
      </c>
    </row>
    <row r="134" spans="1:7">
      <c r="A134" s="8">
        <v>23020</v>
      </c>
      <c r="B134" s="11" t="s">
        <v>1359</v>
      </c>
      <c r="C134" s="10" t="s">
        <v>248</v>
      </c>
      <c r="D134" s="10" t="s">
        <v>1342</v>
      </c>
      <c r="E134" s="10" t="s">
        <v>1356</v>
      </c>
      <c r="F134" s="10" t="s">
        <v>1333</v>
      </c>
      <c r="G134" s="10" t="s">
        <v>1334</v>
      </c>
    </row>
    <row r="135" spans="1:7">
      <c r="A135" s="8">
        <v>23023</v>
      </c>
      <c r="B135" s="11" t="s">
        <v>1360</v>
      </c>
      <c r="C135" s="10" t="s">
        <v>122</v>
      </c>
      <c r="D135" s="10" t="s">
        <v>1342</v>
      </c>
      <c r="E135" s="10" t="s">
        <v>1356</v>
      </c>
      <c r="F135" s="10" t="s">
        <v>1333</v>
      </c>
      <c r="G135" s="10" t="s">
        <v>1334</v>
      </c>
    </row>
    <row r="136" spans="1:7">
      <c r="A136" s="8">
        <v>23026</v>
      </c>
      <c r="B136" s="11" t="s">
        <v>1361</v>
      </c>
      <c r="C136" s="10" t="s">
        <v>29</v>
      </c>
      <c r="D136" s="10" t="s">
        <v>1342</v>
      </c>
      <c r="E136" s="10" t="s">
        <v>1356</v>
      </c>
      <c r="F136" s="10" t="s">
        <v>1333</v>
      </c>
      <c r="G136" s="10" t="s">
        <v>1334</v>
      </c>
    </row>
    <row r="137" spans="1:7">
      <c r="A137" s="8">
        <v>23030</v>
      </c>
      <c r="B137" s="11" t="s">
        <v>1362</v>
      </c>
      <c r="C137" s="10" t="s">
        <v>248</v>
      </c>
      <c r="D137" s="10" t="s">
        <v>1342</v>
      </c>
      <c r="E137" s="10" t="s">
        <v>1356</v>
      </c>
      <c r="F137" s="10" t="s">
        <v>1333</v>
      </c>
      <c r="G137" s="10" t="s">
        <v>1334</v>
      </c>
    </row>
    <row r="138" spans="1:7">
      <c r="A138" s="8">
        <v>23033</v>
      </c>
      <c r="B138" s="11" t="s">
        <v>1363</v>
      </c>
      <c r="C138" s="10" t="s">
        <v>122</v>
      </c>
      <c r="D138" s="10" t="s">
        <v>1342</v>
      </c>
      <c r="E138" s="10" t="s">
        <v>1356</v>
      </c>
      <c r="F138" s="10" t="s">
        <v>1333</v>
      </c>
      <c r="G138" s="10" t="s">
        <v>1334</v>
      </c>
    </row>
    <row r="139" spans="1:7">
      <c r="A139" s="8">
        <v>23036</v>
      </c>
      <c r="B139" s="11" t="s">
        <v>1364</v>
      </c>
      <c r="C139" s="10" t="s">
        <v>29</v>
      </c>
      <c r="D139" s="10" t="s">
        <v>1342</v>
      </c>
      <c r="E139" s="10" t="s">
        <v>1356</v>
      </c>
      <c r="F139" s="10" t="s">
        <v>1333</v>
      </c>
      <c r="G139" s="10" t="s">
        <v>1334</v>
      </c>
    </row>
    <row r="140" spans="1:7">
      <c r="A140" s="8">
        <v>23040</v>
      </c>
      <c r="B140" s="11" t="s">
        <v>1365</v>
      </c>
      <c r="C140" s="10" t="s">
        <v>248</v>
      </c>
      <c r="D140" s="10" t="s">
        <v>1342</v>
      </c>
      <c r="E140" s="10" t="s">
        <v>1356</v>
      </c>
      <c r="F140" s="10" t="s">
        <v>1333</v>
      </c>
      <c r="G140" s="10" t="s">
        <v>1334</v>
      </c>
    </row>
    <row r="141" spans="1:7">
      <c r="A141" s="8">
        <v>23043</v>
      </c>
      <c r="B141" s="11" t="s">
        <v>1366</v>
      </c>
      <c r="C141" s="10" t="s">
        <v>122</v>
      </c>
      <c r="D141" s="10" t="s">
        <v>1342</v>
      </c>
      <c r="E141" s="10" t="s">
        <v>1356</v>
      </c>
      <c r="F141" s="10" t="s">
        <v>1333</v>
      </c>
      <c r="G141" s="10" t="s">
        <v>1334</v>
      </c>
    </row>
    <row r="142" spans="1:7">
      <c r="A142" s="8">
        <v>23046</v>
      </c>
      <c r="B142" s="11" t="s">
        <v>1367</v>
      </c>
      <c r="C142" s="10" t="s">
        <v>29</v>
      </c>
      <c r="D142" s="10" t="s">
        <v>1342</v>
      </c>
      <c r="E142" s="10" t="s">
        <v>1356</v>
      </c>
      <c r="F142" s="10" t="s">
        <v>1333</v>
      </c>
      <c r="G142" s="10" t="s">
        <v>1334</v>
      </c>
    </row>
    <row r="143" spans="1:7">
      <c r="A143" s="8">
        <v>23050</v>
      </c>
      <c r="B143" s="11" t="s">
        <v>1368</v>
      </c>
      <c r="C143" s="10" t="s">
        <v>248</v>
      </c>
      <c r="D143" s="10" t="s">
        <v>1342</v>
      </c>
      <c r="E143" s="10" t="s">
        <v>1356</v>
      </c>
      <c r="F143" s="10" t="s">
        <v>1333</v>
      </c>
      <c r="G143" s="10" t="s">
        <v>1334</v>
      </c>
    </row>
    <row r="144" spans="1:7">
      <c r="A144" s="8">
        <v>23053</v>
      </c>
      <c r="B144" s="11" t="s">
        <v>1369</v>
      </c>
      <c r="C144" s="10" t="s">
        <v>122</v>
      </c>
      <c r="D144" s="10" t="s">
        <v>1342</v>
      </c>
      <c r="E144" s="10" t="s">
        <v>1356</v>
      </c>
      <c r="F144" s="10" t="s">
        <v>1333</v>
      </c>
      <c r="G144" s="10" t="s">
        <v>1334</v>
      </c>
    </row>
    <row r="145" spans="1:7">
      <c r="A145" s="8">
        <v>23056</v>
      </c>
      <c r="B145" s="11" t="s">
        <v>1370</v>
      </c>
      <c r="C145" s="10" t="s">
        <v>29</v>
      </c>
      <c r="D145" s="10" t="s">
        <v>1342</v>
      </c>
      <c r="E145" s="10" t="s">
        <v>1356</v>
      </c>
      <c r="F145" s="10" t="s">
        <v>1333</v>
      </c>
      <c r="G145" s="10" t="s">
        <v>1334</v>
      </c>
    </row>
    <row r="146" spans="1:7">
      <c r="A146" s="8">
        <v>23060</v>
      </c>
      <c r="B146" s="11" t="s">
        <v>1371</v>
      </c>
      <c r="C146" s="10" t="s">
        <v>248</v>
      </c>
      <c r="D146" s="10" t="s">
        <v>1342</v>
      </c>
      <c r="E146" s="10" t="s">
        <v>1356</v>
      </c>
      <c r="F146" s="10" t="s">
        <v>1333</v>
      </c>
      <c r="G146" s="10" t="s">
        <v>1334</v>
      </c>
    </row>
    <row r="147" spans="1:7">
      <c r="A147" s="8">
        <v>23063</v>
      </c>
      <c r="B147" s="11" t="s">
        <v>1372</v>
      </c>
      <c r="C147" s="10" t="s">
        <v>122</v>
      </c>
      <c r="D147" s="10" t="s">
        <v>1342</v>
      </c>
      <c r="E147" s="10" t="s">
        <v>1356</v>
      </c>
      <c r="F147" s="10" t="s">
        <v>1333</v>
      </c>
      <c r="G147" s="10" t="s">
        <v>1334</v>
      </c>
    </row>
    <row r="148" spans="1:7">
      <c r="A148" s="8">
        <v>23066</v>
      </c>
      <c r="B148" s="11" t="s">
        <v>1373</v>
      </c>
      <c r="C148" s="10" t="s">
        <v>29</v>
      </c>
      <c r="D148" s="10" t="s">
        <v>1342</v>
      </c>
      <c r="E148" s="10" t="s">
        <v>1356</v>
      </c>
      <c r="F148" s="10" t="s">
        <v>1333</v>
      </c>
      <c r="G148" s="10" t="s">
        <v>1334</v>
      </c>
    </row>
    <row r="149" spans="1:7">
      <c r="A149" s="8">
        <v>24010</v>
      </c>
      <c r="B149" s="11" t="s">
        <v>1374</v>
      </c>
      <c r="C149" s="10" t="s">
        <v>248</v>
      </c>
      <c r="D149" s="10" t="s">
        <v>1342</v>
      </c>
      <c r="E149" s="10" t="s">
        <v>1375</v>
      </c>
      <c r="F149" s="10" t="s">
        <v>1333</v>
      </c>
      <c r="G149" s="10" t="s">
        <v>1334</v>
      </c>
    </row>
    <row r="150" spans="1:7">
      <c r="A150" s="8">
        <v>24013</v>
      </c>
      <c r="B150" s="11" t="s">
        <v>1376</v>
      </c>
      <c r="C150" s="10" t="s">
        <v>122</v>
      </c>
      <c r="D150" s="10" t="s">
        <v>1342</v>
      </c>
      <c r="E150" s="10" t="s">
        <v>1375</v>
      </c>
      <c r="F150" s="10" t="s">
        <v>1333</v>
      </c>
      <c r="G150" s="10" t="s">
        <v>1334</v>
      </c>
    </row>
    <row r="151" spans="1:7">
      <c r="A151" s="8">
        <v>24016</v>
      </c>
      <c r="B151" s="11" t="s">
        <v>1377</v>
      </c>
      <c r="C151" s="10" t="s">
        <v>29</v>
      </c>
      <c r="D151" s="10" t="s">
        <v>1342</v>
      </c>
      <c r="E151" s="10" t="s">
        <v>1375</v>
      </c>
      <c r="F151" s="10" t="s">
        <v>1333</v>
      </c>
      <c r="G151" s="10" t="s">
        <v>1334</v>
      </c>
    </row>
    <row r="152" spans="1:7">
      <c r="A152" s="8">
        <v>24020</v>
      </c>
      <c r="B152" s="11" t="s">
        <v>1378</v>
      </c>
      <c r="C152" s="10" t="s">
        <v>248</v>
      </c>
      <c r="D152" s="10" t="s">
        <v>1342</v>
      </c>
      <c r="E152" s="10" t="s">
        <v>1375</v>
      </c>
      <c r="F152" s="10" t="s">
        <v>1333</v>
      </c>
      <c r="G152" s="10" t="s">
        <v>1334</v>
      </c>
    </row>
    <row r="153" spans="1:7">
      <c r="A153" s="8">
        <v>24023</v>
      </c>
      <c r="B153" s="11" t="s">
        <v>1379</v>
      </c>
      <c r="C153" s="10" t="s">
        <v>122</v>
      </c>
      <c r="D153" s="10" t="s">
        <v>1342</v>
      </c>
      <c r="E153" s="10" t="s">
        <v>1375</v>
      </c>
      <c r="F153" s="10" t="s">
        <v>1333</v>
      </c>
      <c r="G153" s="10" t="s">
        <v>1334</v>
      </c>
    </row>
    <row r="154" spans="1:7">
      <c r="A154" s="8">
        <v>24026</v>
      </c>
      <c r="B154" s="11" t="s">
        <v>1380</v>
      </c>
      <c r="C154" s="10" t="s">
        <v>29</v>
      </c>
      <c r="D154" s="10" t="s">
        <v>1342</v>
      </c>
      <c r="E154" s="10" t="s">
        <v>1375</v>
      </c>
      <c r="F154" s="10" t="s">
        <v>1333</v>
      </c>
      <c r="G154" s="10" t="s">
        <v>1334</v>
      </c>
    </row>
    <row r="155" spans="1:7">
      <c r="A155" s="8">
        <v>25013</v>
      </c>
      <c r="B155" s="11" t="s">
        <v>1381</v>
      </c>
      <c r="C155" s="10" t="s">
        <v>122</v>
      </c>
      <c r="D155" s="10" t="s">
        <v>1342</v>
      </c>
      <c r="E155" s="10" t="s">
        <v>1382</v>
      </c>
      <c r="F155" s="10" t="s">
        <v>1333</v>
      </c>
      <c r="G155" s="10" t="s">
        <v>1334</v>
      </c>
    </row>
    <row r="156" spans="1:7">
      <c r="A156" s="8">
        <v>25500</v>
      </c>
      <c r="B156" s="11" t="s">
        <v>1383</v>
      </c>
      <c r="C156" s="10" t="s">
        <v>248</v>
      </c>
      <c r="D156" s="10" t="s">
        <v>1342</v>
      </c>
      <c r="E156" s="10" t="s">
        <v>1384</v>
      </c>
      <c r="F156" s="10" t="s">
        <v>1333</v>
      </c>
      <c r="G156" s="10" t="s">
        <v>1334</v>
      </c>
    </row>
    <row r="157" spans="1:7">
      <c r="A157" s="8">
        <v>25503</v>
      </c>
      <c r="B157" s="11" t="s">
        <v>1385</v>
      </c>
      <c r="C157" s="10" t="s">
        <v>122</v>
      </c>
      <c r="D157" s="10" t="s">
        <v>1342</v>
      </c>
      <c r="E157" s="10" t="s">
        <v>1384</v>
      </c>
      <c r="F157" s="10" t="s">
        <v>1333</v>
      </c>
      <c r="G157" s="10" t="s">
        <v>1334</v>
      </c>
    </row>
    <row r="158" spans="1:7">
      <c r="A158" s="8">
        <v>25506</v>
      </c>
      <c r="B158" s="11" t="s">
        <v>1386</v>
      </c>
      <c r="C158" s="10" t="s">
        <v>29</v>
      </c>
      <c r="D158" s="10" t="s">
        <v>1342</v>
      </c>
      <c r="E158" s="10" t="s">
        <v>1384</v>
      </c>
      <c r="F158" s="10" t="s">
        <v>1333</v>
      </c>
      <c r="G158" s="10" t="s">
        <v>1334</v>
      </c>
    </row>
    <row r="159" spans="1:7">
      <c r="A159" s="8">
        <v>26010</v>
      </c>
      <c r="B159" s="11" t="s">
        <v>1387</v>
      </c>
      <c r="C159" s="10" t="s">
        <v>248</v>
      </c>
      <c r="D159" s="10" t="s">
        <v>1342</v>
      </c>
      <c r="E159" s="10" t="s">
        <v>1388</v>
      </c>
      <c r="F159" s="10" t="s">
        <v>1333</v>
      </c>
      <c r="G159" s="10" t="s">
        <v>1334</v>
      </c>
    </row>
    <row r="160" spans="1:7">
      <c r="A160" s="8">
        <v>26013</v>
      </c>
      <c r="B160" s="11" t="s">
        <v>1389</v>
      </c>
      <c r="C160" s="10" t="s">
        <v>122</v>
      </c>
      <c r="D160" s="10" t="s">
        <v>1342</v>
      </c>
      <c r="E160" s="10" t="s">
        <v>1388</v>
      </c>
      <c r="F160" s="10" t="s">
        <v>1333</v>
      </c>
      <c r="G160" s="10" t="s">
        <v>1334</v>
      </c>
    </row>
    <row r="161" spans="1:7">
      <c r="A161" s="8">
        <v>26016</v>
      </c>
      <c r="B161" s="11" t="s">
        <v>1390</v>
      </c>
      <c r="C161" s="10" t="s">
        <v>29</v>
      </c>
      <c r="D161" s="10" t="s">
        <v>1342</v>
      </c>
      <c r="E161" s="10" t="s">
        <v>1388</v>
      </c>
      <c r="F161" s="10" t="s">
        <v>1333</v>
      </c>
      <c r="G161" s="10" t="s">
        <v>1334</v>
      </c>
    </row>
    <row r="162" spans="1:7">
      <c r="A162" s="8">
        <v>27010</v>
      </c>
      <c r="B162" s="11" t="s">
        <v>1391</v>
      </c>
      <c r="C162" s="10" t="s">
        <v>248</v>
      </c>
      <c r="D162" s="10" t="s">
        <v>1342</v>
      </c>
      <c r="E162" s="10" t="s">
        <v>1392</v>
      </c>
      <c r="F162" s="10" t="s">
        <v>1393</v>
      </c>
      <c r="G162" s="10" t="s">
        <v>1334</v>
      </c>
    </row>
    <row r="163" spans="1:7">
      <c r="A163" s="8">
        <v>27013</v>
      </c>
      <c r="B163" s="11" t="s">
        <v>1394</v>
      </c>
      <c r="C163" s="10" t="s">
        <v>122</v>
      </c>
      <c r="D163" s="10" t="s">
        <v>1342</v>
      </c>
      <c r="E163" s="10" t="s">
        <v>1392</v>
      </c>
      <c r="F163" s="10" t="s">
        <v>1393</v>
      </c>
      <c r="G163" s="10" t="s">
        <v>1334</v>
      </c>
    </row>
    <row r="164" spans="1:7">
      <c r="A164" s="8">
        <v>27016</v>
      </c>
      <c r="B164" s="11" t="s">
        <v>1395</v>
      </c>
      <c r="C164" s="10" t="s">
        <v>29</v>
      </c>
      <c r="D164" s="10" t="s">
        <v>1342</v>
      </c>
      <c r="E164" s="10" t="s">
        <v>1392</v>
      </c>
      <c r="F164" s="10" t="s">
        <v>1393</v>
      </c>
      <c r="G164" s="10" t="s">
        <v>1334</v>
      </c>
    </row>
    <row r="165" spans="1:7">
      <c r="A165" s="8">
        <v>27020</v>
      </c>
      <c r="B165" s="11" t="s">
        <v>1396</v>
      </c>
      <c r="C165" s="10" t="s">
        <v>248</v>
      </c>
      <c r="D165" s="10" t="s">
        <v>1342</v>
      </c>
      <c r="E165" s="10" t="s">
        <v>1392</v>
      </c>
      <c r="F165" s="10" t="s">
        <v>1393</v>
      </c>
      <c r="G165" s="10" t="s">
        <v>1334</v>
      </c>
    </row>
    <row r="166" spans="1:7">
      <c r="A166" s="8">
        <v>27023</v>
      </c>
      <c r="B166" s="11" t="s">
        <v>1397</v>
      </c>
      <c r="C166" s="10" t="s">
        <v>122</v>
      </c>
      <c r="D166" s="10" t="s">
        <v>1342</v>
      </c>
      <c r="E166" s="10" t="s">
        <v>1392</v>
      </c>
      <c r="F166" s="10" t="s">
        <v>1393</v>
      </c>
      <c r="G166" s="10" t="s">
        <v>1334</v>
      </c>
    </row>
    <row r="167" spans="1:7">
      <c r="A167" s="8">
        <v>27206</v>
      </c>
      <c r="B167" s="11" t="s">
        <v>1398</v>
      </c>
      <c r="C167" s="10" t="s">
        <v>29</v>
      </c>
      <c r="D167" s="10" t="s">
        <v>1342</v>
      </c>
      <c r="E167" s="10" t="s">
        <v>1392</v>
      </c>
      <c r="F167" s="10" t="s">
        <v>1393</v>
      </c>
      <c r="G167" s="10" t="s">
        <v>1334</v>
      </c>
    </row>
    <row r="168" spans="1:7">
      <c r="A168" s="8">
        <v>27500</v>
      </c>
      <c r="B168" s="11" t="s">
        <v>1399</v>
      </c>
      <c r="C168" s="10" t="s">
        <v>248</v>
      </c>
      <c r="D168" s="10" t="s">
        <v>1342</v>
      </c>
      <c r="E168" s="10" t="s">
        <v>1400</v>
      </c>
      <c r="F168" s="10" t="s">
        <v>1393</v>
      </c>
      <c r="G168" s="10" t="s">
        <v>1334</v>
      </c>
    </row>
    <row r="169" spans="1:7">
      <c r="A169" s="8">
        <v>27503</v>
      </c>
      <c r="B169" s="11" t="s">
        <v>1401</v>
      </c>
      <c r="C169" s="10" t="s">
        <v>122</v>
      </c>
      <c r="D169" s="10" t="s">
        <v>1342</v>
      </c>
      <c r="E169" s="10" t="s">
        <v>1400</v>
      </c>
      <c r="F169" s="10" t="s">
        <v>1393</v>
      </c>
      <c r="G169" s="10" t="s">
        <v>1334</v>
      </c>
    </row>
    <row r="170" spans="1:7">
      <c r="A170" s="8">
        <v>27506</v>
      </c>
      <c r="B170" s="11" t="s">
        <v>1402</v>
      </c>
      <c r="C170" s="10" t="s">
        <v>29</v>
      </c>
      <c r="D170" s="10" t="s">
        <v>1342</v>
      </c>
      <c r="E170" s="10" t="s">
        <v>1400</v>
      </c>
      <c r="F170" s="10" t="s">
        <v>1393</v>
      </c>
      <c r="G170" s="10" t="s">
        <v>1334</v>
      </c>
    </row>
    <row r="171" spans="1:7">
      <c r="A171" s="8">
        <v>27600</v>
      </c>
      <c r="B171" s="11" t="s">
        <v>1403</v>
      </c>
      <c r="C171" s="10" t="s">
        <v>248</v>
      </c>
      <c r="D171" s="10" t="s">
        <v>1342</v>
      </c>
      <c r="E171" s="10" t="s">
        <v>1400</v>
      </c>
      <c r="F171" s="10" t="s">
        <v>1393</v>
      </c>
      <c r="G171" s="10" t="s">
        <v>1334</v>
      </c>
    </row>
    <row r="172" spans="1:7">
      <c r="A172" s="8">
        <v>27603</v>
      </c>
      <c r="B172" s="11" t="s">
        <v>1404</v>
      </c>
      <c r="C172" s="10" t="s">
        <v>122</v>
      </c>
      <c r="D172" s="10" t="s">
        <v>1342</v>
      </c>
      <c r="E172" s="10" t="s">
        <v>1400</v>
      </c>
      <c r="F172" s="10" t="s">
        <v>1393</v>
      </c>
      <c r="G172" s="10" t="s">
        <v>1334</v>
      </c>
    </row>
    <row r="173" spans="1:7">
      <c r="A173" s="8">
        <v>27606</v>
      </c>
      <c r="B173" s="11" t="s">
        <v>1405</v>
      </c>
      <c r="C173" s="10" t="s">
        <v>29</v>
      </c>
      <c r="D173" s="10" t="s">
        <v>1342</v>
      </c>
      <c r="E173" s="10" t="s">
        <v>1400</v>
      </c>
      <c r="F173" s="10" t="s">
        <v>1393</v>
      </c>
      <c r="G173" s="10" t="s">
        <v>1334</v>
      </c>
    </row>
    <row r="174" spans="1:7">
      <c r="A174" s="8">
        <v>30000</v>
      </c>
      <c r="B174" s="11" t="s">
        <v>1406</v>
      </c>
      <c r="C174" s="10" t="s">
        <v>248</v>
      </c>
      <c r="D174" s="10" t="s">
        <v>1407</v>
      </c>
      <c r="E174" s="10" t="s">
        <v>1407</v>
      </c>
      <c r="F174" s="10" t="s">
        <v>1408</v>
      </c>
      <c r="G174" s="10" t="s">
        <v>1408</v>
      </c>
    </row>
    <row r="175" spans="1:7">
      <c r="A175" s="8">
        <v>30003</v>
      </c>
      <c r="B175" s="11" t="s">
        <v>1409</v>
      </c>
      <c r="C175" s="10" t="s">
        <v>122</v>
      </c>
      <c r="D175" s="10" t="s">
        <v>1407</v>
      </c>
      <c r="E175" s="10" t="s">
        <v>1407</v>
      </c>
      <c r="F175" s="10" t="s">
        <v>1408</v>
      </c>
      <c r="G175" s="10" t="s">
        <v>1408</v>
      </c>
    </row>
    <row r="176" spans="1:7">
      <c r="A176" s="8">
        <v>30006</v>
      </c>
      <c r="B176" s="11" t="s">
        <v>1410</v>
      </c>
      <c r="C176" s="10" t="s">
        <v>29</v>
      </c>
      <c r="D176" s="10" t="s">
        <v>1407</v>
      </c>
      <c r="E176" s="10" t="s">
        <v>1407</v>
      </c>
      <c r="F176" s="10" t="s">
        <v>1408</v>
      </c>
      <c r="G176" s="10" t="s">
        <v>1408</v>
      </c>
    </row>
    <row r="177" spans="1:7">
      <c r="A177" s="8">
        <v>30500</v>
      </c>
      <c r="B177" s="11" t="s">
        <v>1411</v>
      </c>
      <c r="C177" s="10" t="s">
        <v>248</v>
      </c>
      <c r="D177" s="10" t="s">
        <v>1412</v>
      </c>
      <c r="E177" s="10" t="s">
        <v>1412</v>
      </c>
      <c r="F177" s="10" t="s">
        <v>1408</v>
      </c>
      <c r="G177" s="10" t="s">
        <v>1408</v>
      </c>
    </row>
    <row r="178" spans="1:7">
      <c r="A178" s="8">
        <v>30503</v>
      </c>
      <c r="B178" s="11" t="s">
        <v>1413</v>
      </c>
      <c r="C178" s="10" t="s">
        <v>122</v>
      </c>
      <c r="D178" s="10" t="s">
        <v>1412</v>
      </c>
      <c r="E178" s="10" t="s">
        <v>1412</v>
      </c>
      <c r="F178" s="10" t="s">
        <v>1408</v>
      </c>
      <c r="G178" s="10" t="s">
        <v>1408</v>
      </c>
    </row>
    <row r="179" spans="1:7">
      <c r="A179" s="8">
        <v>30506</v>
      </c>
      <c r="B179" s="11" t="s">
        <v>1414</v>
      </c>
      <c r="C179" s="10" t="s">
        <v>29</v>
      </c>
      <c r="D179" s="10" t="s">
        <v>1412</v>
      </c>
      <c r="E179" s="10" t="s">
        <v>1412</v>
      </c>
      <c r="F179" s="10" t="s">
        <v>1408</v>
      </c>
      <c r="G179" s="10" t="s">
        <v>1408</v>
      </c>
    </row>
    <row r="180" spans="1:7">
      <c r="A180" s="8">
        <v>40000</v>
      </c>
      <c r="B180" s="11" t="s">
        <v>1415</v>
      </c>
      <c r="C180" s="10" t="s">
        <v>248</v>
      </c>
      <c r="D180" s="10" t="s">
        <v>1416</v>
      </c>
      <c r="E180" s="10" t="s">
        <v>1417</v>
      </c>
      <c r="F180" s="10" t="s">
        <v>1418</v>
      </c>
      <c r="G180" s="10" t="s">
        <v>1408</v>
      </c>
    </row>
    <row r="181" spans="1:7">
      <c r="A181" s="8">
        <v>40500</v>
      </c>
      <c r="B181" s="11" t="s">
        <v>1419</v>
      </c>
      <c r="C181" s="10" t="s">
        <v>248</v>
      </c>
      <c r="D181" s="10" t="s">
        <v>1416</v>
      </c>
      <c r="E181" s="10" t="s">
        <v>1420</v>
      </c>
      <c r="F181" s="10" t="s">
        <v>1418</v>
      </c>
      <c r="G181" s="10" t="s">
        <v>1408</v>
      </c>
    </row>
    <row r="182" spans="1:7">
      <c r="A182" s="8">
        <v>41003</v>
      </c>
      <c r="B182" s="11" t="s">
        <v>1421</v>
      </c>
      <c r="C182" s="10" t="s">
        <v>122</v>
      </c>
      <c r="D182" s="10" t="s">
        <v>1416</v>
      </c>
      <c r="E182" s="10" t="s">
        <v>1417</v>
      </c>
      <c r="F182" s="10" t="s">
        <v>1418</v>
      </c>
      <c r="G182" s="10" t="s">
        <v>1408</v>
      </c>
    </row>
    <row r="183" spans="1:7">
      <c r="A183" s="8">
        <v>41503</v>
      </c>
      <c r="B183" s="11" t="s">
        <v>1422</v>
      </c>
      <c r="C183" s="10" t="s">
        <v>122</v>
      </c>
      <c r="D183" s="10" t="s">
        <v>1416</v>
      </c>
      <c r="E183" s="10" t="s">
        <v>1420</v>
      </c>
      <c r="F183" s="10" t="s">
        <v>1418</v>
      </c>
      <c r="G183" s="10" t="s">
        <v>1408</v>
      </c>
    </row>
    <row r="184" spans="1:7">
      <c r="A184" s="8">
        <v>42006</v>
      </c>
      <c r="B184" s="11" t="s">
        <v>1423</v>
      </c>
      <c r="C184" s="10" t="s">
        <v>29</v>
      </c>
      <c r="D184" s="10" t="s">
        <v>1416</v>
      </c>
      <c r="E184" s="10" t="s">
        <v>1417</v>
      </c>
      <c r="F184" s="10" t="s">
        <v>1418</v>
      </c>
      <c r="G184" s="10" t="s">
        <v>1408</v>
      </c>
    </row>
    <row r="185" spans="1:7">
      <c r="A185" s="8">
        <v>42506</v>
      </c>
      <c r="B185" s="11" t="s">
        <v>1424</v>
      </c>
      <c r="C185" s="10" t="s">
        <v>29</v>
      </c>
      <c r="D185" s="10" t="s">
        <v>1416</v>
      </c>
      <c r="E185" s="10" t="s">
        <v>1420</v>
      </c>
      <c r="F185" s="10" t="s">
        <v>1418</v>
      </c>
      <c r="G185" s="10" t="s">
        <v>1408</v>
      </c>
    </row>
    <row r="186" spans="1:7">
      <c r="A186" s="8">
        <v>43003</v>
      </c>
      <c r="B186" s="11" t="s">
        <v>1425</v>
      </c>
      <c r="C186" s="10" t="s">
        <v>122</v>
      </c>
      <c r="D186" s="10" t="s">
        <v>1416</v>
      </c>
      <c r="E186" s="10" t="s">
        <v>1426</v>
      </c>
      <c r="F186" s="10" t="s">
        <v>1418</v>
      </c>
      <c r="G186" s="10" t="s">
        <v>1408</v>
      </c>
    </row>
    <row r="187" spans="1:7">
      <c r="A187" s="8">
        <v>43016</v>
      </c>
      <c r="B187" s="11" t="s">
        <v>1169</v>
      </c>
      <c r="C187" s="10" t="s">
        <v>29</v>
      </c>
      <c r="D187" s="10" t="s">
        <v>1416</v>
      </c>
      <c r="E187" s="10" t="s">
        <v>1426</v>
      </c>
      <c r="F187" s="10" t="s">
        <v>1418</v>
      </c>
      <c r="G187" s="10" t="s">
        <v>1408</v>
      </c>
    </row>
    <row r="188" spans="1:7">
      <c r="A188" s="8">
        <v>43026</v>
      </c>
      <c r="B188" s="11" t="s">
        <v>1427</v>
      </c>
      <c r="C188" s="10" t="s">
        <v>29</v>
      </c>
      <c r="D188" s="10" t="s">
        <v>1416</v>
      </c>
      <c r="E188" s="10" t="s">
        <v>1426</v>
      </c>
      <c r="F188" s="10" t="s">
        <v>1418</v>
      </c>
      <c r="G188" s="10" t="s">
        <v>1408</v>
      </c>
    </row>
    <row r="189" spans="1:7">
      <c r="A189" s="8">
        <v>43033</v>
      </c>
      <c r="B189" s="12" t="s">
        <v>1428</v>
      </c>
      <c r="C189" s="10" t="s">
        <v>122</v>
      </c>
      <c r="D189" s="10" t="s">
        <v>1416</v>
      </c>
      <c r="E189" s="10" t="s">
        <v>1426</v>
      </c>
      <c r="F189" s="10" t="s">
        <v>1418</v>
      </c>
      <c r="G189" s="10" t="s">
        <v>1408</v>
      </c>
    </row>
    <row r="190" spans="1:7">
      <c r="A190" s="8">
        <v>43046</v>
      </c>
      <c r="B190" s="11" t="s">
        <v>1429</v>
      </c>
      <c r="C190" s="10" t="s">
        <v>29</v>
      </c>
      <c r="D190" s="10" t="s">
        <v>1416</v>
      </c>
      <c r="E190" s="10" t="s">
        <v>1426</v>
      </c>
      <c r="F190" s="10" t="s">
        <v>1418</v>
      </c>
      <c r="G190" s="10" t="s">
        <v>1408</v>
      </c>
    </row>
    <row r="191" spans="1:7">
      <c r="A191" s="8">
        <v>43053</v>
      </c>
      <c r="B191" s="11" t="s">
        <v>1430</v>
      </c>
      <c r="C191" s="10" t="s">
        <v>122</v>
      </c>
      <c r="D191" s="10" t="s">
        <v>1416</v>
      </c>
      <c r="E191" s="10" t="s">
        <v>1426</v>
      </c>
      <c r="F191" s="10" t="s">
        <v>1418</v>
      </c>
      <c r="G191" s="10" t="s">
        <v>1408</v>
      </c>
    </row>
    <row r="192" spans="1:7">
      <c r="A192" s="8">
        <v>43060</v>
      </c>
      <c r="B192" s="11" t="s">
        <v>1431</v>
      </c>
      <c r="C192" s="10" t="s">
        <v>248</v>
      </c>
      <c r="D192" s="10" t="s">
        <v>1416</v>
      </c>
      <c r="E192" s="10" t="s">
        <v>1426</v>
      </c>
      <c r="F192" s="10" t="s">
        <v>1418</v>
      </c>
      <c r="G192" s="10" t="s">
        <v>1408</v>
      </c>
    </row>
    <row r="193" spans="1:7">
      <c r="A193" s="8">
        <v>43070</v>
      </c>
      <c r="B193" s="11" t="s">
        <v>1432</v>
      </c>
      <c r="C193" s="10" t="s">
        <v>248</v>
      </c>
      <c r="D193" s="10" t="s">
        <v>1433</v>
      </c>
      <c r="E193" s="10" t="s">
        <v>1426</v>
      </c>
      <c r="F193" s="10" t="s">
        <v>1418</v>
      </c>
      <c r="G193" s="10" t="s">
        <v>1408</v>
      </c>
    </row>
    <row r="194" spans="1:7">
      <c r="A194" s="8">
        <v>43083</v>
      </c>
      <c r="B194" s="11" t="s">
        <v>1434</v>
      </c>
      <c r="C194" s="10" t="s">
        <v>122</v>
      </c>
      <c r="D194" s="10" t="s">
        <v>1433</v>
      </c>
      <c r="E194" s="10" t="s">
        <v>1426</v>
      </c>
      <c r="F194" s="10" t="s">
        <v>1418</v>
      </c>
      <c r="G194" s="10" t="s">
        <v>1408</v>
      </c>
    </row>
    <row r="195" spans="1:7">
      <c r="A195" s="8">
        <v>43096</v>
      </c>
      <c r="B195" s="11" t="s">
        <v>1435</v>
      </c>
      <c r="C195" s="10" t="s">
        <v>29</v>
      </c>
      <c r="D195" s="10" t="s">
        <v>1433</v>
      </c>
      <c r="E195" s="10" t="s">
        <v>1426</v>
      </c>
      <c r="F195" s="10" t="s">
        <v>1418</v>
      </c>
      <c r="G195" s="10" t="s">
        <v>1408</v>
      </c>
    </row>
    <row r="196" spans="1:7">
      <c r="A196" s="8">
        <v>43100</v>
      </c>
      <c r="B196" s="11" t="s">
        <v>1436</v>
      </c>
      <c r="C196" s="10" t="s">
        <v>248</v>
      </c>
      <c r="D196" s="10" t="s">
        <v>1433</v>
      </c>
      <c r="E196" s="10" t="s">
        <v>1426</v>
      </c>
      <c r="F196" s="10" t="s">
        <v>1418</v>
      </c>
      <c r="G196" s="13" t="s">
        <v>1408</v>
      </c>
    </row>
    <row r="197" spans="1:7">
      <c r="A197" s="8">
        <v>43103</v>
      </c>
      <c r="B197" s="11" t="s">
        <v>1437</v>
      </c>
      <c r="C197" s="10" t="s">
        <v>122</v>
      </c>
      <c r="D197" s="10" t="s">
        <v>1433</v>
      </c>
      <c r="E197" s="10" t="s">
        <v>1426</v>
      </c>
      <c r="F197" s="10" t="s">
        <v>1418</v>
      </c>
      <c r="G197" s="13" t="s">
        <v>1408</v>
      </c>
    </row>
    <row r="198" spans="1:7">
      <c r="A198" s="8">
        <v>43106</v>
      </c>
      <c r="B198" s="11" t="s">
        <v>1438</v>
      </c>
      <c r="C198" s="10" t="s">
        <v>29</v>
      </c>
      <c r="D198" s="10" t="s">
        <v>1433</v>
      </c>
      <c r="E198" s="10" t="s">
        <v>1426</v>
      </c>
      <c r="F198" s="10" t="s">
        <v>1418</v>
      </c>
      <c r="G198" s="13" t="s">
        <v>1408</v>
      </c>
    </row>
    <row r="199" spans="1:7">
      <c r="A199" s="8">
        <v>50000</v>
      </c>
      <c r="B199" s="12" t="s">
        <v>1439</v>
      </c>
      <c r="C199" s="10" t="s">
        <v>248</v>
      </c>
      <c r="D199" s="10" t="s">
        <v>1440</v>
      </c>
      <c r="E199" s="10" t="s">
        <v>1441</v>
      </c>
      <c r="F199" s="10" t="s">
        <v>1441</v>
      </c>
      <c r="G199" s="10" t="s">
        <v>1408</v>
      </c>
    </row>
    <row r="200" spans="1:7">
      <c r="A200" s="8">
        <v>50010</v>
      </c>
      <c r="B200" s="12" t="s">
        <v>1442</v>
      </c>
      <c r="C200" s="10" t="s">
        <v>248</v>
      </c>
      <c r="D200" s="10" t="s">
        <v>1440</v>
      </c>
      <c r="E200" s="10" t="s">
        <v>1441</v>
      </c>
      <c r="F200" s="10" t="s">
        <v>1441</v>
      </c>
      <c r="G200" s="10" t="s">
        <v>1408</v>
      </c>
    </row>
    <row r="201" spans="1:7">
      <c r="A201" s="8">
        <v>50020</v>
      </c>
      <c r="B201" s="12" t="s">
        <v>1443</v>
      </c>
      <c r="C201" s="10" t="s">
        <v>248</v>
      </c>
      <c r="D201" s="10" t="s">
        <v>1440</v>
      </c>
      <c r="E201" s="10" t="s">
        <v>1441</v>
      </c>
      <c r="F201" s="10" t="s">
        <v>1441</v>
      </c>
      <c r="G201" s="10" t="s">
        <v>1408</v>
      </c>
    </row>
    <row r="202" spans="1:7">
      <c r="A202" s="8">
        <v>50030</v>
      </c>
      <c r="B202" s="12" t="s">
        <v>1444</v>
      </c>
      <c r="C202" s="10" t="s">
        <v>248</v>
      </c>
      <c r="D202" s="10" t="s">
        <v>1440</v>
      </c>
      <c r="E202" s="10" t="s">
        <v>1441</v>
      </c>
      <c r="F202" s="10" t="s">
        <v>1441</v>
      </c>
      <c r="G202" s="10" t="s">
        <v>1408</v>
      </c>
    </row>
    <row r="203" spans="1:7">
      <c r="A203" s="8">
        <v>50040</v>
      </c>
      <c r="B203" s="12" t="s">
        <v>1445</v>
      </c>
      <c r="C203" s="10" t="s">
        <v>248</v>
      </c>
      <c r="D203" s="10" t="s">
        <v>1440</v>
      </c>
      <c r="E203" s="10" t="s">
        <v>1441</v>
      </c>
      <c r="F203" s="10" t="s">
        <v>1441</v>
      </c>
      <c r="G203" s="10" t="s">
        <v>1408</v>
      </c>
    </row>
    <row r="204" spans="1:7">
      <c r="A204" s="8">
        <v>50050</v>
      </c>
      <c r="B204" s="12" t="s">
        <v>1446</v>
      </c>
      <c r="C204" s="10" t="s">
        <v>248</v>
      </c>
      <c r="D204" s="10" t="s">
        <v>1440</v>
      </c>
      <c r="E204" s="10" t="s">
        <v>1441</v>
      </c>
      <c r="F204" s="10" t="s">
        <v>1441</v>
      </c>
      <c r="G204" s="10" t="s">
        <v>1408</v>
      </c>
    </row>
    <row r="205" spans="1:7">
      <c r="A205" s="8">
        <v>50060</v>
      </c>
      <c r="B205" s="12" t="s">
        <v>1447</v>
      </c>
      <c r="C205" s="10" t="s">
        <v>248</v>
      </c>
      <c r="D205" s="10" t="s">
        <v>1440</v>
      </c>
      <c r="E205" s="10" t="s">
        <v>1441</v>
      </c>
      <c r="F205" s="10" t="s">
        <v>1441</v>
      </c>
      <c r="G205" s="10" t="s">
        <v>1408</v>
      </c>
    </row>
    <row r="206" spans="1:7">
      <c r="A206" s="8">
        <v>50070</v>
      </c>
      <c r="B206" s="12" t="s">
        <v>1448</v>
      </c>
      <c r="C206" s="10" t="s">
        <v>248</v>
      </c>
      <c r="D206" s="10" t="s">
        <v>1440</v>
      </c>
      <c r="E206" s="10" t="s">
        <v>1441</v>
      </c>
      <c r="F206" s="10" t="s">
        <v>1441</v>
      </c>
      <c r="G206" s="10" t="s">
        <v>1408</v>
      </c>
    </row>
    <row r="207" spans="1:7">
      <c r="A207" s="8">
        <v>50080</v>
      </c>
      <c r="B207" s="12" t="s">
        <v>1449</v>
      </c>
      <c r="C207" s="10" t="s">
        <v>248</v>
      </c>
      <c r="D207" s="10" t="s">
        <v>1440</v>
      </c>
      <c r="E207" s="10" t="s">
        <v>1441</v>
      </c>
      <c r="F207" s="10" t="s">
        <v>1441</v>
      </c>
      <c r="G207" s="10" t="s">
        <v>1408</v>
      </c>
    </row>
    <row r="208" spans="1:7">
      <c r="A208" s="8">
        <v>50090</v>
      </c>
      <c r="B208" s="12" t="s">
        <v>1450</v>
      </c>
      <c r="C208" s="10" t="s">
        <v>248</v>
      </c>
      <c r="D208" s="10" t="s">
        <v>1440</v>
      </c>
      <c r="E208" s="10" t="s">
        <v>1441</v>
      </c>
      <c r="F208" s="10" t="s">
        <v>1441</v>
      </c>
      <c r="G208" s="10" t="s">
        <v>1408</v>
      </c>
    </row>
    <row r="209" spans="1:7">
      <c r="A209" s="8">
        <v>50100</v>
      </c>
      <c r="B209" s="12" t="s">
        <v>1451</v>
      </c>
      <c r="C209" s="10" t="s">
        <v>248</v>
      </c>
      <c r="D209" s="10" t="s">
        <v>1440</v>
      </c>
      <c r="E209" s="10" t="s">
        <v>1441</v>
      </c>
      <c r="F209" s="10" t="s">
        <v>1441</v>
      </c>
      <c r="G209" s="10" t="s">
        <v>1408</v>
      </c>
    </row>
    <row r="210" spans="1:7">
      <c r="A210" s="8">
        <v>50110</v>
      </c>
      <c r="B210" s="12" t="s">
        <v>1452</v>
      </c>
      <c r="C210" s="10" t="s">
        <v>248</v>
      </c>
      <c r="D210" s="10" t="s">
        <v>1440</v>
      </c>
      <c r="E210" s="10" t="s">
        <v>1441</v>
      </c>
      <c r="F210" s="10" t="s">
        <v>1441</v>
      </c>
      <c r="G210" s="10" t="s">
        <v>1408</v>
      </c>
    </row>
    <row r="211" spans="1:7">
      <c r="A211" s="8">
        <v>51003</v>
      </c>
      <c r="B211" s="12" t="s">
        <v>1453</v>
      </c>
      <c r="C211" s="10" t="s">
        <v>122</v>
      </c>
      <c r="D211" s="10" t="s">
        <v>1440</v>
      </c>
      <c r="E211" s="10" t="s">
        <v>1441</v>
      </c>
      <c r="F211" s="10" t="s">
        <v>1441</v>
      </c>
      <c r="G211" s="10" t="s">
        <v>1408</v>
      </c>
    </row>
    <row r="212" spans="1:7">
      <c r="A212" s="8">
        <v>51013</v>
      </c>
      <c r="B212" s="12" t="s">
        <v>1454</v>
      </c>
      <c r="C212" s="10" t="s">
        <v>122</v>
      </c>
      <c r="D212" s="10" t="s">
        <v>1440</v>
      </c>
      <c r="E212" s="10" t="s">
        <v>1441</v>
      </c>
      <c r="F212" s="10" t="s">
        <v>1441</v>
      </c>
      <c r="G212" s="10" t="s">
        <v>1408</v>
      </c>
    </row>
    <row r="213" spans="1:7">
      <c r="A213" s="8">
        <v>51023</v>
      </c>
      <c r="B213" s="12" t="s">
        <v>1455</v>
      </c>
      <c r="C213" s="10" t="s">
        <v>122</v>
      </c>
      <c r="D213" s="10" t="s">
        <v>1440</v>
      </c>
      <c r="E213" s="10" t="s">
        <v>1441</v>
      </c>
      <c r="F213" s="10" t="s">
        <v>1441</v>
      </c>
      <c r="G213" s="10" t="s">
        <v>1408</v>
      </c>
    </row>
    <row r="214" spans="1:7">
      <c r="A214" s="8">
        <v>51033</v>
      </c>
      <c r="B214" s="12" t="s">
        <v>1456</v>
      </c>
      <c r="C214" s="10" t="s">
        <v>122</v>
      </c>
      <c r="D214" s="10" t="s">
        <v>1440</v>
      </c>
      <c r="E214" s="10" t="s">
        <v>1441</v>
      </c>
      <c r="F214" s="10" t="s">
        <v>1441</v>
      </c>
      <c r="G214" s="10" t="s">
        <v>1408</v>
      </c>
    </row>
    <row r="215" spans="1:7">
      <c r="A215" s="8">
        <v>51043</v>
      </c>
      <c r="B215" s="12" t="s">
        <v>1457</v>
      </c>
      <c r="C215" s="10" t="s">
        <v>122</v>
      </c>
      <c r="D215" s="10" t="s">
        <v>1440</v>
      </c>
      <c r="E215" s="10" t="s">
        <v>1441</v>
      </c>
      <c r="F215" s="10" t="s">
        <v>1441</v>
      </c>
      <c r="G215" s="10" t="s">
        <v>1408</v>
      </c>
    </row>
    <row r="216" spans="1:7">
      <c r="A216" s="8">
        <v>51053</v>
      </c>
      <c r="B216" s="12" t="s">
        <v>1458</v>
      </c>
      <c r="C216" s="10" t="s">
        <v>122</v>
      </c>
      <c r="D216" s="10" t="s">
        <v>1440</v>
      </c>
      <c r="E216" s="10" t="s">
        <v>1441</v>
      </c>
      <c r="F216" s="10" t="s">
        <v>1441</v>
      </c>
      <c r="G216" s="10" t="s">
        <v>1408</v>
      </c>
    </row>
    <row r="217" spans="1:7">
      <c r="A217" s="8">
        <v>51063</v>
      </c>
      <c r="B217" s="12" t="s">
        <v>1459</v>
      </c>
      <c r="C217" s="10" t="s">
        <v>122</v>
      </c>
      <c r="D217" s="10" t="s">
        <v>1440</v>
      </c>
      <c r="E217" s="10" t="s">
        <v>1441</v>
      </c>
      <c r="F217" s="10" t="s">
        <v>1441</v>
      </c>
      <c r="G217" s="10" t="s">
        <v>1408</v>
      </c>
    </row>
    <row r="218" spans="1:7">
      <c r="A218" s="8">
        <v>51073</v>
      </c>
      <c r="B218" s="12" t="s">
        <v>1460</v>
      </c>
      <c r="C218" s="10" t="s">
        <v>122</v>
      </c>
      <c r="D218" s="10" t="s">
        <v>1440</v>
      </c>
      <c r="E218" s="10" t="s">
        <v>1441</v>
      </c>
      <c r="F218" s="10" t="s">
        <v>1441</v>
      </c>
      <c r="G218" s="10" t="s">
        <v>1408</v>
      </c>
    </row>
    <row r="219" spans="1:7">
      <c r="A219" s="8">
        <v>51083</v>
      </c>
      <c r="B219" s="12" t="s">
        <v>1461</v>
      </c>
      <c r="C219" s="10" t="s">
        <v>122</v>
      </c>
      <c r="D219" s="10" t="s">
        <v>1440</v>
      </c>
      <c r="E219" s="10" t="s">
        <v>1441</v>
      </c>
      <c r="F219" s="10" t="s">
        <v>1441</v>
      </c>
      <c r="G219" s="10" t="s">
        <v>1408</v>
      </c>
    </row>
    <row r="220" spans="1:7">
      <c r="A220" s="8">
        <v>51093</v>
      </c>
      <c r="B220" s="12" t="s">
        <v>1462</v>
      </c>
      <c r="C220" s="10" t="s">
        <v>122</v>
      </c>
      <c r="D220" s="10" t="s">
        <v>1440</v>
      </c>
      <c r="E220" s="10" t="s">
        <v>1441</v>
      </c>
      <c r="F220" s="10" t="s">
        <v>1441</v>
      </c>
      <c r="G220" s="10" t="s">
        <v>1408</v>
      </c>
    </row>
    <row r="221" spans="1:7">
      <c r="A221" s="8">
        <v>51103</v>
      </c>
      <c r="B221" s="12" t="s">
        <v>1463</v>
      </c>
      <c r="C221" s="10" t="s">
        <v>122</v>
      </c>
      <c r="D221" s="10" t="s">
        <v>1440</v>
      </c>
      <c r="E221" s="10" t="s">
        <v>1441</v>
      </c>
      <c r="F221" s="10" t="s">
        <v>1441</v>
      </c>
      <c r="G221" s="10" t="s">
        <v>1408</v>
      </c>
    </row>
    <row r="222" spans="1:7">
      <c r="A222" s="8">
        <v>51113</v>
      </c>
      <c r="B222" s="12" t="s">
        <v>1464</v>
      </c>
      <c r="C222" s="10" t="s">
        <v>122</v>
      </c>
      <c r="D222" s="10" t="s">
        <v>1440</v>
      </c>
      <c r="E222" s="10" t="s">
        <v>1441</v>
      </c>
      <c r="F222" s="10" t="s">
        <v>1441</v>
      </c>
      <c r="G222" s="10" t="s">
        <v>1408</v>
      </c>
    </row>
    <row r="223" spans="1:7">
      <c r="A223" s="8">
        <v>51123</v>
      </c>
      <c r="B223" s="12" t="s">
        <v>1465</v>
      </c>
      <c r="C223" s="10" t="s">
        <v>122</v>
      </c>
      <c r="D223" s="10" t="s">
        <v>1440</v>
      </c>
      <c r="E223" s="10" t="s">
        <v>1441</v>
      </c>
      <c r="F223" s="10" t="s">
        <v>1441</v>
      </c>
      <c r="G223" s="10" t="s">
        <v>1408</v>
      </c>
    </row>
    <row r="224" spans="1:7">
      <c r="A224" s="8">
        <v>51133</v>
      </c>
      <c r="B224" s="12" t="s">
        <v>1466</v>
      </c>
      <c r="C224" s="10" t="s">
        <v>122</v>
      </c>
      <c r="D224" s="10" t="s">
        <v>1440</v>
      </c>
      <c r="E224" s="10" t="s">
        <v>1441</v>
      </c>
      <c r="F224" s="10" t="s">
        <v>1441</v>
      </c>
      <c r="G224" s="10" t="s">
        <v>1408</v>
      </c>
    </row>
    <row r="225" spans="1:7">
      <c r="A225" s="8">
        <v>51143</v>
      </c>
      <c r="B225" s="12" t="s">
        <v>1467</v>
      </c>
      <c r="C225" s="10" t="s">
        <v>122</v>
      </c>
      <c r="D225" s="10" t="s">
        <v>1440</v>
      </c>
      <c r="E225" s="10" t="s">
        <v>1441</v>
      </c>
      <c r="F225" s="10" t="s">
        <v>1441</v>
      </c>
      <c r="G225" s="10" t="s">
        <v>1408</v>
      </c>
    </row>
    <row r="226" spans="1:7">
      <c r="A226" s="8">
        <v>51153</v>
      </c>
      <c r="B226" s="12" t="s">
        <v>1468</v>
      </c>
      <c r="C226" s="10" t="s">
        <v>122</v>
      </c>
      <c r="D226" s="10" t="s">
        <v>1440</v>
      </c>
      <c r="E226" s="10" t="s">
        <v>1441</v>
      </c>
      <c r="F226" s="10" t="s">
        <v>1441</v>
      </c>
      <c r="G226" s="10" t="s">
        <v>1408</v>
      </c>
    </row>
    <row r="227" spans="1:7">
      <c r="A227" s="8">
        <v>51163</v>
      </c>
      <c r="B227" s="12" t="s">
        <v>1469</v>
      </c>
      <c r="C227" s="10" t="s">
        <v>122</v>
      </c>
      <c r="D227" s="10" t="s">
        <v>1440</v>
      </c>
      <c r="E227" s="10" t="s">
        <v>1441</v>
      </c>
      <c r="F227" s="10" t="s">
        <v>1441</v>
      </c>
      <c r="G227" s="10" t="s">
        <v>1408</v>
      </c>
    </row>
    <row r="228" spans="1:7">
      <c r="A228" s="8">
        <v>51173</v>
      </c>
      <c r="B228" s="12" t="s">
        <v>1470</v>
      </c>
      <c r="C228" s="10" t="s">
        <v>122</v>
      </c>
      <c r="D228" s="10" t="s">
        <v>1440</v>
      </c>
      <c r="E228" s="10" t="s">
        <v>1441</v>
      </c>
      <c r="F228" s="10" t="s">
        <v>1441</v>
      </c>
      <c r="G228" s="10" t="s">
        <v>1408</v>
      </c>
    </row>
    <row r="229" spans="1:7">
      <c r="A229" s="8">
        <v>52006</v>
      </c>
      <c r="B229" s="12" t="s">
        <v>1471</v>
      </c>
      <c r="C229" s="10" t="s">
        <v>29</v>
      </c>
      <c r="D229" s="10" t="s">
        <v>1440</v>
      </c>
      <c r="E229" s="10" t="s">
        <v>1441</v>
      </c>
      <c r="F229" s="10" t="s">
        <v>1441</v>
      </c>
      <c r="G229" s="10" t="s">
        <v>1408</v>
      </c>
    </row>
    <row r="230" spans="1:7">
      <c r="A230" s="8">
        <v>52016</v>
      </c>
      <c r="B230" s="12" t="s">
        <v>1472</v>
      </c>
      <c r="C230" s="10" t="s">
        <v>29</v>
      </c>
      <c r="D230" s="10" t="s">
        <v>1440</v>
      </c>
      <c r="E230" s="10" t="s">
        <v>1441</v>
      </c>
      <c r="F230" s="10" t="s">
        <v>1441</v>
      </c>
      <c r="G230" s="10" t="s">
        <v>1408</v>
      </c>
    </row>
    <row r="231" spans="1:7">
      <c r="A231" s="8">
        <v>52026</v>
      </c>
      <c r="B231" s="12" t="s">
        <v>1473</v>
      </c>
      <c r="C231" s="10" t="s">
        <v>29</v>
      </c>
      <c r="D231" s="10" t="s">
        <v>1440</v>
      </c>
      <c r="E231" s="10" t="s">
        <v>1441</v>
      </c>
      <c r="F231" s="10" t="s">
        <v>1441</v>
      </c>
      <c r="G231" s="10" t="s">
        <v>1408</v>
      </c>
    </row>
    <row r="232" spans="1:7">
      <c r="A232" s="8">
        <v>52036</v>
      </c>
      <c r="B232" s="12" t="s">
        <v>1474</v>
      </c>
      <c r="C232" s="10" t="s">
        <v>29</v>
      </c>
      <c r="D232" s="10" t="s">
        <v>1440</v>
      </c>
      <c r="E232" s="10" t="s">
        <v>1441</v>
      </c>
      <c r="F232" s="10" t="s">
        <v>1441</v>
      </c>
      <c r="G232" s="10" t="s">
        <v>1408</v>
      </c>
    </row>
    <row r="233" spans="1:7">
      <c r="A233" s="8">
        <v>52046</v>
      </c>
      <c r="B233" s="12" t="s">
        <v>1475</v>
      </c>
      <c r="C233" s="10" t="s">
        <v>29</v>
      </c>
      <c r="D233" s="10" t="s">
        <v>1440</v>
      </c>
      <c r="E233" s="10" t="s">
        <v>1441</v>
      </c>
      <c r="F233" s="10" t="s">
        <v>1441</v>
      </c>
      <c r="G233" s="10" t="s">
        <v>1408</v>
      </c>
    </row>
    <row r="234" spans="1:7">
      <c r="A234" s="8">
        <v>61000</v>
      </c>
      <c r="B234" s="12" t="s">
        <v>1476</v>
      </c>
      <c r="C234" s="10" t="s">
        <v>248</v>
      </c>
      <c r="D234" s="10" t="s">
        <v>1477</v>
      </c>
      <c r="E234" s="10" t="s">
        <v>1478</v>
      </c>
      <c r="F234" s="10" t="s">
        <v>1479</v>
      </c>
      <c r="G234" s="10" t="s">
        <v>1408</v>
      </c>
    </row>
    <row r="235" spans="1:7">
      <c r="A235" s="8">
        <v>61003</v>
      </c>
      <c r="B235" s="12" t="s">
        <v>1480</v>
      </c>
      <c r="C235" s="10" t="s">
        <v>122</v>
      </c>
      <c r="D235" s="10" t="s">
        <v>1477</v>
      </c>
      <c r="E235" s="10" t="s">
        <v>1478</v>
      </c>
      <c r="F235" s="10" t="s">
        <v>1479</v>
      </c>
      <c r="G235" s="10" t="s">
        <v>1408</v>
      </c>
    </row>
    <row r="236" spans="1:7">
      <c r="A236" s="8">
        <v>61006</v>
      </c>
      <c r="B236" s="12" t="s">
        <v>1481</v>
      </c>
      <c r="C236" s="10" t="s">
        <v>29</v>
      </c>
      <c r="D236" s="10" t="s">
        <v>1477</v>
      </c>
      <c r="E236" s="10" t="s">
        <v>1478</v>
      </c>
      <c r="F236" s="10" t="s">
        <v>1479</v>
      </c>
      <c r="G236" s="10" t="s">
        <v>1408</v>
      </c>
    </row>
    <row r="237" spans="1:7">
      <c r="A237" s="8">
        <v>61200</v>
      </c>
      <c r="B237" s="12" t="s">
        <v>1482</v>
      </c>
      <c r="C237" s="10" t="s">
        <v>248</v>
      </c>
      <c r="D237" s="10" t="s">
        <v>1477</v>
      </c>
      <c r="E237" s="10" t="s">
        <v>1483</v>
      </c>
      <c r="F237" s="10" t="s">
        <v>1479</v>
      </c>
      <c r="G237" s="10" t="s">
        <v>1408</v>
      </c>
    </row>
    <row r="238" spans="1:7">
      <c r="A238" s="8">
        <v>61203</v>
      </c>
      <c r="B238" s="12" t="s">
        <v>1484</v>
      </c>
      <c r="C238" s="10" t="s">
        <v>122</v>
      </c>
      <c r="D238" s="10" t="s">
        <v>1477</v>
      </c>
      <c r="E238" s="10" t="s">
        <v>1483</v>
      </c>
      <c r="F238" s="10" t="s">
        <v>1479</v>
      </c>
      <c r="G238" s="10" t="s">
        <v>1408</v>
      </c>
    </row>
    <row r="239" spans="1:7">
      <c r="A239" s="8">
        <v>61206</v>
      </c>
      <c r="B239" s="12" t="s">
        <v>1485</v>
      </c>
      <c r="C239" s="10" t="s">
        <v>29</v>
      </c>
      <c r="D239" s="10" t="s">
        <v>1477</v>
      </c>
      <c r="E239" s="10" t="s">
        <v>1483</v>
      </c>
      <c r="F239" s="10" t="s">
        <v>1479</v>
      </c>
      <c r="G239" s="10" t="s">
        <v>1408</v>
      </c>
    </row>
    <row r="240" spans="1:7">
      <c r="A240" s="8">
        <v>61400</v>
      </c>
      <c r="B240" s="14" t="s">
        <v>1486</v>
      </c>
      <c r="C240" s="10" t="s">
        <v>248</v>
      </c>
      <c r="D240" s="10" t="s">
        <v>1477</v>
      </c>
      <c r="E240" s="10" t="s">
        <v>1487</v>
      </c>
      <c r="F240" s="10" t="s">
        <v>1479</v>
      </c>
      <c r="G240" s="10" t="s">
        <v>1408</v>
      </c>
    </row>
    <row r="241" spans="1:7">
      <c r="A241" s="8">
        <v>61403</v>
      </c>
      <c r="B241" s="14" t="s">
        <v>1488</v>
      </c>
      <c r="C241" s="10" t="s">
        <v>122</v>
      </c>
      <c r="D241" s="10" t="s">
        <v>1477</v>
      </c>
      <c r="E241" s="10" t="s">
        <v>1487</v>
      </c>
      <c r="F241" s="10" t="s">
        <v>1479</v>
      </c>
      <c r="G241" s="10" t="s">
        <v>1408</v>
      </c>
    </row>
    <row r="242" spans="1:7">
      <c r="A242" s="8">
        <v>61406</v>
      </c>
      <c r="B242" s="14" t="s">
        <v>1489</v>
      </c>
      <c r="C242" s="10" t="s">
        <v>29</v>
      </c>
      <c r="D242" s="10" t="s">
        <v>1477</v>
      </c>
      <c r="E242" s="10" t="s">
        <v>1487</v>
      </c>
      <c r="F242" s="10" t="s">
        <v>1479</v>
      </c>
      <c r="G242" s="10" t="s">
        <v>1408</v>
      </c>
    </row>
    <row r="243" spans="1:7">
      <c r="A243" s="8">
        <v>61600</v>
      </c>
      <c r="B243" s="12" t="s">
        <v>1490</v>
      </c>
      <c r="C243" s="10" t="s">
        <v>248</v>
      </c>
      <c r="D243" s="10" t="s">
        <v>1477</v>
      </c>
      <c r="E243" s="10" t="s">
        <v>1491</v>
      </c>
      <c r="F243" s="10" t="s">
        <v>1479</v>
      </c>
      <c r="G243" s="10" t="s">
        <v>1408</v>
      </c>
    </row>
    <row r="244" spans="1:7">
      <c r="A244" s="8">
        <v>61603</v>
      </c>
      <c r="B244" s="12" t="s">
        <v>1492</v>
      </c>
      <c r="C244" s="10" t="s">
        <v>122</v>
      </c>
      <c r="D244" s="10" t="s">
        <v>1477</v>
      </c>
      <c r="E244" s="10" t="s">
        <v>1491</v>
      </c>
      <c r="F244" s="10" t="s">
        <v>1479</v>
      </c>
      <c r="G244" s="10" t="s">
        <v>1408</v>
      </c>
    </row>
    <row r="245" spans="1:7">
      <c r="A245" s="8">
        <v>61606</v>
      </c>
      <c r="B245" s="12" t="s">
        <v>1493</v>
      </c>
      <c r="C245" s="10" t="s">
        <v>29</v>
      </c>
      <c r="D245" s="10" t="s">
        <v>1477</v>
      </c>
      <c r="E245" s="10" t="s">
        <v>1491</v>
      </c>
      <c r="F245" s="10" t="s">
        <v>1479</v>
      </c>
      <c r="G245" s="10" t="s">
        <v>1408</v>
      </c>
    </row>
    <row r="246" spans="1:7">
      <c r="A246" s="8">
        <v>61800</v>
      </c>
      <c r="B246" s="15" t="s">
        <v>1494</v>
      </c>
      <c r="C246" s="10" t="s">
        <v>248</v>
      </c>
      <c r="D246" s="10" t="s">
        <v>1477</v>
      </c>
      <c r="E246" s="10" t="s">
        <v>1495</v>
      </c>
      <c r="F246" s="10" t="s">
        <v>1479</v>
      </c>
      <c r="G246" s="10" t="s">
        <v>1408</v>
      </c>
    </row>
    <row r="247" spans="1:7">
      <c r="A247" s="8">
        <v>61803</v>
      </c>
      <c r="B247" s="15" t="s">
        <v>1496</v>
      </c>
      <c r="C247" s="10" t="s">
        <v>122</v>
      </c>
      <c r="D247" s="10" t="s">
        <v>1477</v>
      </c>
      <c r="E247" s="10" t="s">
        <v>1495</v>
      </c>
      <c r="F247" s="10" t="s">
        <v>1479</v>
      </c>
      <c r="G247" s="10" t="s">
        <v>1408</v>
      </c>
    </row>
    <row r="248" spans="1:7">
      <c r="A248" s="8">
        <v>61806</v>
      </c>
      <c r="B248" s="15" t="s">
        <v>1497</v>
      </c>
      <c r="C248" s="10" t="s">
        <v>29</v>
      </c>
      <c r="D248" s="10" t="s">
        <v>1477</v>
      </c>
      <c r="E248" s="10" t="s">
        <v>1495</v>
      </c>
      <c r="F248" s="10" t="s">
        <v>1479</v>
      </c>
      <c r="G248" s="10" t="s">
        <v>1408</v>
      </c>
    </row>
    <row r="249" spans="1:7">
      <c r="A249" s="8">
        <v>62000</v>
      </c>
      <c r="B249" s="12" t="s">
        <v>1498</v>
      </c>
      <c r="C249" s="10" t="s">
        <v>248</v>
      </c>
      <c r="D249" s="10" t="s">
        <v>1477</v>
      </c>
      <c r="E249" s="10" t="s">
        <v>1499</v>
      </c>
      <c r="F249" s="10" t="s">
        <v>1479</v>
      </c>
      <c r="G249" s="10" t="s">
        <v>1408</v>
      </c>
    </row>
    <row r="250" spans="1:7">
      <c r="A250" s="8">
        <v>62003</v>
      </c>
      <c r="B250" s="12" t="s">
        <v>1500</v>
      </c>
      <c r="C250" s="10" t="s">
        <v>122</v>
      </c>
      <c r="D250" s="10" t="s">
        <v>1477</v>
      </c>
      <c r="E250" s="10" t="s">
        <v>1499</v>
      </c>
      <c r="F250" s="10" t="s">
        <v>1479</v>
      </c>
      <c r="G250" s="10" t="s">
        <v>1408</v>
      </c>
    </row>
    <row r="251" spans="1:7">
      <c r="A251" s="8">
        <v>62200</v>
      </c>
      <c r="B251" s="12" t="s">
        <v>1501</v>
      </c>
      <c r="C251" s="10" t="s">
        <v>248</v>
      </c>
      <c r="D251" s="10" t="s">
        <v>1477</v>
      </c>
      <c r="E251" s="10" t="s">
        <v>1502</v>
      </c>
      <c r="F251" s="10" t="s">
        <v>1479</v>
      </c>
      <c r="G251" s="10" t="s">
        <v>1408</v>
      </c>
    </row>
    <row r="252" spans="1:7">
      <c r="A252" s="8">
        <v>62203</v>
      </c>
      <c r="B252" s="12" t="s">
        <v>1503</v>
      </c>
      <c r="C252" s="10" t="s">
        <v>122</v>
      </c>
      <c r="D252" s="10" t="s">
        <v>1477</v>
      </c>
      <c r="E252" s="10" t="s">
        <v>1502</v>
      </c>
      <c r="F252" s="10" t="s">
        <v>1479</v>
      </c>
      <c r="G252" s="10" t="s">
        <v>1408</v>
      </c>
    </row>
    <row r="253" spans="1:7">
      <c r="A253" s="8">
        <v>62206</v>
      </c>
      <c r="B253" s="12" t="s">
        <v>1504</v>
      </c>
      <c r="C253" s="10" t="s">
        <v>29</v>
      </c>
      <c r="D253" s="10" t="s">
        <v>1477</v>
      </c>
      <c r="E253" s="10" t="s">
        <v>1502</v>
      </c>
      <c r="F253" s="10" t="s">
        <v>1479</v>
      </c>
      <c r="G253" s="10" t="s">
        <v>1408</v>
      </c>
    </row>
    <row r="254" spans="1:7">
      <c r="A254" s="8">
        <v>62400</v>
      </c>
      <c r="B254" s="16" t="s">
        <v>1505</v>
      </c>
      <c r="C254" s="10" t="s">
        <v>248</v>
      </c>
      <c r="D254" s="10" t="s">
        <v>1477</v>
      </c>
      <c r="E254" s="10" t="s">
        <v>1506</v>
      </c>
      <c r="F254" s="10" t="s">
        <v>1479</v>
      </c>
      <c r="G254" s="10" t="s">
        <v>1408</v>
      </c>
    </row>
    <row r="255" spans="1:7">
      <c r="A255" s="8">
        <v>62403</v>
      </c>
      <c r="B255" s="16" t="s">
        <v>1507</v>
      </c>
      <c r="C255" s="10" t="s">
        <v>122</v>
      </c>
      <c r="D255" s="10" t="s">
        <v>1477</v>
      </c>
      <c r="E255" s="10" t="s">
        <v>1506</v>
      </c>
      <c r="F255" s="10" t="s">
        <v>1479</v>
      </c>
      <c r="G255" s="10" t="s">
        <v>1408</v>
      </c>
    </row>
    <row r="256" spans="1:7">
      <c r="A256" s="8">
        <v>62600</v>
      </c>
      <c r="B256" s="14" t="s">
        <v>1508</v>
      </c>
      <c r="C256" s="10" t="s">
        <v>248</v>
      </c>
      <c r="D256" s="10" t="s">
        <v>1477</v>
      </c>
      <c r="E256" s="10" t="s">
        <v>1509</v>
      </c>
      <c r="F256" s="10" t="s">
        <v>1479</v>
      </c>
      <c r="G256" s="10" t="s">
        <v>1408</v>
      </c>
    </row>
    <row r="257" spans="1:7">
      <c r="A257" s="8">
        <v>62603</v>
      </c>
      <c r="B257" s="14" t="s">
        <v>1510</v>
      </c>
      <c r="C257" s="10" t="s">
        <v>122</v>
      </c>
      <c r="D257" s="10" t="s">
        <v>1477</v>
      </c>
      <c r="E257" s="10" t="s">
        <v>1509</v>
      </c>
      <c r="F257" s="10" t="s">
        <v>1479</v>
      </c>
      <c r="G257" s="10" t="s">
        <v>1408</v>
      </c>
    </row>
    <row r="258" spans="1:7">
      <c r="A258" s="8">
        <v>62606</v>
      </c>
      <c r="B258" s="14" t="s">
        <v>1511</v>
      </c>
      <c r="C258" s="10" t="s">
        <v>29</v>
      </c>
      <c r="D258" s="10" t="s">
        <v>1477</v>
      </c>
      <c r="E258" s="10" t="s">
        <v>1509</v>
      </c>
      <c r="F258" s="10" t="s">
        <v>1479</v>
      </c>
      <c r="G258" s="10" t="s">
        <v>1408</v>
      </c>
    </row>
    <row r="259" spans="1:7">
      <c r="A259" s="8">
        <v>62610</v>
      </c>
      <c r="B259" s="12" t="s">
        <v>1512</v>
      </c>
      <c r="C259" s="10" t="s">
        <v>248</v>
      </c>
      <c r="D259" s="10" t="s">
        <v>1477</v>
      </c>
      <c r="E259" s="10" t="s">
        <v>1509</v>
      </c>
      <c r="F259" s="10" t="s">
        <v>1479</v>
      </c>
      <c r="G259" s="10" t="s">
        <v>1408</v>
      </c>
    </row>
    <row r="260" spans="1:7">
      <c r="A260" s="8">
        <v>62613</v>
      </c>
      <c r="B260" s="12" t="s">
        <v>1513</v>
      </c>
      <c r="C260" s="10" t="s">
        <v>122</v>
      </c>
      <c r="D260" s="10" t="s">
        <v>1477</v>
      </c>
      <c r="E260" s="10" t="s">
        <v>1509</v>
      </c>
      <c r="F260" s="10" t="s">
        <v>1479</v>
      </c>
      <c r="G260" s="10" t="s">
        <v>1408</v>
      </c>
    </row>
    <row r="261" spans="1:7">
      <c r="A261" s="8">
        <v>62616</v>
      </c>
      <c r="B261" s="12" t="s">
        <v>1514</v>
      </c>
      <c r="C261" s="10" t="s">
        <v>29</v>
      </c>
      <c r="D261" s="10" t="s">
        <v>1477</v>
      </c>
      <c r="E261" s="10" t="s">
        <v>1509</v>
      </c>
      <c r="F261" s="10" t="s">
        <v>1479</v>
      </c>
      <c r="G261" s="10" t="s">
        <v>1408</v>
      </c>
    </row>
    <row r="262" spans="1:7">
      <c r="A262" s="8">
        <v>62620</v>
      </c>
      <c r="B262" s="16" t="s">
        <v>1515</v>
      </c>
      <c r="C262" s="10" t="s">
        <v>248</v>
      </c>
      <c r="D262" s="10" t="s">
        <v>1477</v>
      </c>
      <c r="E262" s="10" t="s">
        <v>1509</v>
      </c>
      <c r="F262" s="10" t="s">
        <v>1479</v>
      </c>
      <c r="G262" s="10" t="s">
        <v>1408</v>
      </c>
    </row>
    <row r="263" spans="1:7">
      <c r="A263" s="8">
        <v>62623</v>
      </c>
      <c r="B263" s="16" t="s">
        <v>1516</v>
      </c>
      <c r="C263" s="10" t="s">
        <v>122</v>
      </c>
      <c r="D263" s="10" t="s">
        <v>1477</v>
      </c>
      <c r="E263" s="10" t="s">
        <v>1509</v>
      </c>
      <c r="F263" s="10" t="s">
        <v>1479</v>
      </c>
      <c r="G263" s="10" t="s">
        <v>1408</v>
      </c>
    </row>
    <row r="264" spans="1:7">
      <c r="A264" s="8">
        <v>62626</v>
      </c>
      <c r="B264" s="16" t="s">
        <v>1517</v>
      </c>
      <c r="C264" s="10" t="s">
        <v>29</v>
      </c>
      <c r="D264" s="10" t="s">
        <v>1477</v>
      </c>
      <c r="E264" s="10" t="s">
        <v>1509</v>
      </c>
      <c r="F264" s="10" t="s">
        <v>1479</v>
      </c>
      <c r="G264" s="10" t="s">
        <v>1408</v>
      </c>
    </row>
    <row r="265" spans="1:7">
      <c r="A265" s="8">
        <v>62630</v>
      </c>
      <c r="B265" s="12" t="s">
        <v>1518</v>
      </c>
      <c r="C265" s="10" t="s">
        <v>248</v>
      </c>
      <c r="D265" s="10" t="s">
        <v>1477</v>
      </c>
      <c r="E265" s="10" t="s">
        <v>1509</v>
      </c>
      <c r="F265" s="10" t="s">
        <v>1479</v>
      </c>
      <c r="G265" s="10" t="s">
        <v>1408</v>
      </c>
    </row>
    <row r="266" spans="1:7">
      <c r="A266" s="8">
        <v>62633</v>
      </c>
      <c r="B266" s="12" t="s">
        <v>1519</v>
      </c>
      <c r="C266" s="10" t="s">
        <v>122</v>
      </c>
      <c r="D266" s="10" t="s">
        <v>1477</v>
      </c>
      <c r="E266" s="10" t="s">
        <v>1509</v>
      </c>
      <c r="F266" s="10" t="s">
        <v>1479</v>
      </c>
      <c r="G266" s="10" t="s">
        <v>1408</v>
      </c>
    </row>
    <row r="267" spans="1:7">
      <c r="A267" s="8">
        <v>62636</v>
      </c>
      <c r="B267" s="12" t="s">
        <v>1520</v>
      </c>
      <c r="C267" s="10" t="s">
        <v>29</v>
      </c>
      <c r="D267" s="10" t="s">
        <v>1477</v>
      </c>
      <c r="E267" s="10" t="s">
        <v>1509</v>
      </c>
      <c r="F267" s="10" t="s">
        <v>1479</v>
      </c>
      <c r="G267" s="10" t="s">
        <v>1408</v>
      </c>
    </row>
    <row r="268" spans="1:7">
      <c r="A268" s="8">
        <v>62640</v>
      </c>
      <c r="B268" s="12" t="s">
        <v>1521</v>
      </c>
      <c r="C268" s="10" t="s">
        <v>248</v>
      </c>
      <c r="D268" s="10" t="s">
        <v>1477</v>
      </c>
      <c r="E268" s="10" t="s">
        <v>1509</v>
      </c>
      <c r="F268" s="10" t="s">
        <v>1479</v>
      </c>
      <c r="G268" s="10" t="s">
        <v>1408</v>
      </c>
    </row>
    <row r="269" spans="1:7">
      <c r="A269" s="8">
        <v>62643</v>
      </c>
      <c r="B269" s="12" t="s">
        <v>1522</v>
      </c>
      <c r="C269" s="10" t="s">
        <v>122</v>
      </c>
      <c r="D269" s="10" t="s">
        <v>1477</v>
      </c>
      <c r="E269" s="10" t="s">
        <v>1509</v>
      </c>
      <c r="F269" s="10" t="s">
        <v>1479</v>
      </c>
      <c r="G269" s="10" t="s">
        <v>1408</v>
      </c>
    </row>
    <row r="270" spans="1:7">
      <c r="A270" s="8">
        <v>62646</v>
      </c>
      <c r="B270" s="12" t="s">
        <v>1523</v>
      </c>
      <c r="C270" s="10" t="s">
        <v>29</v>
      </c>
      <c r="D270" s="10" t="s">
        <v>1477</v>
      </c>
      <c r="E270" s="10" t="s">
        <v>1509</v>
      </c>
      <c r="F270" s="10" t="s">
        <v>1479</v>
      </c>
      <c r="G270" s="10" t="s">
        <v>1408</v>
      </c>
    </row>
    <row r="271" spans="1:7">
      <c r="A271" s="8">
        <v>62650</v>
      </c>
      <c r="B271" s="12" t="s">
        <v>1524</v>
      </c>
      <c r="C271" s="10" t="s">
        <v>248</v>
      </c>
      <c r="D271" s="10" t="s">
        <v>1477</v>
      </c>
      <c r="E271" s="10" t="s">
        <v>1509</v>
      </c>
      <c r="F271" s="10" t="s">
        <v>1479</v>
      </c>
      <c r="G271" s="10" t="s">
        <v>1408</v>
      </c>
    </row>
    <row r="272" spans="1:7">
      <c r="A272" s="8">
        <v>62653</v>
      </c>
      <c r="B272" s="12" t="s">
        <v>1525</v>
      </c>
      <c r="C272" s="10" t="s">
        <v>122</v>
      </c>
      <c r="D272" s="10" t="s">
        <v>1477</v>
      </c>
      <c r="E272" s="10" t="s">
        <v>1509</v>
      </c>
      <c r="F272" s="10" t="s">
        <v>1479</v>
      </c>
      <c r="G272" s="10" t="s">
        <v>1408</v>
      </c>
    </row>
    <row r="273" spans="1:7">
      <c r="A273" s="8">
        <v>62656</v>
      </c>
      <c r="B273" s="12" t="s">
        <v>1526</v>
      </c>
      <c r="C273" s="10" t="s">
        <v>29</v>
      </c>
      <c r="D273" s="10" t="s">
        <v>1477</v>
      </c>
      <c r="E273" s="10" t="s">
        <v>1509</v>
      </c>
      <c r="F273" s="10" t="s">
        <v>1479</v>
      </c>
      <c r="G273" s="10" t="s">
        <v>1408</v>
      </c>
    </row>
    <row r="274" spans="1:7">
      <c r="A274" s="8">
        <v>62800</v>
      </c>
      <c r="B274" s="12" t="s">
        <v>1527</v>
      </c>
      <c r="C274" s="10" t="s">
        <v>248</v>
      </c>
      <c r="D274" s="10" t="s">
        <v>1477</v>
      </c>
      <c r="E274" s="10" t="s">
        <v>1528</v>
      </c>
      <c r="F274" s="10" t="s">
        <v>1479</v>
      </c>
      <c r="G274" s="10" t="s">
        <v>1408</v>
      </c>
    </row>
    <row r="275" spans="1:7">
      <c r="A275" s="8">
        <v>62803</v>
      </c>
      <c r="B275" s="12" t="s">
        <v>1529</v>
      </c>
      <c r="C275" s="10" t="s">
        <v>122</v>
      </c>
      <c r="D275" s="10" t="s">
        <v>1477</v>
      </c>
      <c r="E275" s="10" t="s">
        <v>1528</v>
      </c>
      <c r="F275" s="10" t="s">
        <v>1479</v>
      </c>
      <c r="G275" s="10" t="s">
        <v>1408</v>
      </c>
    </row>
    <row r="276" spans="1:7">
      <c r="A276" s="8">
        <v>62806</v>
      </c>
      <c r="B276" s="12" t="s">
        <v>1530</v>
      </c>
      <c r="C276" s="10" t="s">
        <v>29</v>
      </c>
      <c r="D276" s="10" t="s">
        <v>1477</v>
      </c>
      <c r="E276" s="10" t="s">
        <v>1528</v>
      </c>
      <c r="F276" s="10" t="s">
        <v>1479</v>
      </c>
      <c r="G276" s="10" t="s">
        <v>1408</v>
      </c>
    </row>
    <row r="277" spans="1:7">
      <c r="A277" s="8">
        <v>63000</v>
      </c>
      <c r="B277" s="12" t="s">
        <v>1531</v>
      </c>
      <c r="C277" s="10" t="s">
        <v>248</v>
      </c>
      <c r="D277" s="10" t="s">
        <v>1477</v>
      </c>
      <c r="E277" s="10" t="s">
        <v>1532</v>
      </c>
      <c r="F277" s="10" t="s">
        <v>1479</v>
      </c>
      <c r="G277" s="10" t="s">
        <v>1408</v>
      </c>
    </row>
    <row r="278" spans="1:7">
      <c r="A278" s="8">
        <v>63003</v>
      </c>
      <c r="B278" s="12" t="s">
        <v>1533</v>
      </c>
      <c r="C278" s="10" t="s">
        <v>122</v>
      </c>
      <c r="D278" s="10" t="s">
        <v>1477</v>
      </c>
      <c r="E278" s="10" t="s">
        <v>1532</v>
      </c>
      <c r="F278" s="10" t="s">
        <v>1479</v>
      </c>
      <c r="G278" s="10" t="s">
        <v>1408</v>
      </c>
    </row>
    <row r="279" spans="1:7">
      <c r="A279" s="8">
        <v>63006</v>
      </c>
      <c r="B279" s="12" t="s">
        <v>1534</v>
      </c>
      <c r="C279" s="10" t="s">
        <v>29</v>
      </c>
      <c r="D279" s="10" t="s">
        <v>1477</v>
      </c>
      <c r="E279" s="10" t="s">
        <v>1532</v>
      </c>
      <c r="F279" s="10" t="s">
        <v>1479</v>
      </c>
      <c r="G279" s="10" t="s">
        <v>1408</v>
      </c>
    </row>
    <row r="280" spans="1:7">
      <c r="A280" s="8">
        <v>63200</v>
      </c>
      <c r="B280" s="12" t="s">
        <v>1535</v>
      </c>
      <c r="C280" s="10" t="s">
        <v>248</v>
      </c>
      <c r="D280" s="10" t="s">
        <v>1477</v>
      </c>
      <c r="E280" s="10" t="s">
        <v>1536</v>
      </c>
      <c r="F280" s="10" t="s">
        <v>1479</v>
      </c>
      <c r="G280" s="10" t="s">
        <v>1408</v>
      </c>
    </row>
    <row r="281" spans="1:7">
      <c r="A281" s="8">
        <v>63203</v>
      </c>
      <c r="B281" s="12" t="s">
        <v>1537</v>
      </c>
      <c r="C281" s="10" t="s">
        <v>122</v>
      </c>
      <c r="D281" s="10" t="s">
        <v>1477</v>
      </c>
      <c r="E281" s="10" t="s">
        <v>1536</v>
      </c>
      <c r="F281" s="10" t="s">
        <v>1479</v>
      </c>
      <c r="G281" s="10" t="s">
        <v>1408</v>
      </c>
    </row>
    <row r="282" spans="1:7">
      <c r="A282" s="8">
        <v>63210</v>
      </c>
      <c r="B282" s="12" t="s">
        <v>1538</v>
      </c>
      <c r="C282" s="10" t="s">
        <v>248</v>
      </c>
      <c r="D282" s="10" t="s">
        <v>1477</v>
      </c>
      <c r="E282" s="10" t="s">
        <v>1536</v>
      </c>
      <c r="F282" s="10" t="s">
        <v>1479</v>
      </c>
      <c r="G282" s="10" t="s">
        <v>1408</v>
      </c>
    </row>
    <row r="283" spans="1:7">
      <c r="A283" s="8">
        <v>63213</v>
      </c>
      <c r="B283" s="12" t="s">
        <v>1539</v>
      </c>
      <c r="C283" s="10" t="s">
        <v>122</v>
      </c>
      <c r="D283" s="10" t="s">
        <v>1477</v>
      </c>
      <c r="E283" s="10" t="s">
        <v>1536</v>
      </c>
      <c r="F283" s="10" t="s">
        <v>1479</v>
      </c>
      <c r="G283" s="10" t="s">
        <v>1408</v>
      </c>
    </row>
    <row r="284" spans="1:7">
      <c r="A284" s="8">
        <v>63216</v>
      </c>
      <c r="B284" s="12" t="s">
        <v>1540</v>
      </c>
      <c r="C284" s="10" t="s">
        <v>29</v>
      </c>
      <c r="D284" s="10" t="s">
        <v>1477</v>
      </c>
      <c r="E284" s="10" t="s">
        <v>1536</v>
      </c>
      <c r="F284" s="10" t="s">
        <v>1479</v>
      </c>
      <c r="G284" s="10" t="s">
        <v>1408</v>
      </c>
    </row>
    <row r="285" spans="1:7">
      <c r="A285" s="8">
        <v>63220</v>
      </c>
      <c r="B285" s="12" t="s">
        <v>1541</v>
      </c>
      <c r="C285" s="10" t="s">
        <v>248</v>
      </c>
      <c r="D285" s="10" t="s">
        <v>1477</v>
      </c>
      <c r="E285" s="10" t="s">
        <v>1536</v>
      </c>
      <c r="F285" s="10" t="s">
        <v>1479</v>
      </c>
      <c r="G285" s="10" t="s">
        <v>1408</v>
      </c>
    </row>
    <row r="286" spans="1:7">
      <c r="A286" s="8">
        <v>63223</v>
      </c>
      <c r="B286" s="12" t="s">
        <v>1542</v>
      </c>
      <c r="C286" s="10" t="s">
        <v>122</v>
      </c>
      <c r="D286" s="10" t="s">
        <v>1477</v>
      </c>
      <c r="E286" s="10" t="s">
        <v>1536</v>
      </c>
      <c r="F286" s="10" t="s">
        <v>1479</v>
      </c>
      <c r="G286" s="10" t="s">
        <v>1408</v>
      </c>
    </row>
    <row r="287" spans="1:7">
      <c r="A287" s="8">
        <v>63236</v>
      </c>
      <c r="B287" s="12" t="s">
        <v>1543</v>
      </c>
      <c r="C287" s="10" t="s">
        <v>29</v>
      </c>
      <c r="D287" s="10" t="s">
        <v>1477</v>
      </c>
      <c r="E287" s="10" t="s">
        <v>1536</v>
      </c>
      <c r="F287" s="10" t="s">
        <v>1479</v>
      </c>
      <c r="G287" s="10" t="s">
        <v>1408</v>
      </c>
    </row>
    <row r="288" spans="1:7">
      <c r="A288" s="8">
        <v>63240</v>
      </c>
      <c r="B288" s="15" t="s">
        <v>1544</v>
      </c>
      <c r="C288" s="10" t="s">
        <v>248</v>
      </c>
      <c r="D288" s="10" t="s">
        <v>1477</v>
      </c>
      <c r="E288" s="10" t="s">
        <v>1536</v>
      </c>
      <c r="F288" s="10" t="s">
        <v>1479</v>
      </c>
      <c r="G288" s="10" t="s">
        <v>1408</v>
      </c>
    </row>
    <row r="289" spans="1:7">
      <c r="A289" s="8">
        <v>63243</v>
      </c>
      <c r="B289" s="15" t="s">
        <v>1545</v>
      </c>
      <c r="C289" s="10" t="s">
        <v>122</v>
      </c>
      <c r="D289" s="10" t="s">
        <v>1477</v>
      </c>
      <c r="E289" s="10" t="s">
        <v>1536</v>
      </c>
      <c r="F289" s="10" t="s">
        <v>1479</v>
      </c>
      <c r="G289" s="10" t="s">
        <v>1408</v>
      </c>
    </row>
    <row r="290" spans="1:7">
      <c r="A290" s="8">
        <v>63246</v>
      </c>
      <c r="B290" s="15" t="s">
        <v>1546</v>
      </c>
      <c r="C290" s="10" t="s">
        <v>29</v>
      </c>
      <c r="D290" s="10" t="s">
        <v>1477</v>
      </c>
      <c r="E290" s="10" t="s">
        <v>1536</v>
      </c>
      <c r="F290" s="10" t="s">
        <v>1479</v>
      </c>
      <c r="G290" s="10" t="s">
        <v>1408</v>
      </c>
    </row>
    <row r="291" spans="1:7">
      <c r="A291" s="8">
        <v>63250</v>
      </c>
      <c r="B291" s="12" t="s">
        <v>1547</v>
      </c>
      <c r="C291" s="10" t="s">
        <v>248</v>
      </c>
      <c r="D291" s="10" t="s">
        <v>1477</v>
      </c>
      <c r="E291" s="10" t="s">
        <v>1536</v>
      </c>
      <c r="F291" s="10" t="s">
        <v>1479</v>
      </c>
      <c r="G291" s="10" t="s">
        <v>1408</v>
      </c>
    </row>
    <row r="292" spans="1:7">
      <c r="A292" s="8">
        <v>63253</v>
      </c>
      <c r="B292" s="12" t="s">
        <v>1548</v>
      </c>
      <c r="C292" s="10" t="s">
        <v>122</v>
      </c>
      <c r="D292" s="10" t="s">
        <v>1477</v>
      </c>
      <c r="E292" s="10" t="s">
        <v>1536</v>
      </c>
      <c r="F292" s="10" t="s">
        <v>1479</v>
      </c>
      <c r="G292" s="10" t="s">
        <v>1408</v>
      </c>
    </row>
    <row r="293" spans="1:7">
      <c r="A293" s="8">
        <v>63256</v>
      </c>
      <c r="B293" s="12" t="s">
        <v>1549</v>
      </c>
      <c r="C293" s="10" t="s">
        <v>29</v>
      </c>
      <c r="D293" s="10" t="s">
        <v>1477</v>
      </c>
      <c r="E293" s="10" t="s">
        <v>1536</v>
      </c>
      <c r="F293" s="10" t="s">
        <v>1479</v>
      </c>
      <c r="G293" s="10" t="s">
        <v>1408</v>
      </c>
    </row>
    <row r="294" spans="1:7">
      <c r="A294" s="8">
        <v>63260</v>
      </c>
      <c r="B294" s="12" t="s">
        <v>1550</v>
      </c>
      <c r="C294" s="10" t="s">
        <v>248</v>
      </c>
      <c r="D294" s="10" t="s">
        <v>1477</v>
      </c>
      <c r="E294" s="10" t="s">
        <v>1536</v>
      </c>
      <c r="F294" s="10" t="s">
        <v>1479</v>
      </c>
      <c r="G294" s="10" t="s">
        <v>1408</v>
      </c>
    </row>
    <row r="295" spans="1:7">
      <c r="A295" s="8">
        <v>63263</v>
      </c>
      <c r="B295" s="12" t="s">
        <v>1551</v>
      </c>
      <c r="C295" s="10" t="s">
        <v>122</v>
      </c>
      <c r="D295" s="10" t="s">
        <v>1477</v>
      </c>
      <c r="E295" s="10" t="s">
        <v>1536</v>
      </c>
      <c r="F295" s="10" t="s">
        <v>1479</v>
      </c>
      <c r="G295" s="10" t="s">
        <v>1408</v>
      </c>
    </row>
    <row r="296" spans="1:7">
      <c r="A296" s="8">
        <v>63266</v>
      </c>
      <c r="B296" s="12" t="s">
        <v>1552</v>
      </c>
      <c r="C296" s="10" t="s">
        <v>29</v>
      </c>
      <c r="D296" s="10" t="s">
        <v>1477</v>
      </c>
      <c r="E296" s="10" t="s">
        <v>1536</v>
      </c>
      <c r="F296" s="10" t="s">
        <v>1479</v>
      </c>
      <c r="G296" s="10" t="s">
        <v>1408</v>
      </c>
    </row>
    <row r="297" spans="1:7">
      <c r="A297" s="8">
        <v>63270</v>
      </c>
      <c r="B297" s="15" t="s">
        <v>1553</v>
      </c>
      <c r="C297" s="10" t="s">
        <v>248</v>
      </c>
      <c r="D297" s="10" t="s">
        <v>1477</v>
      </c>
      <c r="E297" s="10" t="s">
        <v>1536</v>
      </c>
      <c r="F297" s="10" t="s">
        <v>1479</v>
      </c>
      <c r="G297" s="10" t="s">
        <v>1408</v>
      </c>
    </row>
    <row r="298" spans="1:7">
      <c r="A298" s="8">
        <v>63273</v>
      </c>
      <c r="B298" s="15" t="s">
        <v>1554</v>
      </c>
      <c r="C298" s="10" t="s">
        <v>122</v>
      </c>
      <c r="D298" s="10" t="s">
        <v>1477</v>
      </c>
      <c r="E298" s="10" t="s">
        <v>1536</v>
      </c>
      <c r="F298" s="10" t="s">
        <v>1479</v>
      </c>
      <c r="G298" s="10" t="s">
        <v>1408</v>
      </c>
    </row>
    <row r="299" spans="1:7">
      <c r="A299" s="8">
        <v>63276</v>
      </c>
      <c r="B299" s="15" t="s">
        <v>1555</v>
      </c>
      <c r="C299" s="10" t="s">
        <v>29</v>
      </c>
      <c r="D299" s="10" t="s">
        <v>1477</v>
      </c>
      <c r="E299" s="10" t="s">
        <v>1536</v>
      </c>
      <c r="F299" s="10" t="s">
        <v>1479</v>
      </c>
      <c r="G299" s="10" t="s">
        <v>1408</v>
      </c>
    </row>
    <row r="300" spans="1:7">
      <c r="A300" s="8">
        <v>63400</v>
      </c>
      <c r="B300" s="17" t="s">
        <v>1556</v>
      </c>
      <c r="C300" s="10" t="s">
        <v>248</v>
      </c>
      <c r="D300" s="10" t="s">
        <v>1477</v>
      </c>
      <c r="E300" s="10" t="s">
        <v>1557</v>
      </c>
      <c r="F300" s="10" t="s">
        <v>1479</v>
      </c>
      <c r="G300" s="10" t="s">
        <v>1408</v>
      </c>
    </row>
    <row r="301" spans="1:7">
      <c r="A301" s="8">
        <v>63403</v>
      </c>
      <c r="B301" s="17" t="s">
        <v>1558</v>
      </c>
      <c r="C301" s="10" t="s">
        <v>122</v>
      </c>
      <c r="D301" s="10" t="s">
        <v>1477</v>
      </c>
      <c r="E301" s="10" t="s">
        <v>1557</v>
      </c>
      <c r="F301" s="10" t="s">
        <v>1479</v>
      </c>
      <c r="G301" s="10" t="s">
        <v>1408</v>
      </c>
    </row>
    <row r="302" spans="1:7">
      <c r="A302" s="8">
        <v>63406</v>
      </c>
      <c r="B302" s="17" t="s">
        <v>1559</v>
      </c>
      <c r="C302" s="10" t="s">
        <v>29</v>
      </c>
      <c r="D302" s="10" t="s">
        <v>1477</v>
      </c>
      <c r="E302" s="10" t="s">
        <v>1557</v>
      </c>
      <c r="F302" s="10" t="s">
        <v>1479</v>
      </c>
      <c r="G302" s="10" t="s">
        <v>1408</v>
      </c>
    </row>
    <row r="303" spans="1:7">
      <c r="A303" s="8">
        <v>63410</v>
      </c>
      <c r="B303" s="17" t="s">
        <v>1560</v>
      </c>
      <c r="C303" s="10" t="s">
        <v>248</v>
      </c>
      <c r="D303" s="10" t="s">
        <v>1477</v>
      </c>
      <c r="E303" s="10" t="s">
        <v>1557</v>
      </c>
      <c r="F303" s="10" t="s">
        <v>1479</v>
      </c>
      <c r="G303" s="10" t="s">
        <v>1408</v>
      </c>
    </row>
    <row r="304" spans="1:7">
      <c r="A304" s="8">
        <v>63413</v>
      </c>
      <c r="B304" s="17" t="s">
        <v>1561</v>
      </c>
      <c r="C304" s="10" t="s">
        <v>122</v>
      </c>
      <c r="D304" s="10" t="s">
        <v>1477</v>
      </c>
      <c r="E304" s="10" t="s">
        <v>1557</v>
      </c>
      <c r="F304" s="10" t="s">
        <v>1479</v>
      </c>
      <c r="G304" s="10" t="s">
        <v>1408</v>
      </c>
    </row>
    <row r="305" spans="1:7">
      <c r="A305" s="8">
        <v>63416</v>
      </c>
      <c r="B305" s="17" t="s">
        <v>1562</v>
      </c>
      <c r="C305" s="10" t="s">
        <v>29</v>
      </c>
      <c r="D305" s="10" t="s">
        <v>1477</v>
      </c>
      <c r="E305" s="10" t="s">
        <v>1557</v>
      </c>
      <c r="F305" s="10" t="s">
        <v>1479</v>
      </c>
      <c r="G305" s="10" t="s">
        <v>1408</v>
      </c>
    </row>
    <row r="306" spans="1:7">
      <c r="A306" s="8">
        <v>63420</v>
      </c>
      <c r="B306" s="12" t="s">
        <v>1563</v>
      </c>
      <c r="C306" s="10" t="s">
        <v>248</v>
      </c>
      <c r="D306" s="10" t="s">
        <v>1477</v>
      </c>
      <c r="E306" s="10" t="s">
        <v>1557</v>
      </c>
      <c r="F306" s="10" t="s">
        <v>1479</v>
      </c>
      <c r="G306" s="10" t="s">
        <v>1408</v>
      </c>
    </row>
    <row r="307" spans="1:7">
      <c r="A307" s="8">
        <v>63423</v>
      </c>
      <c r="B307" s="12" t="s">
        <v>1564</v>
      </c>
      <c r="C307" s="10" t="s">
        <v>122</v>
      </c>
      <c r="D307" s="10" t="s">
        <v>1477</v>
      </c>
      <c r="E307" s="10" t="s">
        <v>1557</v>
      </c>
      <c r="F307" s="10" t="s">
        <v>1479</v>
      </c>
      <c r="G307" s="10" t="s">
        <v>1408</v>
      </c>
    </row>
    <row r="308" spans="1:7">
      <c r="A308" s="8">
        <v>63426</v>
      </c>
      <c r="B308" s="12" t="s">
        <v>1565</v>
      </c>
      <c r="C308" s="10" t="s">
        <v>29</v>
      </c>
      <c r="D308" s="10" t="s">
        <v>1477</v>
      </c>
      <c r="E308" s="10" t="s">
        <v>1557</v>
      </c>
      <c r="F308" s="10" t="s">
        <v>1479</v>
      </c>
      <c r="G308" s="10" t="s">
        <v>1408</v>
      </c>
    </row>
    <row r="309" spans="1:7">
      <c r="A309" s="8">
        <v>63430</v>
      </c>
      <c r="B309" s="15" t="s">
        <v>1566</v>
      </c>
      <c r="C309" s="10" t="s">
        <v>248</v>
      </c>
      <c r="D309" s="10" t="s">
        <v>1477</v>
      </c>
      <c r="E309" s="10" t="s">
        <v>1557</v>
      </c>
      <c r="F309" s="10" t="s">
        <v>1479</v>
      </c>
      <c r="G309" s="10" t="s">
        <v>1408</v>
      </c>
    </row>
    <row r="310" spans="1:7">
      <c r="A310" s="8">
        <v>63433</v>
      </c>
      <c r="B310" s="15" t="s">
        <v>1567</v>
      </c>
      <c r="C310" s="10" t="s">
        <v>122</v>
      </c>
      <c r="D310" s="10" t="s">
        <v>1477</v>
      </c>
      <c r="E310" s="10" t="s">
        <v>1557</v>
      </c>
      <c r="F310" s="10" t="s">
        <v>1479</v>
      </c>
      <c r="G310" s="10" t="s">
        <v>1408</v>
      </c>
    </row>
    <row r="311" spans="1:7">
      <c r="A311" s="8">
        <v>63436</v>
      </c>
      <c r="B311" s="15" t="s">
        <v>1568</v>
      </c>
      <c r="C311" s="10" t="s">
        <v>29</v>
      </c>
      <c r="D311" s="10" t="s">
        <v>1477</v>
      </c>
      <c r="E311" s="10" t="s">
        <v>1557</v>
      </c>
      <c r="F311" s="10" t="s">
        <v>1479</v>
      </c>
      <c r="G311" s="10" t="s">
        <v>1408</v>
      </c>
    </row>
    <row r="312" spans="1:7">
      <c r="A312" s="8">
        <v>63440</v>
      </c>
      <c r="B312" s="15" t="s">
        <v>1569</v>
      </c>
      <c r="C312" s="10" t="s">
        <v>248</v>
      </c>
      <c r="D312" s="10" t="s">
        <v>1477</v>
      </c>
      <c r="E312" s="10" t="s">
        <v>1557</v>
      </c>
      <c r="F312" s="10" t="s">
        <v>1479</v>
      </c>
      <c r="G312" s="10" t="s">
        <v>1408</v>
      </c>
    </row>
    <row r="313" spans="1:7">
      <c r="A313" s="8">
        <v>63443</v>
      </c>
      <c r="B313" s="15" t="s">
        <v>1570</v>
      </c>
      <c r="C313" s="10" t="s">
        <v>122</v>
      </c>
      <c r="D313" s="10" t="s">
        <v>1477</v>
      </c>
      <c r="E313" s="10" t="s">
        <v>1557</v>
      </c>
      <c r="F313" s="10" t="s">
        <v>1479</v>
      </c>
      <c r="G313" s="10" t="s">
        <v>1408</v>
      </c>
    </row>
    <row r="314" spans="1:7">
      <c r="A314" s="8">
        <v>63446</v>
      </c>
      <c r="B314" s="15" t="s">
        <v>1571</v>
      </c>
      <c r="C314" s="10" t="s">
        <v>29</v>
      </c>
      <c r="D314" s="10" t="s">
        <v>1477</v>
      </c>
      <c r="E314" s="10" t="s">
        <v>1557</v>
      </c>
      <c r="F314" s="10" t="s">
        <v>1479</v>
      </c>
      <c r="G314" s="10" t="s">
        <v>1408</v>
      </c>
    </row>
    <row r="315" spans="1:7">
      <c r="A315" s="8">
        <v>63450</v>
      </c>
      <c r="B315" s="15" t="s">
        <v>1572</v>
      </c>
      <c r="C315" s="10" t="s">
        <v>248</v>
      </c>
      <c r="D315" s="10" t="s">
        <v>1477</v>
      </c>
      <c r="E315" s="10" t="s">
        <v>1557</v>
      </c>
      <c r="F315" s="10" t="s">
        <v>1479</v>
      </c>
      <c r="G315" s="10" t="s">
        <v>1408</v>
      </c>
    </row>
    <row r="316" spans="1:7">
      <c r="A316" s="8">
        <v>63453</v>
      </c>
      <c r="B316" s="15" t="s">
        <v>1573</v>
      </c>
      <c r="C316" s="10" t="s">
        <v>122</v>
      </c>
      <c r="D316" s="10" t="s">
        <v>1477</v>
      </c>
      <c r="E316" s="10" t="s">
        <v>1557</v>
      </c>
      <c r="F316" s="10" t="s">
        <v>1479</v>
      </c>
      <c r="G316" s="10" t="s">
        <v>1408</v>
      </c>
    </row>
    <row r="317" spans="1:7">
      <c r="A317" s="8">
        <v>63456</v>
      </c>
      <c r="B317" s="15" t="s">
        <v>1574</v>
      </c>
      <c r="C317" s="10" t="s">
        <v>29</v>
      </c>
      <c r="D317" s="10" t="s">
        <v>1477</v>
      </c>
      <c r="E317" s="10" t="s">
        <v>1557</v>
      </c>
      <c r="F317" s="10" t="s">
        <v>1479</v>
      </c>
      <c r="G317" s="10" t="s">
        <v>1408</v>
      </c>
    </row>
    <row r="318" spans="1:7">
      <c r="A318" s="8">
        <v>63460</v>
      </c>
      <c r="B318" s="17" t="s">
        <v>1575</v>
      </c>
      <c r="C318" s="10" t="s">
        <v>248</v>
      </c>
      <c r="D318" s="10" t="s">
        <v>1477</v>
      </c>
      <c r="E318" s="10" t="s">
        <v>1557</v>
      </c>
      <c r="F318" s="10" t="s">
        <v>1479</v>
      </c>
      <c r="G318" s="10" t="s">
        <v>1408</v>
      </c>
    </row>
    <row r="319" spans="1:7">
      <c r="A319" s="8">
        <v>63463</v>
      </c>
      <c r="B319" s="17" t="s">
        <v>1576</v>
      </c>
      <c r="C319" s="10" t="s">
        <v>122</v>
      </c>
      <c r="D319" s="10" t="s">
        <v>1477</v>
      </c>
      <c r="E319" s="10" t="s">
        <v>1557</v>
      </c>
      <c r="F319" s="10" t="s">
        <v>1479</v>
      </c>
      <c r="G319" s="10" t="s">
        <v>1408</v>
      </c>
    </row>
    <row r="320" spans="1:7">
      <c r="A320" s="8">
        <v>63466</v>
      </c>
      <c r="B320" s="17" t="s">
        <v>1577</v>
      </c>
      <c r="C320" s="10" t="s">
        <v>29</v>
      </c>
      <c r="D320" s="10" t="s">
        <v>1477</v>
      </c>
      <c r="E320" s="10" t="s">
        <v>1557</v>
      </c>
      <c r="F320" s="10" t="s">
        <v>1479</v>
      </c>
      <c r="G320" s="10" t="s">
        <v>1408</v>
      </c>
    </row>
    <row r="321" spans="1:7">
      <c r="A321" s="8">
        <v>63470</v>
      </c>
      <c r="B321" s="15" t="s">
        <v>1578</v>
      </c>
      <c r="C321" s="10" t="s">
        <v>248</v>
      </c>
      <c r="D321" s="10" t="s">
        <v>1477</v>
      </c>
      <c r="E321" s="10" t="s">
        <v>1557</v>
      </c>
      <c r="F321" s="10" t="s">
        <v>1479</v>
      </c>
      <c r="G321" s="10" t="s">
        <v>1408</v>
      </c>
    </row>
    <row r="322" spans="1:7">
      <c r="A322" s="8">
        <v>63473</v>
      </c>
      <c r="B322" s="15" t="s">
        <v>1579</v>
      </c>
      <c r="C322" s="10" t="s">
        <v>122</v>
      </c>
      <c r="D322" s="10" t="s">
        <v>1477</v>
      </c>
      <c r="E322" s="10" t="s">
        <v>1557</v>
      </c>
      <c r="F322" s="10" t="s">
        <v>1479</v>
      </c>
      <c r="G322" s="10" t="s">
        <v>1408</v>
      </c>
    </row>
    <row r="323" spans="1:7">
      <c r="A323" s="8">
        <v>63476</v>
      </c>
      <c r="B323" s="15" t="s">
        <v>1580</v>
      </c>
      <c r="C323" s="10" t="s">
        <v>29</v>
      </c>
      <c r="D323" s="10" t="s">
        <v>1477</v>
      </c>
      <c r="E323" s="10" t="s">
        <v>1557</v>
      </c>
      <c r="F323" s="10" t="s">
        <v>1479</v>
      </c>
      <c r="G323" s="10" t="s">
        <v>1408</v>
      </c>
    </row>
    <row r="324" spans="1:7">
      <c r="A324" s="8">
        <v>63480</v>
      </c>
      <c r="B324" s="15" t="s">
        <v>1581</v>
      </c>
      <c r="C324" s="10" t="s">
        <v>248</v>
      </c>
      <c r="D324" s="10" t="s">
        <v>1477</v>
      </c>
      <c r="E324" s="10" t="s">
        <v>1557</v>
      </c>
      <c r="F324" s="10" t="s">
        <v>1479</v>
      </c>
      <c r="G324" s="10" t="s">
        <v>1408</v>
      </c>
    </row>
    <row r="325" spans="1:7">
      <c r="A325" s="8">
        <v>63483</v>
      </c>
      <c r="B325" s="15" t="s">
        <v>1582</v>
      </c>
      <c r="C325" s="10" t="s">
        <v>122</v>
      </c>
      <c r="D325" s="10" t="s">
        <v>1477</v>
      </c>
      <c r="E325" s="10" t="s">
        <v>1557</v>
      </c>
      <c r="F325" s="10" t="s">
        <v>1479</v>
      </c>
      <c r="G325" s="10" t="s">
        <v>1408</v>
      </c>
    </row>
    <row r="326" spans="1:7">
      <c r="A326" s="8">
        <v>63486</v>
      </c>
      <c r="B326" s="15" t="s">
        <v>1583</v>
      </c>
      <c r="C326" s="10" t="s">
        <v>29</v>
      </c>
      <c r="D326" s="10" t="s">
        <v>1477</v>
      </c>
      <c r="E326" s="10" t="s">
        <v>1557</v>
      </c>
      <c r="F326" s="10" t="s">
        <v>1479</v>
      </c>
      <c r="G326" s="10" t="s">
        <v>1408</v>
      </c>
    </row>
    <row r="327" spans="1:7">
      <c r="A327" s="8">
        <v>63490</v>
      </c>
      <c r="B327" s="15" t="s">
        <v>1584</v>
      </c>
      <c r="C327" s="10" t="s">
        <v>248</v>
      </c>
      <c r="D327" s="10" t="s">
        <v>1477</v>
      </c>
      <c r="E327" s="10" t="s">
        <v>1557</v>
      </c>
      <c r="F327" s="10" t="s">
        <v>1479</v>
      </c>
      <c r="G327" s="10" t="s">
        <v>1408</v>
      </c>
    </row>
    <row r="328" spans="1:7">
      <c r="A328" s="8">
        <v>63493</v>
      </c>
      <c r="B328" s="15" t="s">
        <v>1585</v>
      </c>
      <c r="C328" s="10" t="s">
        <v>122</v>
      </c>
      <c r="D328" s="10" t="s">
        <v>1477</v>
      </c>
      <c r="E328" s="10" t="s">
        <v>1557</v>
      </c>
      <c r="F328" s="10" t="s">
        <v>1479</v>
      </c>
      <c r="G328" s="10" t="s">
        <v>1408</v>
      </c>
    </row>
    <row r="329" spans="1:7">
      <c r="A329" s="8">
        <v>63496</v>
      </c>
      <c r="B329" s="15" t="s">
        <v>1586</v>
      </c>
      <c r="C329" s="10" t="s">
        <v>29</v>
      </c>
      <c r="D329" s="10" t="s">
        <v>1477</v>
      </c>
      <c r="E329" s="10" t="s">
        <v>1557</v>
      </c>
      <c r="F329" s="10" t="s">
        <v>1479</v>
      </c>
      <c r="G329" s="10" t="s">
        <v>1408</v>
      </c>
    </row>
    <row r="330" spans="1:7">
      <c r="A330" s="8">
        <v>63500</v>
      </c>
      <c r="B330" s="15" t="s">
        <v>1587</v>
      </c>
      <c r="C330" s="10" t="s">
        <v>248</v>
      </c>
      <c r="D330" s="10" t="s">
        <v>1477</v>
      </c>
      <c r="E330" s="10" t="s">
        <v>1557</v>
      </c>
      <c r="F330" s="10" t="s">
        <v>1479</v>
      </c>
      <c r="G330" s="10" t="s">
        <v>1408</v>
      </c>
    </row>
    <row r="331" spans="1:7">
      <c r="A331" s="8">
        <v>63503</v>
      </c>
      <c r="B331" s="15" t="s">
        <v>1588</v>
      </c>
      <c r="C331" s="10" t="s">
        <v>122</v>
      </c>
      <c r="D331" s="10" t="s">
        <v>1477</v>
      </c>
      <c r="E331" s="10" t="s">
        <v>1557</v>
      </c>
      <c r="F331" s="10" t="s">
        <v>1479</v>
      </c>
      <c r="G331" s="10" t="s">
        <v>1408</v>
      </c>
    </row>
    <row r="332" spans="1:7">
      <c r="A332" s="8">
        <v>63506</v>
      </c>
      <c r="B332" s="15" t="s">
        <v>1589</v>
      </c>
      <c r="C332" s="10" t="s">
        <v>29</v>
      </c>
      <c r="D332" s="10" t="s">
        <v>1477</v>
      </c>
      <c r="E332" s="10" t="s">
        <v>1557</v>
      </c>
      <c r="F332" s="10" t="s">
        <v>1479</v>
      </c>
      <c r="G332" s="10" t="s">
        <v>1408</v>
      </c>
    </row>
    <row r="333" spans="1:7">
      <c r="A333" s="8">
        <v>63510</v>
      </c>
      <c r="B333" s="15" t="s">
        <v>1590</v>
      </c>
      <c r="C333" s="10" t="s">
        <v>248</v>
      </c>
      <c r="D333" s="10" t="s">
        <v>1477</v>
      </c>
      <c r="E333" s="10" t="s">
        <v>1557</v>
      </c>
      <c r="F333" s="10" t="s">
        <v>1479</v>
      </c>
      <c r="G333" s="10" t="s">
        <v>1408</v>
      </c>
    </row>
    <row r="334" spans="1:7">
      <c r="A334" s="8">
        <v>63513</v>
      </c>
      <c r="B334" s="15" t="s">
        <v>1591</v>
      </c>
      <c r="C334" s="10" t="s">
        <v>122</v>
      </c>
      <c r="D334" s="10" t="s">
        <v>1477</v>
      </c>
      <c r="E334" s="10" t="s">
        <v>1557</v>
      </c>
      <c r="F334" s="10" t="s">
        <v>1479</v>
      </c>
      <c r="G334" s="10" t="s">
        <v>1408</v>
      </c>
    </row>
    <row r="335" spans="1:7">
      <c r="A335" s="8">
        <v>63516</v>
      </c>
      <c r="B335" s="15" t="s">
        <v>1592</v>
      </c>
      <c r="C335" s="10" t="s">
        <v>29</v>
      </c>
      <c r="D335" s="10" t="s">
        <v>1477</v>
      </c>
      <c r="E335" s="10" t="s">
        <v>1557</v>
      </c>
      <c r="F335" s="10" t="s">
        <v>1479</v>
      </c>
      <c r="G335" s="10" t="s">
        <v>1408</v>
      </c>
    </row>
    <row r="336" spans="1:7">
      <c r="A336" s="8">
        <v>63520</v>
      </c>
      <c r="B336" s="17" t="s">
        <v>1593</v>
      </c>
      <c r="C336" s="10" t="s">
        <v>248</v>
      </c>
      <c r="D336" s="10" t="s">
        <v>1477</v>
      </c>
      <c r="E336" s="10" t="s">
        <v>1557</v>
      </c>
      <c r="F336" s="10" t="s">
        <v>1479</v>
      </c>
      <c r="G336" s="10" t="s">
        <v>1408</v>
      </c>
    </row>
    <row r="337" spans="1:7">
      <c r="A337" s="8">
        <v>63523</v>
      </c>
      <c r="B337" s="17" t="s">
        <v>1594</v>
      </c>
      <c r="C337" s="10" t="s">
        <v>122</v>
      </c>
      <c r="D337" s="10" t="s">
        <v>1477</v>
      </c>
      <c r="E337" s="10" t="s">
        <v>1557</v>
      </c>
      <c r="F337" s="10" t="s">
        <v>1479</v>
      </c>
      <c r="G337" s="10" t="s">
        <v>1408</v>
      </c>
    </row>
    <row r="338" spans="1:7">
      <c r="A338" s="8">
        <v>63526</v>
      </c>
      <c r="B338" s="17" t="s">
        <v>1595</v>
      </c>
      <c r="C338" s="10" t="s">
        <v>29</v>
      </c>
      <c r="D338" s="10" t="s">
        <v>1477</v>
      </c>
      <c r="E338" s="10" t="s">
        <v>1557</v>
      </c>
      <c r="F338" s="10" t="s">
        <v>1479</v>
      </c>
      <c r="G338" s="10" t="s">
        <v>1408</v>
      </c>
    </row>
    <row r="339" spans="1:7">
      <c r="A339" s="8">
        <v>63600</v>
      </c>
      <c r="B339" s="16" t="s">
        <v>1596</v>
      </c>
      <c r="C339" s="10" t="s">
        <v>248</v>
      </c>
      <c r="D339" s="10" t="s">
        <v>1477</v>
      </c>
      <c r="E339" s="10" t="s">
        <v>1597</v>
      </c>
      <c r="F339" s="10" t="s">
        <v>1479</v>
      </c>
      <c r="G339" s="10" t="s">
        <v>1408</v>
      </c>
    </row>
    <row r="340" spans="1:7">
      <c r="A340" s="8">
        <v>63603</v>
      </c>
      <c r="B340" s="16" t="s">
        <v>1598</v>
      </c>
      <c r="C340" s="10" t="s">
        <v>122</v>
      </c>
      <c r="D340" s="10" t="s">
        <v>1477</v>
      </c>
      <c r="E340" s="10" t="s">
        <v>1597</v>
      </c>
      <c r="F340" s="10" t="s">
        <v>1479</v>
      </c>
      <c r="G340" s="10" t="s">
        <v>1408</v>
      </c>
    </row>
    <row r="341" spans="1:7">
      <c r="A341" s="8">
        <v>63606</v>
      </c>
      <c r="B341" s="16" t="s">
        <v>1599</v>
      </c>
      <c r="C341" s="10" t="s">
        <v>29</v>
      </c>
      <c r="D341" s="10" t="s">
        <v>1477</v>
      </c>
      <c r="E341" s="10" t="s">
        <v>1597</v>
      </c>
      <c r="F341" s="10" t="s">
        <v>1479</v>
      </c>
      <c r="G341" s="10" t="s">
        <v>1408</v>
      </c>
    </row>
    <row r="342" spans="1:7">
      <c r="A342" s="8">
        <v>63610</v>
      </c>
      <c r="B342" s="16" t="s">
        <v>1600</v>
      </c>
      <c r="C342" s="10" t="s">
        <v>248</v>
      </c>
      <c r="D342" s="10" t="s">
        <v>1477</v>
      </c>
      <c r="E342" s="10" t="s">
        <v>1597</v>
      </c>
      <c r="F342" s="10" t="s">
        <v>1479</v>
      </c>
      <c r="G342" s="10" t="s">
        <v>1408</v>
      </c>
    </row>
    <row r="343" spans="1:7">
      <c r="A343" s="8">
        <v>63613</v>
      </c>
      <c r="B343" s="16" t="s">
        <v>1601</v>
      </c>
      <c r="C343" s="10" t="s">
        <v>122</v>
      </c>
      <c r="D343" s="10" t="s">
        <v>1477</v>
      </c>
      <c r="E343" s="10" t="s">
        <v>1597</v>
      </c>
      <c r="F343" s="10" t="s">
        <v>1479</v>
      </c>
      <c r="G343" s="10" t="s">
        <v>1408</v>
      </c>
    </row>
    <row r="344" spans="1:7">
      <c r="A344" s="8">
        <v>63616</v>
      </c>
      <c r="B344" s="16" t="s">
        <v>1602</v>
      </c>
      <c r="C344" s="10" t="s">
        <v>29</v>
      </c>
      <c r="D344" s="10" t="s">
        <v>1477</v>
      </c>
      <c r="E344" s="10" t="s">
        <v>1597</v>
      </c>
      <c r="F344" s="10" t="s">
        <v>1479</v>
      </c>
      <c r="G344" s="10" t="s">
        <v>1408</v>
      </c>
    </row>
    <row r="345" spans="1:7">
      <c r="A345" s="8">
        <v>63620</v>
      </c>
      <c r="B345" s="12" t="s">
        <v>1603</v>
      </c>
      <c r="C345" s="10" t="s">
        <v>248</v>
      </c>
      <c r="D345" s="10" t="s">
        <v>1477</v>
      </c>
      <c r="E345" s="10" t="s">
        <v>1597</v>
      </c>
      <c r="F345" s="10" t="s">
        <v>1479</v>
      </c>
      <c r="G345" s="10" t="s">
        <v>1408</v>
      </c>
    </row>
    <row r="346" spans="1:7">
      <c r="A346" s="8">
        <v>63623</v>
      </c>
      <c r="B346" s="12" t="s">
        <v>1604</v>
      </c>
      <c r="C346" s="10" t="s">
        <v>122</v>
      </c>
      <c r="D346" s="10" t="s">
        <v>1477</v>
      </c>
      <c r="E346" s="10" t="s">
        <v>1597</v>
      </c>
      <c r="F346" s="10" t="s">
        <v>1479</v>
      </c>
      <c r="G346" s="10" t="s">
        <v>1408</v>
      </c>
    </row>
    <row r="347" spans="1:7">
      <c r="A347" s="8">
        <v>63626</v>
      </c>
      <c r="B347" s="12" t="s">
        <v>1605</v>
      </c>
      <c r="C347" s="10" t="s">
        <v>29</v>
      </c>
      <c r="D347" s="10" t="s">
        <v>1477</v>
      </c>
      <c r="E347" s="10" t="s">
        <v>1597</v>
      </c>
      <c r="F347" s="10" t="s">
        <v>1479</v>
      </c>
      <c r="G347" s="10" t="s">
        <v>1408</v>
      </c>
    </row>
    <row r="348" spans="1:7">
      <c r="A348" s="8">
        <v>63800</v>
      </c>
      <c r="B348" s="12" t="s">
        <v>1606</v>
      </c>
      <c r="C348" s="10" t="s">
        <v>248</v>
      </c>
      <c r="D348" s="10" t="s">
        <v>1477</v>
      </c>
      <c r="E348" s="10" t="s">
        <v>1607</v>
      </c>
      <c r="F348" s="10" t="s">
        <v>1479</v>
      </c>
      <c r="G348" s="10" t="s">
        <v>1408</v>
      </c>
    </row>
    <row r="349" spans="1:7">
      <c r="A349" s="8">
        <v>63803</v>
      </c>
      <c r="B349" s="12" t="s">
        <v>1608</v>
      </c>
      <c r="C349" s="10" t="s">
        <v>122</v>
      </c>
      <c r="D349" s="10" t="s">
        <v>1477</v>
      </c>
      <c r="E349" s="10" t="s">
        <v>1607</v>
      </c>
      <c r="F349" s="10" t="s">
        <v>1479</v>
      </c>
      <c r="G349" s="10" t="s">
        <v>1408</v>
      </c>
    </row>
    <row r="350" spans="1:7">
      <c r="A350" s="8">
        <v>63806</v>
      </c>
      <c r="B350" s="12" t="s">
        <v>1609</v>
      </c>
      <c r="C350" s="10" t="s">
        <v>29</v>
      </c>
      <c r="D350" s="10" t="s">
        <v>1477</v>
      </c>
      <c r="E350" s="10" t="s">
        <v>1607</v>
      </c>
      <c r="F350" s="10" t="s">
        <v>1479</v>
      </c>
      <c r="G350" s="10" t="s">
        <v>1408</v>
      </c>
    </row>
    <row r="351" spans="1:7">
      <c r="A351" s="8">
        <v>63810</v>
      </c>
      <c r="B351" s="12" t="s">
        <v>1610</v>
      </c>
      <c r="C351" s="10" t="s">
        <v>248</v>
      </c>
      <c r="D351" s="10" t="s">
        <v>1477</v>
      </c>
      <c r="E351" s="10" t="s">
        <v>1607</v>
      </c>
      <c r="F351" s="10" t="s">
        <v>1479</v>
      </c>
      <c r="G351" s="10" t="s">
        <v>1408</v>
      </c>
    </row>
    <row r="352" spans="1:7">
      <c r="A352" s="8">
        <v>63813</v>
      </c>
      <c r="B352" s="12" t="s">
        <v>1611</v>
      </c>
      <c r="C352" s="10" t="s">
        <v>122</v>
      </c>
      <c r="D352" s="10" t="s">
        <v>1477</v>
      </c>
      <c r="E352" s="10" t="s">
        <v>1607</v>
      </c>
      <c r="F352" s="10" t="s">
        <v>1479</v>
      </c>
      <c r="G352" s="10" t="s">
        <v>1408</v>
      </c>
    </row>
    <row r="353" spans="1:7">
      <c r="A353" s="8">
        <v>63816</v>
      </c>
      <c r="B353" s="12" t="s">
        <v>1612</v>
      </c>
      <c r="C353" s="10" t="s">
        <v>29</v>
      </c>
      <c r="D353" s="10" t="s">
        <v>1477</v>
      </c>
      <c r="E353" s="10" t="s">
        <v>1607</v>
      </c>
      <c r="F353" s="10" t="s">
        <v>1479</v>
      </c>
      <c r="G353" s="10" t="s">
        <v>1408</v>
      </c>
    </row>
    <row r="354" spans="1:7">
      <c r="A354" s="8">
        <v>64000</v>
      </c>
      <c r="B354" s="12" t="s">
        <v>1613</v>
      </c>
      <c r="C354" s="10" t="s">
        <v>248</v>
      </c>
      <c r="D354" s="10" t="s">
        <v>1477</v>
      </c>
      <c r="E354" s="10" t="s">
        <v>1614</v>
      </c>
      <c r="F354" s="10" t="s">
        <v>1479</v>
      </c>
      <c r="G354" s="10" t="s">
        <v>1408</v>
      </c>
    </row>
    <row r="355" spans="1:7">
      <c r="A355" s="8">
        <v>64003</v>
      </c>
      <c r="B355" s="12" t="s">
        <v>1615</v>
      </c>
      <c r="C355" s="10" t="s">
        <v>122</v>
      </c>
      <c r="D355" s="10" t="s">
        <v>1477</v>
      </c>
      <c r="E355" s="10" t="s">
        <v>1614</v>
      </c>
      <c r="F355" s="10" t="s">
        <v>1479</v>
      </c>
      <c r="G355" s="10" t="s">
        <v>1408</v>
      </c>
    </row>
    <row r="356" spans="1:7">
      <c r="A356" s="8">
        <v>64006</v>
      </c>
      <c r="B356" s="12" t="s">
        <v>1616</v>
      </c>
      <c r="C356" s="10" t="s">
        <v>29</v>
      </c>
      <c r="D356" s="10" t="s">
        <v>1477</v>
      </c>
      <c r="E356" s="10" t="s">
        <v>1614</v>
      </c>
      <c r="F356" s="10" t="s">
        <v>1479</v>
      </c>
      <c r="G356" s="10" t="s">
        <v>1408</v>
      </c>
    </row>
    <row r="357" spans="1:7">
      <c r="A357" s="8">
        <v>64100</v>
      </c>
      <c r="B357" s="12" t="s">
        <v>1617</v>
      </c>
      <c r="C357" s="10" t="s">
        <v>248</v>
      </c>
      <c r="D357" s="10" t="s">
        <v>1477</v>
      </c>
      <c r="E357" s="10" t="s">
        <v>1618</v>
      </c>
      <c r="F357" s="10" t="s">
        <v>1479</v>
      </c>
      <c r="G357" s="10" t="s">
        <v>1408</v>
      </c>
    </row>
    <row r="358" spans="1:7">
      <c r="A358" s="8">
        <v>64103</v>
      </c>
      <c r="B358" s="12" t="s">
        <v>1619</v>
      </c>
      <c r="C358" s="10" t="s">
        <v>122</v>
      </c>
      <c r="D358" s="10" t="s">
        <v>1477</v>
      </c>
      <c r="E358" s="10" t="s">
        <v>1618</v>
      </c>
      <c r="F358" s="10" t="s">
        <v>1479</v>
      </c>
      <c r="G358" s="10" t="s">
        <v>1408</v>
      </c>
    </row>
    <row r="359" spans="1:7">
      <c r="A359" s="8">
        <v>64106</v>
      </c>
      <c r="B359" s="12" t="s">
        <v>1620</v>
      </c>
      <c r="C359" s="10" t="s">
        <v>29</v>
      </c>
      <c r="D359" s="10" t="s">
        <v>1477</v>
      </c>
      <c r="E359" s="10" t="s">
        <v>1618</v>
      </c>
      <c r="F359" s="10" t="s">
        <v>1479</v>
      </c>
      <c r="G359" s="10" t="s">
        <v>1408</v>
      </c>
    </row>
    <row r="360" spans="1:7">
      <c r="A360" s="8">
        <v>64110</v>
      </c>
      <c r="B360" s="12" t="s">
        <v>1621</v>
      </c>
      <c r="C360" s="10" t="s">
        <v>248</v>
      </c>
      <c r="D360" s="10" t="s">
        <v>1477</v>
      </c>
      <c r="E360" s="10" t="s">
        <v>1618</v>
      </c>
      <c r="F360" s="10" t="s">
        <v>1479</v>
      </c>
      <c r="G360" s="10" t="s">
        <v>1408</v>
      </c>
    </row>
    <row r="361" spans="1:7">
      <c r="A361" s="8">
        <v>64113</v>
      </c>
      <c r="B361" s="12" t="s">
        <v>1622</v>
      </c>
      <c r="C361" s="10" t="s">
        <v>122</v>
      </c>
      <c r="D361" s="10" t="s">
        <v>1477</v>
      </c>
      <c r="E361" s="10" t="s">
        <v>1618</v>
      </c>
      <c r="F361" s="10" t="s">
        <v>1479</v>
      </c>
      <c r="G361" s="10" t="s">
        <v>1408</v>
      </c>
    </row>
    <row r="362" spans="1:7">
      <c r="A362" s="8">
        <v>64116</v>
      </c>
      <c r="B362" s="12" t="s">
        <v>1623</v>
      </c>
      <c r="C362" s="10" t="s">
        <v>29</v>
      </c>
      <c r="D362" s="10" t="s">
        <v>1477</v>
      </c>
      <c r="E362" s="10" t="s">
        <v>1618</v>
      </c>
      <c r="F362" s="10" t="s">
        <v>1479</v>
      </c>
      <c r="G362" s="10" t="s">
        <v>1408</v>
      </c>
    </row>
    <row r="363" spans="1:7">
      <c r="A363" s="8">
        <v>64120</v>
      </c>
      <c r="B363" s="12" t="s">
        <v>1624</v>
      </c>
      <c r="C363" s="10" t="s">
        <v>248</v>
      </c>
      <c r="D363" s="10" t="s">
        <v>1477</v>
      </c>
      <c r="E363" s="10" t="s">
        <v>1618</v>
      </c>
      <c r="F363" s="10" t="s">
        <v>1479</v>
      </c>
      <c r="G363" s="10" t="s">
        <v>1408</v>
      </c>
    </row>
    <row r="364" spans="1:7">
      <c r="A364" s="8">
        <v>64123</v>
      </c>
      <c r="B364" s="12" t="s">
        <v>1625</v>
      </c>
      <c r="C364" s="10" t="s">
        <v>122</v>
      </c>
      <c r="D364" s="10" t="s">
        <v>1477</v>
      </c>
      <c r="E364" s="10" t="s">
        <v>1618</v>
      </c>
      <c r="F364" s="10" t="s">
        <v>1479</v>
      </c>
      <c r="G364" s="10" t="s">
        <v>1408</v>
      </c>
    </row>
    <row r="365" spans="1:7">
      <c r="A365" s="8">
        <v>64126</v>
      </c>
      <c r="B365" s="12" t="s">
        <v>1626</v>
      </c>
      <c r="C365" s="10" t="s">
        <v>29</v>
      </c>
      <c r="D365" s="10" t="s">
        <v>1477</v>
      </c>
      <c r="E365" s="10" t="s">
        <v>1618</v>
      </c>
      <c r="F365" s="10" t="s">
        <v>1479</v>
      </c>
      <c r="G365" s="10" t="s">
        <v>1408</v>
      </c>
    </row>
    <row r="366" spans="1:7">
      <c r="A366" s="8">
        <v>64600</v>
      </c>
      <c r="B366" s="18" t="s">
        <v>1627</v>
      </c>
      <c r="C366" s="19" t="s">
        <v>248</v>
      </c>
      <c r="D366" s="19" t="s">
        <v>1477</v>
      </c>
      <c r="E366" s="19" t="s">
        <v>1628</v>
      </c>
      <c r="F366" s="19" t="s">
        <v>1479</v>
      </c>
      <c r="G366" s="19" t="s">
        <v>1408</v>
      </c>
    </row>
    <row r="367" spans="1:7">
      <c r="A367" s="20">
        <v>64603</v>
      </c>
      <c r="B367" s="21" t="s">
        <v>1629</v>
      </c>
      <c r="C367" s="22" t="s">
        <v>122</v>
      </c>
      <c r="D367" s="22" t="s">
        <v>1477</v>
      </c>
      <c r="E367" s="19" t="s">
        <v>1628</v>
      </c>
      <c r="F367" s="22" t="s">
        <v>1479</v>
      </c>
      <c r="G367" s="22" t="s">
        <v>1408</v>
      </c>
    </row>
    <row r="368" spans="1:7">
      <c r="A368" s="20">
        <v>64606</v>
      </c>
      <c r="B368" s="21" t="s">
        <v>1630</v>
      </c>
      <c r="C368" s="22" t="s">
        <v>29</v>
      </c>
      <c r="D368" s="22" t="s">
        <v>1477</v>
      </c>
      <c r="E368" s="19" t="s">
        <v>1628</v>
      </c>
      <c r="F368" s="22" t="s">
        <v>1479</v>
      </c>
      <c r="G368" s="22" t="s">
        <v>1408</v>
      </c>
    </row>
    <row r="369" spans="1:7">
      <c r="A369" s="8">
        <v>65000</v>
      </c>
      <c r="B369" s="16" t="s">
        <v>1631</v>
      </c>
      <c r="C369" s="10" t="s">
        <v>248</v>
      </c>
      <c r="D369" s="10" t="s">
        <v>1477</v>
      </c>
      <c r="E369" s="10" t="s">
        <v>1632</v>
      </c>
      <c r="F369" s="10" t="s">
        <v>1633</v>
      </c>
      <c r="G369" s="10" t="s">
        <v>1408</v>
      </c>
    </row>
    <row r="370" spans="1:7">
      <c r="A370" s="8">
        <v>65003</v>
      </c>
      <c r="B370" s="16" t="s">
        <v>1634</v>
      </c>
      <c r="C370" s="10" t="s">
        <v>122</v>
      </c>
      <c r="D370" s="10" t="s">
        <v>1477</v>
      </c>
      <c r="E370" s="10" t="s">
        <v>1632</v>
      </c>
      <c r="F370" s="10" t="s">
        <v>1633</v>
      </c>
      <c r="G370" s="10" t="s">
        <v>1408</v>
      </c>
    </row>
    <row r="371" spans="1:7">
      <c r="A371" s="8">
        <v>65006</v>
      </c>
      <c r="B371" s="16" t="s">
        <v>1635</v>
      </c>
      <c r="C371" s="10" t="s">
        <v>29</v>
      </c>
      <c r="D371" s="10" t="s">
        <v>1477</v>
      </c>
      <c r="E371" s="10" t="s">
        <v>1632</v>
      </c>
      <c r="F371" s="10" t="s">
        <v>1633</v>
      </c>
      <c r="G371" s="10" t="s">
        <v>1408</v>
      </c>
    </row>
    <row r="372" spans="1:7">
      <c r="A372" s="8">
        <v>66000</v>
      </c>
      <c r="B372" s="16" t="s">
        <v>1636</v>
      </c>
      <c r="C372" s="10" t="s">
        <v>248</v>
      </c>
      <c r="D372" s="10" t="s">
        <v>1477</v>
      </c>
      <c r="E372" s="10" t="s">
        <v>1637</v>
      </c>
      <c r="F372" s="10" t="s">
        <v>1633</v>
      </c>
      <c r="G372" s="10" t="s">
        <v>1408</v>
      </c>
    </row>
    <row r="373" spans="1:7">
      <c r="A373" s="8">
        <v>66003</v>
      </c>
      <c r="B373" s="16" t="s">
        <v>1638</v>
      </c>
      <c r="C373" s="10" t="s">
        <v>122</v>
      </c>
      <c r="D373" s="10" t="s">
        <v>1477</v>
      </c>
      <c r="E373" s="10" t="s">
        <v>1637</v>
      </c>
      <c r="F373" s="10" t="s">
        <v>1633</v>
      </c>
      <c r="G373" s="10" t="s">
        <v>1408</v>
      </c>
    </row>
    <row r="374" spans="1:7">
      <c r="A374" s="8">
        <v>66006</v>
      </c>
      <c r="B374" s="16" t="s">
        <v>1639</v>
      </c>
      <c r="C374" s="10" t="s">
        <v>29</v>
      </c>
      <c r="D374" s="10" t="s">
        <v>1477</v>
      </c>
      <c r="E374" s="10" t="s">
        <v>1637</v>
      </c>
      <c r="F374" s="10" t="s">
        <v>1633</v>
      </c>
      <c r="G374" s="10" t="s">
        <v>1408</v>
      </c>
    </row>
  </sheetData>
  <sheetProtection sheet="1" objects="1" scenarios="1"/>
  <conditionalFormatting sqref="A45:A47">
    <cfRule type="duplicateValues" dxfId="14" priority="4"/>
  </conditionalFormatting>
  <conditionalFormatting sqref="A49:A51">
    <cfRule type="duplicateValues" dxfId="13" priority="3"/>
  </conditionalFormatting>
  <conditionalFormatting sqref="A196:A198">
    <cfRule type="duplicateValues" dxfId="12" priority="1"/>
  </conditionalFormatting>
  <conditionalFormatting sqref="A369:A1048576 A48 A199:A365 A52:A195 A3:A44">
    <cfRule type="duplicateValues" dxfId="11" priority="5"/>
  </conditionalFormatting>
  <conditionalFormatting sqref="B4">
    <cfRule type="duplicateValues" dxfId="10" priority="7"/>
  </conditionalFormatting>
  <conditionalFormatting sqref="B5:B7">
    <cfRule type="duplicateValues" dxfId="9" priority="12"/>
  </conditionalFormatting>
  <conditionalFormatting sqref="B94:B96 B98:B103 B106:B112 B8:B90">
    <cfRule type="duplicateValues" dxfId="8" priority="14"/>
  </conditionalFormatting>
  <conditionalFormatting sqref="B97 B91:B92">
    <cfRule type="duplicateValues" dxfId="7" priority="6"/>
  </conditionalFormatting>
  <conditionalFormatting sqref="B196:B198">
    <cfRule type="duplicateValues" dxfId="6" priority="2"/>
  </conditionalFormatting>
  <conditionalFormatting sqref="B211:B213">
    <cfRule type="duplicateValues" dxfId="5" priority="9"/>
  </conditionalFormatting>
  <conditionalFormatting sqref="B222">
    <cfRule type="duplicateValues" dxfId="4" priority="10"/>
  </conditionalFormatting>
  <conditionalFormatting sqref="B223">
    <cfRule type="duplicateValues" dxfId="3" priority="8"/>
  </conditionalFormatting>
  <conditionalFormatting sqref="B302:B303">
    <cfRule type="duplicateValues" dxfId="2" priority="11"/>
  </conditionalFormatting>
  <conditionalFormatting sqref="B362:B365 B304:B312 B214:B218 B189:B195 B224:B241 B251:B301 B199:B210 B369:B371">
    <cfRule type="duplicateValues" dxfId="1" priority="15"/>
  </conditionalFormatting>
  <conditionalFormatting sqref="B372:B374 B242:B250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2024-08-13T07:22:28Z</dcterms:created>
  <dcterms:modified xsi:type="dcterms:W3CDTF">2026-07-22T06:45:50Z</dcterms:modified>
  <cp:category/>
  <cp:contentStatus/>
</cp:coreProperties>
</file>