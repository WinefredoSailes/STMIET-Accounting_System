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fileSharing readOnlyRecommended="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92760d46d7c6af/RECEIVABLES MONITORING FOLDER/JOURNAL ENTRIES DHPP-CASHIER/NOVEMBER 2025/"/>
    </mc:Choice>
  </mc:AlternateContent>
  <xr:revisionPtr revIDLastSave="0" documentId="8_{85BF2707-3A5A-4C51-BAF1-79D1ABADD0AA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BEGINNING BALANCES" sheetId="16" r:id="rId1"/>
    <sheet name="Chart of Accounts" sheetId="2" r:id="rId2"/>
    <sheet name="PAYMENT RECEIPTS" sheetId="5" r:id="rId3"/>
    <sheet name="FUEL INVENTORY" sheetId="6" state="hidden" r:id="rId4"/>
    <sheet name="AR-SUPPLIER" sheetId="13" state="hidden" r:id="rId5"/>
    <sheet name="Copyright-2" sheetId="12" state="hidden" r:id="rId6"/>
    <sheet name="UPON DELIVERY" sheetId="1" r:id="rId7"/>
    <sheet name="JOURNAL ENTRY" sheetId="15" r:id="rId8"/>
    <sheet name="SUPPLIER CODE" sheetId="14" r:id="rId9"/>
  </sheets>
  <definedNames>
    <definedName name="_xlnm._FilterDatabase" localSheetId="4" hidden="1">'AR-SUPPLIER'!$A$6:$N$207</definedName>
    <definedName name="_xlnm._FilterDatabase" localSheetId="3" hidden="1">'FUEL INVENTORY'!$A$7:$Q$7</definedName>
    <definedName name="_xlnm._FilterDatabase" localSheetId="2" hidden="1">'PAYMENT RECEIPTS'!$A$7:$O$42</definedName>
    <definedName name="_xlnm._FilterDatabase" localSheetId="8" hidden="1">'SUPPLIER CODE'!$A$1:$A$120</definedName>
    <definedName name="_xlnm._FilterDatabase" localSheetId="6" hidden="1">'UPON DELIVERY'!$B$7:$N$1180</definedName>
    <definedName name="ChartofAccounts" localSheetId="0">'BEGINNING BALANCES'!$B$5:$B$108</definedName>
    <definedName name="ChartofAccounts">'Chart of Accounts'!$B$6:$B$121</definedName>
    <definedName name="ChartofAccountsTable" localSheetId="0">'BEGINNING BALANCES'!$B$5:$C$108</definedName>
    <definedName name="ChartofAccountsTable">'Chart of Accounts'!$B$6:$C$121</definedName>
    <definedName name="_xlnm.Print_Area" localSheetId="0">'BEGINNING BALANCES'!$B$4:$C$108</definedName>
    <definedName name="_xlnm.Print_Area" localSheetId="1">'Chart of Accounts'!$B$5:$C$121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4" i="1" l="1"/>
  <c r="L615" i="1"/>
  <c r="L612" i="1"/>
  <c r="L613" i="1"/>
  <c r="L616" i="1"/>
  <c r="L617" i="1"/>
  <c r="L610" i="1"/>
  <c r="L608" i="1"/>
  <c r="L606" i="1"/>
  <c r="L604" i="1"/>
  <c r="L605" i="1"/>
  <c r="L600" i="1"/>
  <c r="L601" i="1"/>
  <c r="L603" i="1"/>
  <c r="L598" i="1"/>
  <c r="L599" i="1"/>
  <c r="L595" i="1"/>
  <c r="L596" i="1"/>
  <c r="L597" i="1"/>
  <c r="L593" i="1"/>
  <c r="L594" i="1"/>
  <c r="L591" i="1"/>
  <c r="L592" i="1"/>
  <c r="L588" i="1"/>
  <c r="L589" i="1"/>
  <c r="L590" i="1"/>
  <c r="L586" i="1"/>
  <c r="L584" i="1"/>
  <c r="L585" i="1"/>
  <c r="L587" i="1"/>
  <c r="L582" i="1"/>
  <c r="L583" i="1"/>
  <c r="L577" i="1"/>
  <c r="L578" i="1"/>
  <c r="L579" i="1"/>
  <c r="L580" i="1"/>
  <c r="L575" i="1"/>
  <c r="L576" i="1"/>
  <c r="L573" i="1"/>
  <c r="L574" i="1"/>
  <c r="L570" i="1"/>
  <c r="L571" i="1"/>
  <c r="L572" i="1"/>
  <c r="L568" i="1"/>
  <c r="L569" i="1"/>
  <c r="L566" i="1"/>
  <c r="L567" i="1"/>
  <c r="L564" i="1"/>
  <c r="L565" i="1"/>
  <c r="L562" i="1"/>
  <c r="L563" i="1"/>
  <c r="L560" i="1"/>
  <c r="L561" i="1"/>
  <c r="L558" i="1"/>
  <c r="L559" i="1"/>
  <c r="L555" i="1"/>
  <c r="L556" i="1"/>
  <c r="L552" i="1"/>
  <c r="L553" i="1"/>
  <c r="L549" i="1"/>
  <c r="L550" i="1"/>
  <c r="L547" i="1"/>
  <c r="L548" i="1"/>
  <c r="L551" i="1"/>
  <c r="L545" i="1"/>
  <c r="L546" i="1"/>
  <c r="B1" i="2"/>
  <c r="L543" i="1"/>
  <c r="L544" i="1"/>
  <c r="L554" i="1"/>
  <c r="L557" i="1"/>
  <c r="L541" i="1"/>
  <c r="L542" i="1"/>
  <c r="L537" i="1"/>
  <c r="L538" i="1"/>
  <c r="L539" i="1"/>
  <c r="L540" i="1"/>
  <c r="L535" i="1"/>
  <c r="L536" i="1"/>
  <c r="L533" i="1"/>
  <c r="L532" i="1"/>
  <c r="L530" i="1"/>
  <c r="L531" i="1"/>
  <c r="L534" i="1"/>
  <c r="L527" i="1"/>
  <c r="L528" i="1"/>
  <c r="L524" i="1"/>
  <c r="L525" i="1"/>
  <c r="L526" i="1"/>
  <c r="L529" i="1"/>
  <c r="L522" i="1"/>
  <c r="L523" i="1"/>
  <c r="L518" i="1"/>
  <c r="L519" i="1"/>
  <c r="L520" i="1"/>
  <c r="L521" i="1"/>
  <c r="L515" i="1"/>
  <c r="L516" i="1"/>
  <c r="L517" i="1"/>
  <c r="L511" i="1"/>
  <c r="L512" i="1"/>
  <c r="L513" i="1"/>
  <c r="L514" i="1"/>
  <c r="L509" i="1"/>
  <c r="L510" i="1"/>
  <c r="L505" i="1"/>
  <c r="L506" i="1"/>
  <c r="L507" i="1"/>
  <c r="L508" i="1"/>
  <c r="L502" i="1"/>
  <c r="L503" i="1"/>
  <c r="L504" i="1"/>
  <c r="L499" i="1"/>
  <c r="L500" i="1"/>
  <c r="L501" i="1"/>
  <c r="L497" i="1"/>
  <c r="L498" i="1"/>
  <c r="L493" i="1"/>
  <c r="L494" i="1"/>
  <c r="L495" i="1"/>
  <c r="L496" i="1"/>
  <c r="L491" i="1"/>
  <c r="L492" i="1"/>
  <c r="L489" i="1"/>
  <c r="L490" i="1"/>
  <c r="L487" i="1"/>
  <c r="L488" i="1"/>
  <c r="L485" i="1"/>
  <c r="L486" i="1"/>
  <c r="L481" i="1"/>
  <c r="L482" i="1"/>
  <c r="L483" i="1"/>
  <c r="L484" i="1"/>
  <c r="L479" i="1"/>
  <c r="L480" i="1"/>
  <c r="L477" i="1"/>
  <c r="L478" i="1"/>
  <c r="L475" i="1"/>
  <c r="L476" i="1"/>
  <c r="L473" i="1"/>
  <c r="L474" i="1"/>
  <c r="L471" i="1"/>
  <c r="L472" i="1"/>
  <c r="L469" i="1"/>
  <c r="L470" i="1"/>
  <c r="L467" i="1"/>
  <c r="L468" i="1"/>
  <c r="L464" i="1"/>
  <c r="L465" i="1"/>
  <c r="L466" i="1"/>
  <c r="L462" i="1"/>
  <c r="L463" i="1"/>
  <c r="L460" i="1"/>
  <c r="L461" i="1"/>
  <c r="L458" i="1"/>
  <c r="L459" i="1"/>
  <c r="L456" i="1"/>
  <c r="L457" i="1"/>
  <c r="L454" i="1"/>
  <c r="L455" i="1"/>
  <c r="L452" i="1"/>
  <c r="L453" i="1"/>
  <c r="L450" i="1"/>
  <c r="L451" i="1"/>
  <c r="L448" i="1"/>
  <c r="L449" i="1"/>
  <c r="L446" i="1"/>
  <c r="L447" i="1"/>
  <c r="L444" i="1"/>
  <c r="L445" i="1"/>
  <c r="L442" i="1"/>
  <c r="L443" i="1"/>
  <c r="L440" i="1"/>
  <c r="L441" i="1"/>
  <c r="L438" i="1"/>
  <c r="L439" i="1"/>
  <c r="L436" i="1"/>
  <c r="L437" i="1"/>
  <c r="L434" i="1"/>
  <c r="L435" i="1"/>
  <c r="L432" i="1"/>
  <c r="L433" i="1"/>
  <c r="L428" i="1"/>
  <c r="L430" i="1"/>
  <c r="L431" i="1"/>
  <c r="L425" i="1"/>
  <c r="L426" i="1"/>
  <c r="L423" i="1"/>
  <c r="L424" i="1"/>
  <c r="L427" i="1"/>
  <c r="L429" i="1"/>
  <c r="L421" i="1"/>
  <c r="L422" i="1"/>
  <c r="L419" i="1"/>
  <c r="L420" i="1"/>
  <c r="L416" i="1"/>
  <c r="L417" i="1"/>
  <c r="L413" i="1"/>
  <c r="L414" i="1"/>
  <c r="L415" i="1"/>
  <c r="L411" i="1"/>
  <c r="L412" i="1"/>
  <c r="L418" i="1"/>
  <c r="L409" i="1"/>
  <c r="L410" i="1"/>
  <c r="L407" i="1"/>
  <c r="L408" i="1"/>
  <c r="L405" i="1"/>
  <c r="L406" i="1"/>
  <c r="L402" i="1"/>
  <c r="L403" i="1"/>
  <c r="L400" i="1"/>
  <c r="L401" i="1"/>
  <c r="L404" i="1"/>
  <c r="L398" i="1"/>
  <c r="L399" i="1"/>
  <c r="L394" i="1"/>
  <c r="L395" i="1"/>
  <c r="L396" i="1"/>
  <c r="L397" i="1"/>
  <c r="L392" i="1"/>
  <c r="L393" i="1"/>
  <c r="L389" i="1"/>
  <c r="L390" i="1"/>
  <c r="L391" i="1"/>
  <c r="L388" i="1"/>
  <c r="L384" i="1"/>
  <c r="L385" i="1"/>
  <c r="L386" i="1"/>
  <c r="L383" i="1"/>
  <c r="L387" i="1"/>
  <c r="L380" i="1"/>
  <c r="L381" i="1"/>
  <c r="L382" i="1"/>
  <c r="L379" i="1"/>
  <c r="L377" i="1"/>
  <c r="L378" i="1"/>
  <c r="L374" i="1"/>
  <c r="L375" i="1"/>
  <c r="L376" i="1"/>
  <c r="L372" i="1"/>
  <c r="L373" i="1"/>
  <c r="L370" i="1"/>
  <c r="L371" i="1"/>
  <c r="L368" i="1"/>
  <c r="L369" i="1"/>
  <c r="L366" i="1"/>
  <c r="L367" i="1"/>
  <c r="L364" i="1"/>
  <c r="L365" i="1"/>
  <c r="L362" i="1"/>
  <c r="L363" i="1"/>
  <c r="L360" i="1"/>
  <c r="L361" i="1"/>
  <c r="L357" i="1"/>
  <c r="L358" i="1"/>
  <c r="L359" i="1"/>
  <c r="L353" i="1"/>
  <c r="L354" i="1"/>
  <c r="L355" i="1"/>
  <c r="L356" i="1"/>
  <c r="L581" i="1"/>
  <c r="L607" i="1"/>
  <c r="L609" i="1"/>
  <c r="L611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31" i="1"/>
  <c r="M8" i="1"/>
  <c r="N6" i="1"/>
  <c r="M6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9" i="1"/>
  <c r="I57" i="5"/>
  <c r="I67" i="5"/>
  <c r="I66" i="5"/>
  <c r="I65" i="5"/>
  <c r="I64" i="5"/>
  <c r="I63" i="5"/>
  <c r="I62" i="5"/>
  <c r="I61" i="5"/>
  <c r="I60" i="5"/>
  <c r="I59" i="5"/>
  <c r="I58" i="5"/>
  <c r="L1179" i="1"/>
  <c r="L1180" i="1"/>
  <c r="L114" i="2"/>
  <c r="K114" i="2"/>
  <c r="L87" i="2"/>
  <c r="K87" i="2"/>
  <c r="L73" i="2"/>
  <c r="K73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2" i="2"/>
  <c r="K22" i="2"/>
  <c r="L52" i="2"/>
  <c r="K52" i="2"/>
  <c r="L60" i="2"/>
  <c r="K60" i="2"/>
  <c r="L57" i="2"/>
  <c r="K57" i="2"/>
  <c r="L56" i="2"/>
  <c r="K56" i="2"/>
  <c r="P60" i="2"/>
  <c r="O60" i="2"/>
  <c r="N60" i="2"/>
  <c r="M60" i="2"/>
  <c r="J60" i="2"/>
  <c r="I60" i="2"/>
  <c r="P57" i="2"/>
  <c r="O57" i="2"/>
  <c r="N57" i="2"/>
  <c r="M57" i="2"/>
  <c r="J57" i="2"/>
  <c r="I57" i="2"/>
  <c r="P56" i="2"/>
  <c r="O56" i="2"/>
  <c r="N56" i="2"/>
  <c r="M56" i="2"/>
  <c r="J56" i="2"/>
  <c r="I56" i="2"/>
  <c r="P30" i="2"/>
  <c r="O30" i="2"/>
  <c r="N30" i="2"/>
  <c r="M30" i="2"/>
  <c r="J30" i="2"/>
  <c r="I30" i="2"/>
  <c r="G30" i="2"/>
  <c r="P29" i="2"/>
  <c r="O29" i="2"/>
  <c r="N29" i="2"/>
  <c r="M29" i="2"/>
  <c r="J29" i="2"/>
  <c r="I29" i="2"/>
  <c r="P28" i="2"/>
  <c r="O28" i="2"/>
  <c r="N28" i="2"/>
  <c r="M28" i="2"/>
  <c r="J28" i="2"/>
  <c r="I28" i="2"/>
  <c r="I44" i="5"/>
  <c r="J6" i="5"/>
  <c r="I51" i="5"/>
  <c r="I52" i="5"/>
  <c r="I53" i="5"/>
  <c r="I54" i="5"/>
  <c r="I55" i="5"/>
  <c r="K6" i="5"/>
  <c r="J8" i="5"/>
  <c r="I50" i="5"/>
  <c r="I49" i="5"/>
  <c r="I48" i="5"/>
  <c r="I47" i="5"/>
  <c r="I46" i="5"/>
  <c r="I45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26" i="2"/>
  <c r="J26" i="2"/>
  <c r="M26" i="2"/>
  <c r="N26" i="2"/>
  <c r="O26" i="2"/>
  <c r="P26" i="2"/>
  <c r="I25" i="2"/>
  <c r="J25" i="2"/>
  <c r="M25" i="2"/>
  <c r="N25" i="2"/>
  <c r="O25" i="2"/>
  <c r="P25" i="2"/>
  <c r="I15" i="2"/>
  <c r="J15" i="2"/>
  <c r="M15" i="2"/>
  <c r="N15" i="2"/>
  <c r="O15" i="2"/>
  <c r="P15" i="2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G5" i="1"/>
  <c r="J114" i="2"/>
  <c r="I114" i="2"/>
  <c r="J87" i="2"/>
  <c r="I87" i="2"/>
  <c r="J73" i="2"/>
  <c r="I73" i="2"/>
  <c r="J52" i="2"/>
  <c r="I52" i="2"/>
  <c r="J27" i="2"/>
  <c r="I27" i="2"/>
  <c r="J24" i="2"/>
  <c r="I24" i="2"/>
  <c r="J22" i="2"/>
  <c r="I22" i="2"/>
  <c r="J17" i="2"/>
  <c r="I17" i="2"/>
  <c r="J16" i="2"/>
  <c r="I16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B2" i="5"/>
  <c r="E58" i="2"/>
  <c r="D58" i="2"/>
  <c r="N5" i="1" l="1"/>
  <c r="K5" i="5"/>
  <c r="E57" i="2"/>
  <c r="D57" i="2"/>
  <c r="G57" i="2"/>
  <c r="D56" i="2"/>
  <c r="D60" i="2"/>
  <c r="E56" i="2"/>
  <c r="E60" i="2"/>
  <c r="E25" i="2"/>
  <c r="D25" i="2"/>
  <c r="E26" i="2"/>
  <c r="D26" i="2"/>
  <c r="E15" i="2"/>
  <c r="D15" i="2"/>
  <c r="G25" i="2" l="1"/>
  <c r="G15" i="2"/>
  <c r="G26" i="2"/>
  <c r="G56" i="2"/>
  <c r="G60" i="2"/>
  <c r="B2" i="1"/>
  <c r="E2" i="16"/>
  <c r="D2" i="16"/>
  <c r="E1" i="16" l="1"/>
  <c r="I27" i="6"/>
  <c r="K6" i="6"/>
  <c r="J6" i="6"/>
  <c r="M87" i="2"/>
  <c r="N87" i="2"/>
  <c r="J5" i="13"/>
  <c r="I5" i="13"/>
  <c r="I11" i="6"/>
  <c r="I10" i="6"/>
  <c r="I9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J4" i="13"/>
  <c r="K5" i="6"/>
  <c r="P17" i="2"/>
  <c r="O17" i="2"/>
  <c r="N17" i="2"/>
  <c r="M17" i="2"/>
  <c r="P16" i="2"/>
  <c r="O16" i="2"/>
  <c r="N16" i="2"/>
  <c r="M16" i="2"/>
  <c r="P14" i="2"/>
  <c r="O14" i="2"/>
  <c r="N14" i="2"/>
  <c r="M14" i="2"/>
  <c r="P13" i="2"/>
  <c r="O13" i="2"/>
  <c r="N13" i="2"/>
  <c r="M13" i="2"/>
  <c r="P12" i="2"/>
  <c r="O12" i="2"/>
  <c r="N12" i="2"/>
  <c r="M12" i="2"/>
  <c r="P11" i="2"/>
  <c r="O11" i="2"/>
  <c r="N11" i="2"/>
  <c r="M11" i="2"/>
  <c r="P10" i="2"/>
  <c r="O10" i="2"/>
  <c r="N10" i="2"/>
  <c r="M10" i="2"/>
  <c r="D10" i="2" s="1"/>
  <c r="P9" i="2"/>
  <c r="O9" i="2"/>
  <c r="N9" i="2"/>
  <c r="M9" i="2"/>
  <c r="M8" i="2"/>
  <c r="N8" i="2"/>
  <c r="O8" i="2"/>
  <c r="P8" i="2"/>
  <c r="M22" i="2"/>
  <c r="N22" i="2"/>
  <c r="O22" i="2"/>
  <c r="P22" i="2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I7" i="13"/>
  <c r="F5" i="13"/>
  <c r="D4" i="13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6" i="6"/>
  <c r="I25" i="6"/>
  <c r="J8" i="6"/>
  <c r="F4" i="6"/>
  <c r="P114" i="2"/>
  <c r="O114" i="2"/>
  <c r="N114" i="2"/>
  <c r="M114" i="2"/>
  <c r="P87" i="2"/>
  <c r="O87" i="2"/>
  <c r="P73" i="2"/>
  <c r="O73" i="2"/>
  <c r="N73" i="2"/>
  <c r="M73" i="2"/>
  <c r="P52" i="2"/>
  <c r="O52" i="2"/>
  <c r="N52" i="2"/>
  <c r="M52" i="2"/>
  <c r="P27" i="2"/>
  <c r="O27" i="2"/>
  <c r="N27" i="2"/>
  <c r="M27" i="2"/>
  <c r="P24" i="2"/>
  <c r="O24" i="2"/>
  <c r="N24" i="2"/>
  <c r="M24" i="2"/>
  <c r="D87" i="2" l="1"/>
  <c r="E87" i="2"/>
  <c r="D73" i="2"/>
  <c r="E73" i="2"/>
  <c r="D27" i="2"/>
  <c r="D28" i="2"/>
  <c r="D29" i="2"/>
  <c r="E27" i="2"/>
  <c r="E28" i="2"/>
  <c r="E29" i="2"/>
  <c r="D22" i="2"/>
  <c r="D24" i="2"/>
  <c r="E22" i="2"/>
  <c r="E24" i="2"/>
  <c r="D16" i="2"/>
  <c r="D14" i="2"/>
  <c r="D13" i="2"/>
  <c r="D12" i="2"/>
  <c r="D11" i="2"/>
  <c r="D9" i="2"/>
  <c r="D8" i="2"/>
  <c r="E16" i="2"/>
  <c r="E14" i="2"/>
  <c r="E13" i="2"/>
  <c r="E12" i="2"/>
  <c r="E11" i="2"/>
  <c r="E10" i="2"/>
  <c r="E9" i="2"/>
  <c r="E8" i="2"/>
  <c r="P2" i="2"/>
  <c r="O2" i="2"/>
  <c r="N2" i="2"/>
  <c r="M2" i="2"/>
  <c r="D114" i="2"/>
  <c r="E114" i="2"/>
  <c r="I2" i="2"/>
  <c r="K2" i="2"/>
  <c r="L2" i="2"/>
  <c r="G29" i="2" l="1"/>
  <c r="G28" i="2"/>
  <c r="G8" i="2"/>
  <c r="G22" i="2"/>
  <c r="G10" i="2"/>
  <c r="G14" i="2"/>
  <c r="G9" i="2"/>
  <c r="G13" i="2"/>
  <c r="G12" i="2"/>
  <c r="G11" i="2"/>
  <c r="G73" i="2"/>
  <c r="G24" i="2"/>
  <c r="G16" i="2"/>
  <c r="D3" i="2"/>
  <c r="J2" i="2" l="1"/>
  <c r="E3" i="2"/>
  <c r="E2" i="2" s="1"/>
  <c r="G17" i="2"/>
</calcChain>
</file>

<file path=xl/sharedStrings.xml><?xml version="1.0" encoding="utf-8"?>
<sst xmlns="http://schemas.openxmlformats.org/spreadsheetml/2006/main" count="2386" uniqueCount="903">
  <si>
    <t>JULY 29-SEP.1,2025</t>
  </si>
  <si>
    <t>OPENING BALANCES</t>
  </si>
  <si>
    <t>GL NO:</t>
  </si>
  <si>
    <t>Account Name</t>
  </si>
  <si>
    <t>Dr.</t>
  </si>
  <si>
    <t>Cr.</t>
  </si>
  <si>
    <t>ASSETS</t>
  </si>
  <si>
    <t>Current Assets</t>
  </si>
  <si>
    <t>Cash on Hand-DHPP</t>
  </si>
  <si>
    <t>Cash in Bank_PNB-DHPP</t>
  </si>
  <si>
    <t>Cash in Bank_1VB-DHPP</t>
  </si>
  <si>
    <t>Cash in Bank_MBTC-DHPP</t>
  </si>
  <si>
    <t>Cash in Bank_EW-DHPP</t>
  </si>
  <si>
    <t>Cash in Bank_KB-DHPP</t>
  </si>
  <si>
    <t>Cash in Bank_PSBC-DHPP</t>
  </si>
  <si>
    <t>Cash in Bank_PSBC CHECKING-DHPP</t>
  </si>
  <si>
    <t>Cash in Bank_BDO Unibank-DHPP</t>
  </si>
  <si>
    <t>RECEIVABLES</t>
  </si>
  <si>
    <t>A/Receivables - Fuel Clients</t>
  </si>
  <si>
    <t>Advances to Suppliers - DHPP</t>
  </si>
  <si>
    <t>Due from Other Cos. - DHPP</t>
  </si>
  <si>
    <t>INVENTORIES</t>
  </si>
  <si>
    <t>Fuel Inventory</t>
  </si>
  <si>
    <t>Fuel Inventory at Dohinob</t>
  </si>
  <si>
    <t>Fuel Inventory at Office</t>
  </si>
  <si>
    <t>LIABILITIES</t>
  </si>
  <si>
    <t>PAYABLES</t>
  </si>
  <si>
    <t>Unearned Revenue - DHPP</t>
  </si>
  <si>
    <t>A/Payables - Current - DHPP</t>
  </si>
  <si>
    <t>REVENUE</t>
  </si>
  <si>
    <t>Sales -Fuel Hauling</t>
  </si>
  <si>
    <t>REVENUE - Product 1</t>
  </si>
  <si>
    <t>REVENUE - Product 2</t>
  </si>
  <si>
    <t>REVENUE - Product 3</t>
  </si>
  <si>
    <t>Sales Discounts - All Products</t>
  </si>
  <si>
    <t>Sales Discounts - Product 1</t>
  </si>
  <si>
    <t>Sales Discounts - Product 2</t>
  </si>
  <si>
    <t>Sales Discounts - Product 3</t>
  </si>
  <si>
    <t>Sales Returns and Allowances - All Products</t>
  </si>
  <si>
    <t>Sales Returns and Allowances - Product 1</t>
  </si>
  <si>
    <t>Sales Returns and Allowances - Product 2</t>
  </si>
  <si>
    <t>Sales Returns and Allowances - Product 3</t>
  </si>
  <si>
    <t>COST of GOODS SOLD</t>
  </si>
  <si>
    <t>COGS - Fuel Purchase</t>
  </si>
  <si>
    <t>COGS - Product 1</t>
  </si>
  <si>
    <t>COGS - Product 2</t>
  </si>
  <si>
    <t>COGS - Product 3</t>
  </si>
  <si>
    <t>Purchase - All Products</t>
  </si>
  <si>
    <t>Purchase - Product 1</t>
  </si>
  <si>
    <t>Purchase - Product 2</t>
  </si>
  <si>
    <t>Purchase - Product 3</t>
  </si>
  <si>
    <t>Purchase Discounts - All Products</t>
  </si>
  <si>
    <t>Purchase Discounts - Product 1</t>
  </si>
  <si>
    <t>Purchase Discounts - Product 2</t>
  </si>
  <si>
    <t>Purchase Discounts - Product 3</t>
  </si>
  <si>
    <t>Purchase Returns and Allowances - All Products</t>
  </si>
  <si>
    <t>Purchase Returns and Allowances - Product 1</t>
  </si>
  <si>
    <t>Purchase Returns and Allowances - Product 2</t>
  </si>
  <si>
    <t>Purchase Returns and Allowances - Product 3</t>
  </si>
  <si>
    <t>COGS - Gasoline Expenses_DHPP</t>
  </si>
  <si>
    <t>OPERATING EXPENSES</t>
  </si>
  <si>
    <t>EXP - Salaries</t>
  </si>
  <si>
    <t>EXP - Administration</t>
  </si>
  <si>
    <t>EXP - Electricity, Water, Phone</t>
  </si>
  <si>
    <t>EXP - Rent</t>
  </si>
  <si>
    <t>EXP - Insurance</t>
  </si>
  <si>
    <t>EXP - Repair and Maintenance</t>
  </si>
  <si>
    <t>EXP - Office Supplies</t>
  </si>
  <si>
    <t>EXP - Depreciation Equipment</t>
  </si>
  <si>
    <t>EXP - Depreciation Vehicles</t>
  </si>
  <si>
    <t>EXP - Gasoline Expenses</t>
  </si>
  <si>
    <t>OTHER INCOME</t>
  </si>
  <si>
    <t>Finance Charge Income</t>
  </si>
  <si>
    <t>OTHER EXPENSES</t>
  </si>
  <si>
    <t>EXP - Interests</t>
  </si>
  <si>
    <t>EXP - Bank Charges</t>
  </si>
  <si>
    <t>DISTRIBUTION AND HAULING OF PETROLEUM PRODUCTS</t>
  </si>
  <si>
    <t>TRIAL BALANCE</t>
  </si>
  <si>
    <t>ENDING BALANCES</t>
  </si>
  <si>
    <t>PAYMENT RECEIPTS</t>
  </si>
  <si>
    <t>Upon Delivery</t>
  </si>
  <si>
    <t>Fuel Delivery</t>
  </si>
  <si>
    <t>AR-Mems</t>
  </si>
  <si>
    <t>A/Receivables - Other Current -DHPP</t>
  </si>
  <si>
    <t>PREPAID EXPENSES and OTHER CURRENT ASSETS</t>
  </si>
  <si>
    <t>PREPAID - Insurance</t>
  </si>
  <si>
    <t>VAT - Input</t>
  </si>
  <si>
    <t>OWNER'S EQUITIES</t>
  </si>
  <si>
    <t>Owner's Capital</t>
  </si>
  <si>
    <t>Retained Earnings</t>
  </si>
  <si>
    <t>Current Earnings</t>
  </si>
  <si>
    <t>Owner's Withdrawal</t>
  </si>
  <si>
    <t>AUGUST 1-31,2025</t>
  </si>
  <si>
    <t>SEP. 8-OCT.6,2025</t>
  </si>
  <si>
    <t>GENERAL JOURNAL FOR FUEL ORDERS WITH PAYMENTS (STMIET)</t>
  </si>
  <si>
    <t>Data last entry date</t>
  </si>
  <si>
    <t>Date</t>
  </si>
  <si>
    <t>CYCLE</t>
  </si>
  <si>
    <t>Supplier/Customer Code</t>
  </si>
  <si>
    <t>ACKNOWLEDGMENT RECEIPT #</t>
  </si>
  <si>
    <t>PO #</t>
  </si>
  <si>
    <t>Description</t>
  </si>
  <si>
    <t>CoA</t>
  </si>
  <si>
    <t>Debit</t>
  </si>
  <si>
    <t>Credit</t>
  </si>
  <si>
    <t>NOV. 1- 3, 2025</t>
  </si>
  <si>
    <t>REFER TO COLLECTION SUMMARY</t>
  </si>
  <si>
    <t>TOTAL COLLECTIONS FOR THE WEEK-PNB CHECKING</t>
  </si>
  <si>
    <t>TOTAL COLLECTIONS FOR THE WEEK-MBTC CHECKING</t>
  </si>
  <si>
    <t>TOTAL COLLECTIONS FOR THE WEEK-BDO CHECKING</t>
  </si>
  <si>
    <t>COLLECTION OF PREVIOUS PAYMENTS DIRECTLY DEPOSITED TO E.TAN- STPC</t>
  </si>
  <si>
    <t>TOTAL COLLECTIONS FOR THE WEEK- FVB CHECKING</t>
  </si>
  <si>
    <t>TOTAL COLLECTIONS FOR THE WEEK- KB CHECKING</t>
  </si>
  <si>
    <t>TOTAL COLLECTIONS FOR THE WEEK- PSBC CHECKING</t>
  </si>
  <si>
    <t>TO RECOGNIZE RECEIVABLE FOR PAYMENTS DIRECTLY DEPOSITED THRU GCASH_CNR</t>
  </si>
  <si>
    <t>TOTAL COLLECTIONS FOR THE WEEK- CASH ON HAND</t>
  </si>
  <si>
    <t>TOTAL COLLECTIONS FROM PREVIOUS CYCLE</t>
  </si>
  <si>
    <t>SET UP PAYABLES FROM COLLECTIONS OF PAYMENTS</t>
  </si>
  <si>
    <t>NOV. 4-10, 2025</t>
  </si>
  <si>
    <t>NOV. 11- 17, 2025</t>
  </si>
  <si>
    <t>NOV. 18-24, 2025</t>
  </si>
  <si>
    <t>NOV. 25-30, 2025</t>
  </si>
  <si>
    <t>GENERAL JOURNAL FOR FUEL PICKED UP AND DELIVERY TO CLIENTS (SUPPLIER)</t>
  </si>
  <si>
    <t>ATL</t>
  </si>
  <si>
    <t>CN</t>
  </si>
  <si>
    <t>WC</t>
  </si>
  <si>
    <t>DR</t>
  </si>
  <si>
    <t>Pick Up Date</t>
  </si>
  <si>
    <t>PAYMENT REF / Supplier Ref.</t>
  </si>
  <si>
    <t>ATL /CN/DR/WC</t>
  </si>
  <si>
    <t>NUMBER</t>
  </si>
  <si>
    <t>PAYMENT CYCLE FROM</t>
  </si>
  <si>
    <t>GENERAL JOURNAL FOR PAYMETS TO DEPOT (SUPPLIER OF FUEL)</t>
  </si>
  <si>
    <t>Supplier / Bank</t>
  </si>
  <si>
    <t>PAYMENT CYCLE</t>
  </si>
  <si>
    <t>Volume (in KL)</t>
  </si>
  <si>
    <t>© 2017 - ExcelTemplate.NET</t>
  </si>
  <si>
    <t xml:space="preserve">Need help? Please see this page for information: </t>
  </si>
  <si>
    <t>https://exceltemplate.net/support/</t>
  </si>
  <si>
    <t>JAN 1-30, 2026</t>
  </si>
  <si>
    <t>GENERAL JOURNAL FOR RECOGNITION OF SALES</t>
  </si>
  <si>
    <t>Delivery Date</t>
  </si>
  <si>
    <t>Bank / Dr. No</t>
  </si>
  <si>
    <t>Order / Payment Cycle</t>
  </si>
  <si>
    <t>NO OF ORDERS</t>
  </si>
  <si>
    <t>TANKER</t>
  </si>
  <si>
    <t>12e 3331 p</t>
  </si>
  <si>
    <t>DEC.30- JAN. 5, 2026</t>
  </si>
  <si>
    <t>Claritas</t>
  </si>
  <si>
    <t xml:space="preserve">1000 X  0 R 0 D </t>
  </si>
  <si>
    <t>MAW 7645</t>
  </si>
  <si>
    <t>12e 3313 p</t>
  </si>
  <si>
    <t>Villaflor Aya G</t>
  </si>
  <si>
    <t>12e 3327 p</t>
  </si>
  <si>
    <t>Villaflor Len</t>
  </si>
  <si>
    <t>12e 3276_b p</t>
  </si>
  <si>
    <t>OVERPAYMENT FROM DEC. 23-29</t>
  </si>
  <si>
    <t>12e 3351</t>
  </si>
  <si>
    <t>San Pedro B.</t>
  </si>
  <si>
    <t xml:space="preserve">0 X  500 R 0 D </t>
  </si>
  <si>
    <t>12e 3318 p</t>
  </si>
  <si>
    <t>Napo</t>
  </si>
  <si>
    <t xml:space="preserve">0 X  0 R 500 D </t>
  </si>
  <si>
    <t>12e 3308_b</t>
  </si>
  <si>
    <t>Tabon</t>
  </si>
  <si>
    <t>MAM 2369</t>
  </si>
  <si>
    <t>12e 3288_a p</t>
  </si>
  <si>
    <t>Siari</t>
  </si>
  <si>
    <t xml:space="preserve">500 X  0 R 0 D </t>
  </si>
  <si>
    <t>OVERPAYMENT ON DEC.23-29 2025</t>
  </si>
  <si>
    <t>12e 3349 p</t>
  </si>
  <si>
    <t>12e 3299 p</t>
  </si>
  <si>
    <t>Tudela</t>
  </si>
  <si>
    <t xml:space="preserve">1000 X  500 R 0 D </t>
  </si>
  <si>
    <t>KAP 8160</t>
  </si>
  <si>
    <t>12e 3350</t>
  </si>
  <si>
    <t xml:space="preserve">2000 X  500 R 0 D </t>
  </si>
  <si>
    <t>12e 3328_a</t>
  </si>
  <si>
    <t>Del Pilar</t>
  </si>
  <si>
    <t xml:space="preserve">0 X  500 R 500 D </t>
  </si>
  <si>
    <t>1a 3372 Adv</t>
  </si>
  <si>
    <t xml:space="preserve">San Pedro </t>
  </si>
  <si>
    <t xml:space="preserve">2000 X  0 R 0 D </t>
  </si>
  <si>
    <t>12e 3346 p</t>
  </si>
  <si>
    <t>Don Vic Dennis</t>
  </si>
  <si>
    <t xml:space="preserve">1000 X  0 R 500 D </t>
  </si>
  <si>
    <t>12e 3279_b</t>
  </si>
  <si>
    <t>Guitran</t>
  </si>
  <si>
    <t>12e 3324 p</t>
  </si>
  <si>
    <t>Lower Landing</t>
  </si>
  <si>
    <t>12e 3319 p</t>
  </si>
  <si>
    <t>Midsalip</t>
  </si>
  <si>
    <t xml:space="preserve">0 X  1000 R 0 D </t>
  </si>
  <si>
    <t>12e 3339 p</t>
  </si>
  <si>
    <t>Dicayo</t>
  </si>
  <si>
    <t>GNN 403</t>
  </si>
  <si>
    <t>12e 3329_b p</t>
  </si>
  <si>
    <t>Cogon</t>
  </si>
  <si>
    <t>OVERPAYMENT ON DEC.30-JAN.5</t>
  </si>
  <si>
    <t>12e 3323 p</t>
  </si>
  <si>
    <t>Dansulyan Awa</t>
  </si>
  <si>
    <t>1a 3353 Adv.</t>
  </si>
  <si>
    <t>Gampis</t>
  </si>
  <si>
    <t>12e 3332 p</t>
  </si>
  <si>
    <t>Lingasad</t>
  </si>
  <si>
    <t>OVERPAYMENT ON DEC.30-JAN.5 202</t>
  </si>
  <si>
    <t>12e 3322 p</t>
  </si>
  <si>
    <t>Villahermosa</t>
  </si>
  <si>
    <t>12e 3340 p</t>
  </si>
  <si>
    <t>Aseniero</t>
  </si>
  <si>
    <t>12e 3333 p</t>
  </si>
  <si>
    <t>Dansulyan Ama</t>
  </si>
  <si>
    <t xml:space="preserve">1000 X  0 R 1000 D </t>
  </si>
  <si>
    <t>12e 3311 p</t>
  </si>
  <si>
    <t>New Sicayab</t>
  </si>
  <si>
    <t>JAR 1707</t>
  </si>
  <si>
    <t>OVERPAYMENT FROM DEC.23-29</t>
  </si>
  <si>
    <t>12e 3305 p</t>
  </si>
  <si>
    <t>Dilawa</t>
  </si>
  <si>
    <t>From</t>
  </si>
  <si>
    <t>12e 3275_b p</t>
  </si>
  <si>
    <t>OVERPAYMENT FROM DEC.16-22 2025</t>
  </si>
  <si>
    <t>12e 3279_a p</t>
  </si>
  <si>
    <t>12kl</t>
  </si>
  <si>
    <t>12e 3302 p</t>
  </si>
  <si>
    <t>Josefina FT</t>
  </si>
  <si>
    <t>12e 3316</t>
  </si>
  <si>
    <t>Mahayag</t>
  </si>
  <si>
    <t>12e 3297 p</t>
  </si>
  <si>
    <t>Maralag</t>
  </si>
  <si>
    <t xml:space="preserve">500 X  0 R 500 D </t>
  </si>
  <si>
    <t>12e 3280_b p</t>
  </si>
  <si>
    <t>Dumingag B.</t>
  </si>
  <si>
    <t>12e 3344</t>
  </si>
  <si>
    <t>12e 3342</t>
  </si>
  <si>
    <t>12e 3334 p</t>
  </si>
  <si>
    <t>Sagbed</t>
  </si>
  <si>
    <t>12e 3338</t>
  </si>
  <si>
    <t>Palandok KJ</t>
  </si>
  <si>
    <t>12e 3320 p</t>
  </si>
  <si>
    <t>Ubay</t>
  </si>
  <si>
    <t>12e 3343 p</t>
  </si>
  <si>
    <t>Balagon</t>
  </si>
  <si>
    <t>12e 3289 p</t>
  </si>
  <si>
    <t>Dipili</t>
  </si>
  <si>
    <t xml:space="preserve">1000 X  0 R 2000 D </t>
  </si>
  <si>
    <t>12e 3325 p</t>
  </si>
  <si>
    <t>Bayog Baco B.</t>
  </si>
  <si>
    <t>12e 3321 p</t>
  </si>
  <si>
    <t>Tamil JRM</t>
  </si>
  <si>
    <t>NKC 4763</t>
  </si>
  <si>
    <t>12e 3345 p</t>
  </si>
  <si>
    <t>Motibot</t>
  </si>
  <si>
    <t>12e 3273 p</t>
  </si>
  <si>
    <t>Coloran</t>
  </si>
  <si>
    <t>12e 3317</t>
  </si>
  <si>
    <t>Gwen Tigbao Sur</t>
  </si>
  <si>
    <t>12e 3326 p</t>
  </si>
  <si>
    <t>Guipos Vistal</t>
  </si>
  <si>
    <t>12e 3292</t>
  </si>
  <si>
    <t>Guipos SDJ 77</t>
  </si>
  <si>
    <t>12e 3315 p</t>
  </si>
  <si>
    <t>San Miguel Aishi's</t>
  </si>
  <si>
    <t>12e 3336 p</t>
  </si>
  <si>
    <t>San Miguel Jane</t>
  </si>
  <si>
    <t>12e 3337</t>
  </si>
  <si>
    <t>San Pablo Rhoei</t>
  </si>
  <si>
    <t xml:space="preserve">2000 X  1000 R 1000 D </t>
  </si>
  <si>
    <t>12e 3310 p</t>
  </si>
  <si>
    <t>San Pablo BL</t>
  </si>
  <si>
    <t>1a 3360 Adv</t>
  </si>
  <si>
    <t>1a 3359 p Adv</t>
  </si>
  <si>
    <t xml:space="preserve">5000 X  3000 R 2000 D </t>
  </si>
  <si>
    <t>12d 3256_b p Old</t>
  </si>
  <si>
    <t>Lapuyan</t>
  </si>
  <si>
    <t>1a 3384 p</t>
  </si>
  <si>
    <t>Bato</t>
  </si>
  <si>
    <t>1a 3357</t>
  </si>
  <si>
    <t>Dampalan, Dapitan</t>
  </si>
  <si>
    <t>OVERPAYMENT FROM DEC. 23-29, 2026</t>
  </si>
  <si>
    <t>1a 3378 p</t>
  </si>
  <si>
    <t>La Libertad</t>
  </si>
  <si>
    <t>12e 3341 Old</t>
  </si>
  <si>
    <t>Ilaya</t>
  </si>
  <si>
    <t>1a 3385_a</t>
  </si>
  <si>
    <t>12e 3287_b p Old</t>
  </si>
  <si>
    <t>1a 3386 p</t>
  </si>
  <si>
    <t>12e 3328_b p Old</t>
  </si>
  <si>
    <t>1a 3371_a p</t>
  </si>
  <si>
    <t>Calican</t>
  </si>
  <si>
    <t>1a 3382 p</t>
  </si>
  <si>
    <t>1a 3361 p</t>
  </si>
  <si>
    <t>Sinuyak</t>
  </si>
  <si>
    <t>1a 3367_b p</t>
  </si>
  <si>
    <t>Bajo</t>
  </si>
  <si>
    <t>1a 3380 p</t>
  </si>
  <si>
    <t>Villaflor Aya</t>
  </si>
  <si>
    <t>1a 3410_a</t>
  </si>
  <si>
    <t>1a 3370</t>
  </si>
  <si>
    <t>Clarin</t>
  </si>
  <si>
    <t>1a 3420_a p</t>
  </si>
  <si>
    <t>3418 p</t>
  </si>
  <si>
    <t>1a 3420_b p</t>
  </si>
  <si>
    <t xml:space="preserve">1000 X  1000 R 0 D </t>
  </si>
  <si>
    <t>1a 3425 p</t>
  </si>
  <si>
    <t>1a 3406 p</t>
  </si>
  <si>
    <t>1a 3436 p</t>
  </si>
  <si>
    <t>1a 3405</t>
  </si>
  <si>
    <t>1a 3404_b p</t>
  </si>
  <si>
    <t>1a 3413_b p</t>
  </si>
  <si>
    <t>1a 3417 p</t>
  </si>
  <si>
    <t>Pangalalan</t>
  </si>
  <si>
    <t>1a 3429_a p</t>
  </si>
  <si>
    <t>MBB</t>
  </si>
  <si>
    <t>1a 3410_b p</t>
  </si>
  <si>
    <t>1a 3424 p</t>
  </si>
  <si>
    <t>1a 3371_b p</t>
  </si>
  <si>
    <t>1a 3433</t>
  </si>
  <si>
    <t>1a 3397 p</t>
  </si>
  <si>
    <t>Basagan</t>
  </si>
  <si>
    <t>1a 3443</t>
  </si>
  <si>
    <t>1a 3419 p</t>
  </si>
  <si>
    <t>Sawang</t>
  </si>
  <si>
    <t>1a 3444</t>
  </si>
  <si>
    <t>1a 3437</t>
  </si>
  <si>
    <t>1a 3438 p</t>
  </si>
  <si>
    <t>1b 3447</t>
  </si>
  <si>
    <t>Dohinob STP</t>
  </si>
  <si>
    <t>OVERPAYMENT FROM JAN. 6-12,2026</t>
  </si>
  <si>
    <t>1a 3383 p</t>
  </si>
  <si>
    <t>1a 3356</t>
  </si>
  <si>
    <t>1a 3373_a p</t>
  </si>
  <si>
    <t>1a 3358 p</t>
  </si>
  <si>
    <t>1a 3365</t>
  </si>
  <si>
    <t>Bacong Bulilit</t>
  </si>
  <si>
    <t>1a 3355 p</t>
  </si>
  <si>
    <t>Binoni</t>
  </si>
  <si>
    <t>1a 3362</t>
  </si>
  <si>
    <t>Ilihan</t>
  </si>
  <si>
    <t>OVERPAYMENT FORM DEC.23-29,2025</t>
  </si>
  <si>
    <t>1a 3391 p</t>
  </si>
  <si>
    <t>Dinasan</t>
  </si>
  <si>
    <t>1a 3411</t>
  </si>
  <si>
    <t>OVERPAYMENT FORM DEC.30-JAN.5 2026</t>
  </si>
  <si>
    <t xml:space="preserve"> </t>
  </si>
  <si>
    <t>1a 3393_c p</t>
  </si>
  <si>
    <t>1a 3401 p</t>
  </si>
  <si>
    <t>Balamban</t>
  </si>
  <si>
    <t>1a 3381_b p</t>
  </si>
  <si>
    <t>1a 3432 p</t>
  </si>
  <si>
    <t>1a 3431 p</t>
  </si>
  <si>
    <t>Valencia</t>
  </si>
  <si>
    <t>1a 3439</t>
  </si>
  <si>
    <t>1a 3441</t>
  </si>
  <si>
    <t>1a 3407</t>
  </si>
  <si>
    <t>1a 3440 p</t>
  </si>
  <si>
    <t>Doña Josefa</t>
  </si>
  <si>
    <t>1a 3442 p</t>
  </si>
  <si>
    <t>1a 3435</t>
  </si>
  <si>
    <t xml:space="preserve">2000 X  0 R 1000 D </t>
  </si>
  <si>
    <t>1a 3434 p</t>
  </si>
  <si>
    <t>Inuman</t>
  </si>
  <si>
    <t>1a 3400_c p</t>
  </si>
  <si>
    <t>Timan</t>
  </si>
  <si>
    <t>1a 3367_a p</t>
  </si>
  <si>
    <t>12D 3264_b p</t>
  </si>
  <si>
    <t>1a 3377</t>
  </si>
  <si>
    <t>OVERPAYMENT FORM JAN. 6-12</t>
  </si>
  <si>
    <t>1a 3412</t>
  </si>
  <si>
    <t>1a 3404_a p</t>
  </si>
  <si>
    <t>1a 3373_b p</t>
  </si>
  <si>
    <t>OVERPAYMENT FROM DEC.30-JAN.5</t>
  </si>
  <si>
    <t>12e 3288_b p Old</t>
  </si>
  <si>
    <t>12e 3335p Old</t>
  </si>
  <si>
    <t xml:space="preserve">1a 3388 </t>
  </si>
  <si>
    <t>Tigbao Norte</t>
  </si>
  <si>
    <t>1a 3389 p</t>
  </si>
  <si>
    <t>Mandih</t>
  </si>
  <si>
    <t xml:space="preserve">4000 X  1000 R 0 D </t>
  </si>
  <si>
    <t>1a 3354 p</t>
  </si>
  <si>
    <t>Labakid</t>
  </si>
  <si>
    <t>1a 3414</t>
  </si>
  <si>
    <t>1a 3413_a p</t>
  </si>
  <si>
    <t xml:space="preserve">1000 X  1000 R 1000 D </t>
  </si>
  <si>
    <t>1a 3408 p</t>
  </si>
  <si>
    <t>1a 3399 p</t>
  </si>
  <si>
    <t>Siay Siocon</t>
  </si>
  <si>
    <t>1a 3398</t>
  </si>
  <si>
    <t>Litubon Siocon</t>
  </si>
  <si>
    <t xml:space="preserve">5000 X  0 R 1000 D </t>
  </si>
  <si>
    <t>1a 3392 p</t>
  </si>
  <si>
    <t>1a 3396</t>
  </si>
  <si>
    <t>1a 3393_b</t>
  </si>
  <si>
    <t>Mahayag B.</t>
  </si>
  <si>
    <t>1a 3390</t>
  </si>
  <si>
    <t xml:space="preserve">5000 X  3000 R 1000 D </t>
  </si>
  <si>
    <t>1a 3374 p</t>
  </si>
  <si>
    <t>1a 3409 p</t>
  </si>
  <si>
    <t>OVERPAYMENT FROM JAN.6-12 2026</t>
  </si>
  <si>
    <t>1a 3400_b p</t>
  </si>
  <si>
    <t>1a 3423</t>
  </si>
  <si>
    <t xml:space="preserve">1000 X  500  0 D </t>
  </si>
  <si>
    <t>1a 3403</t>
  </si>
  <si>
    <t>Titay</t>
  </si>
  <si>
    <t>1a 3426 p</t>
  </si>
  <si>
    <t>Paruk</t>
  </si>
  <si>
    <t>1a 3394 p</t>
  </si>
  <si>
    <t>Dipilii</t>
  </si>
  <si>
    <t>1a 3430 p</t>
  </si>
  <si>
    <t>1a 3421</t>
  </si>
  <si>
    <t>Bayog Bulilit</t>
  </si>
  <si>
    <t>1a 3395 p</t>
  </si>
  <si>
    <t>Bayog Liba</t>
  </si>
  <si>
    <t>1a 3416 p</t>
  </si>
  <si>
    <t>Bayog Buboan</t>
  </si>
  <si>
    <t>1a 3385_b</t>
  </si>
  <si>
    <t xml:space="preserve">2000 X  1500 R 500 D </t>
  </si>
  <si>
    <t>1a 3363 p</t>
  </si>
  <si>
    <t>1a 3369 p</t>
  </si>
  <si>
    <t>12d 3244_b p Old</t>
  </si>
  <si>
    <t>San Juan</t>
  </si>
  <si>
    <t>1a 3352 p</t>
  </si>
  <si>
    <t>1a 3400_a p</t>
  </si>
  <si>
    <t>1a 3428 p</t>
  </si>
  <si>
    <t>Fatima</t>
  </si>
  <si>
    <t xml:space="preserve">3000 X  1000 R 2000 D </t>
  </si>
  <si>
    <t>1a 3376 p</t>
  </si>
  <si>
    <t>1a 3379 p</t>
  </si>
  <si>
    <t>Gwen Tigbao</t>
  </si>
  <si>
    <t xml:space="preserve">3000 X  0 R 1000 D </t>
  </si>
  <si>
    <t>1a 3366 p</t>
  </si>
  <si>
    <t>1a 3422 p</t>
  </si>
  <si>
    <t>OVERPAYMENT FORM DEC 30-JAN. 5</t>
  </si>
  <si>
    <t>1a 3402 p</t>
  </si>
  <si>
    <t>San Miguel - Aishii's</t>
  </si>
  <si>
    <t>1a 3427 p</t>
  </si>
  <si>
    <t>534 / 535</t>
  </si>
  <si>
    <t>1a 3387</t>
  </si>
  <si>
    <t>San Pablo Rhoie</t>
  </si>
  <si>
    <t xml:space="preserve">3000 X  0 R 0 D </t>
  </si>
  <si>
    <t>1a 3415 p</t>
  </si>
  <si>
    <t>1b 3456 p</t>
  </si>
  <si>
    <t>1b 3453 p</t>
  </si>
  <si>
    <t>1b 3480 p</t>
  </si>
  <si>
    <t>Singaran</t>
  </si>
  <si>
    <t>1b 3461 p</t>
  </si>
  <si>
    <t>1b 3478 p</t>
  </si>
  <si>
    <t>1b 3517</t>
  </si>
  <si>
    <t>1b 3472_b</t>
  </si>
  <si>
    <t>1b 3492 p</t>
  </si>
  <si>
    <t>1b 3469 p</t>
  </si>
  <si>
    <t>1b 3518 p</t>
  </si>
  <si>
    <t>Baylimango</t>
  </si>
  <si>
    <t>1b 3485_a p</t>
  </si>
  <si>
    <t>1b 3521 p</t>
  </si>
  <si>
    <t>OVERPAYMENT FROM JAN. 13-19, 2026</t>
  </si>
  <si>
    <t>1b 3528 p</t>
  </si>
  <si>
    <t>1b 3513 p</t>
  </si>
  <si>
    <t>1b 3542 p</t>
  </si>
  <si>
    <t>1b 3501 p</t>
  </si>
  <si>
    <t>1b 3404 p</t>
  </si>
  <si>
    <t>1b 3487 p</t>
  </si>
  <si>
    <t>1b 3522</t>
  </si>
  <si>
    <t>1b 3523 p</t>
  </si>
  <si>
    <t>1b 3539</t>
  </si>
  <si>
    <t>1c 3553 Adv</t>
  </si>
  <si>
    <t>OVERPAYMENT FROM DEC. 23- JAN. 19, 2026</t>
  </si>
  <si>
    <t>1b 3512_b p</t>
  </si>
  <si>
    <t>1b 3532 p</t>
  </si>
  <si>
    <t>1b 3526 p</t>
  </si>
  <si>
    <t>1b 3502_b p</t>
  </si>
  <si>
    <t>1b 3534</t>
  </si>
  <si>
    <t>OVERPAYMENT FROM JAN. 6-12, 2026</t>
  </si>
  <si>
    <t>1b 3508</t>
  </si>
  <si>
    <t>Olingan</t>
  </si>
  <si>
    <t>CBR 3869</t>
  </si>
  <si>
    <t>1b 3524</t>
  </si>
  <si>
    <t>1b 3485_b</t>
  </si>
  <si>
    <t>1b 3467</t>
  </si>
  <si>
    <t>1b 3503 p</t>
  </si>
  <si>
    <t xml:space="preserve">1000 X  500 R 500 D </t>
  </si>
  <si>
    <t>53185</t>
  </si>
  <si>
    <t>1b 3449 p</t>
  </si>
  <si>
    <t>JAN. 13-19, 2026</t>
  </si>
  <si>
    <t>53175</t>
  </si>
  <si>
    <t>1b 3495 p</t>
  </si>
  <si>
    <t>53191</t>
  </si>
  <si>
    <t>1b 3511 p</t>
  </si>
  <si>
    <t>53220</t>
  </si>
  <si>
    <t>1b 3519 p</t>
  </si>
  <si>
    <t>Josefina Moraje</t>
  </si>
  <si>
    <t>51371</t>
  </si>
  <si>
    <t>1b 3479_a p</t>
  </si>
  <si>
    <t xml:space="preserve">0 X  0 R 1000 D </t>
  </si>
  <si>
    <t>53137</t>
  </si>
  <si>
    <t>1b 3462_a p</t>
  </si>
  <si>
    <t>53201</t>
  </si>
  <si>
    <t>1b 3452 p</t>
  </si>
  <si>
    <t>53159</t>
  </si>
  <si>
    <t>1b 3458 p</t>
  </si>
  <si>
    <t>53179</t>
  </si>
  <si>
    <t>1b 3490 p</t>
  </si>
  <si>
    <t>53114</t>
  </si>
  <si>
    <t>1a 3429_b p Old</t>
  </si>
  <si>
    <t>53146</t>
  </si>
  <si>
    <t>1b 3450</t>
  </si>
  <si>
    <t>Sapa Indian</t>
  </si>
  <si>
    <t>53219</t>
  </si>
  <si>
    <t>1b 3509 p</t>
  </si>
  <si>
    <t>53223</t>
  </si>
  <si>
    <t>1b 3464_a</t>
  </si>
  <si>
    <t>53194</t>
  </si>
  <si>
    <t>1b 3512_a p</t>
  </si>
  <si>
    <t>53171</t>
  </si>
  <si>
    <t>1b 3479_c p</t>
  </si>
  <si>
    <t>53188</t>
  </si>
  <si>
    <t>1b 3502 p</t>
  </si>
  <si>
    <t>53263</t>
  </si>
  <si>
    <t>1b 3514 p</t>
  </si>
  <si>
    <t>Mandih B.</t>
  </si>
  <si>
    <t>53247</t>
  </si>
  <si>
    <t>1b 3497 p</t>
  </si>
  <si>
    <t>53158 &amp; 53251</t>
  </si>
  <si>
    <t>1b 3473</t>
  </si>
  <si>
    <t>53174</t>
  </si>
  <si>
    <t>1b 3520 p</t>
  </si>
  <si>
    <t>53315; '53344; 53387</t>
  </si>
  <si>
    <t>1b 3529</t>
  </si>
  <si>
    <t xml:space="preserve">5000 X  2000 R 3000 D </t>
  </si>
  <si>
    <t>53130</t>
  </si>
  <si>
    <t>1b 3455 p</t>
  </si>
  <si>
    <t>53128</t>
  </si>
  <si>
    <t>1b 3465 p</t>
  </si>
  <si>
    <t>53288</t>
  </si>
  <si>
    <t>1b 3481</t>
  </si>
  <si>
    <t>53147</t>
  </si>
  <si>
    <t>1b 3446 p</t>
  </si>
  <si>
    <t>53111</t>
  </si>
  <si>
    <t>1b 3448 p</t>
  </si>
  <si>
    <t>D Lime</t>
  </si>
  <si>
    <t>53407</t>
  </si>
  <si>
    <t>1a 3381_c p Old</t>
  </si>
  <si>
    <t>53172</t>
  </si>
  <si>
    <t>1a 3476_a p Old</t>
  </si>
  <si>
    <t xml:space="preserve">3000 X  1000 R 0 D </t>
  </si>
  <si>
    <t>53167</t>
  </si>
  <si>
    <t>1b 3468 p</t>
  </si>
  <si>
    <t>53168</t>
  </si>
  <si>
    <t>1b 3457 p</t>
  </si>
  <si>
    <t>53213</t>
  </si>
  <si>
    <t>1b 3527 p</t>
  </si>
  <si>
    <t>53227</t>
  </si>
  <si>
    <t>1b 3510 p</t>
  </si>
  <si>
    <t>53207</t>
  </si>
  <si>
    <t>1b 3493 p</t>
  </si>
  <si>
    <t>53203</t>
  </si>
  <si>
    <t>1b 3494 p</t>
  </si>
  <si>
    <t>Bayog Baco</t>
  </si>
  <si>
    <t>53182</t>
  </si>
  <si>
    <t>1b 3459 p</t>
  </si>
  <si>
    <t>53226</t>
  </si>
  <si>
    <t>1b 3515 p</t>
  </si>
  <si>
    <t>53233</t>
  </si>
  <si>
    <t>1b 3531</t>
  </si>
  <si>
    <t>53333</t>
  </si>
  <si>
    <t>1b 3543 p</t>
  </si>
  <si>
    <t>53222</t>
  </si>
  <si>
    <t>1b 3463</t>
  </si>
  <si>
    <t>53164</t>
  </si>
  <si>
    <t>1b 3466 p</t>
  </si>
  <si>
    <t>1b 3479_b p</t>
  </si>
  <si>
    <t>53211</t>
  </si>
  <si>
    <t>1b 3477 p</t>
  </si>
  <si>
    <t>53204</t>
  </si>
  <si>
    <t>1b 3474 p</t>
  </si>
  <si>
    <t>53187</t>
  </si>
  <si>
    <t>1b 3454 p</t>
  </si>
  <si>
    <t xml:space="preserve">3000 X  500 R 0 D </t>
  </si>
  <si>
    <t>53225</t>
  </si>
  <si>
    <t>1b 3484 p</t>
  </si>
  <si>
    <t xml:space="preserve">53178 </t>
  </si>
  <si>
    <t>1b 3482 p</t>
  </si>
  <si>
    <t>53234; 53253</t>
  </si>
  <si>
    <t>1b 3489</t>
  </si>
  <si>
    <t>53313</t>
  </si>
  <si>
    <t>1b 3536</t>
  </si>
  <si>
    <t>53189</t>
  </si>
  <si>
    <t>1b 3488 p</t>
  </si>
  <si>
    <t>53190; 53524</t>
  </si>
  <si>
    <t xml:space="preserve">1b 3507 </t>
  </si>
  <si>
    <t xml:space="preserve">4000 X  2000 R 1000 D </t>
  </si>
  <si>
    <t>1b 3476_b p</t>
  </si>
  <si>
    <t xml:space="preserve">2000   0  0 D </t>
  </si>
  <si>
    <t>53200</t>
  </si>
  <si>
    <t>1b 3505 p</t>
  </si>
  <si>
    <t>53199</t>
  </si>
  <si>
    <t>1b 3506 p</t>
  </si>
  <si>
    <t>53209</t>
  </si>
  <si>
    <t>1b 3525 p</t>
  </si>
  <si>
    <t>53244; 53264; 53287</t>
  </si>
  <si>
    <t>1b 3483</t>
  </si>
  <si>
    <t xml:space="preserve">2000 X  500 R 2000 D </t>
  </si>
  <si>
    <t>53113</t>
  </si>
  <si>
    <t>1b 3472_a</t>
  </si>
  <si>
    <t xml:space="preserve">0 X  1000 R 1000 D </t>
  </si>
  <si>
    <t>NKC 4764</t>
  </si>
  <si>
    <t>OVERPAYMENT ON DEC. - JAN. 5, 2026 CYCLE</t>
  </si>
  <si>
    <t>53212</t>
  </si>
  <si>
    <t>1b 3530 p</t>
  </si>
  <si>
    <t>NKC 4765</t>
  </si>
  <si>
    <t>53134</t>
  </si>
  <si>
    <t>1b 3451 p</t>
  </si>
  <si>
    <t>NKC 4766</t>
  </si>
  <si>
    <t>53245; 53262;53267; 53277</t>
  </si>
  <si>
    <t>1b 3460</t>
  </si>
  <si>
    <t xml:space="preserve">8000 X  4000 R 3000 D </t>
  </si>
  <si>
    <t>NKC 4767</t>
  </si>
  <si>
    <t>53157</t>
  </si>
  <si>
    <t>1b 3470 p</t>
  </si>
  <si>
    <t>NKC 4768</t>
  </si>
  <si>
    <t>53224</t>
  </si>
  <si>
    <t>1b 3475_a</t>
  </si>
  <si>
    <t>NKC 4769</t>
  </si>
  <si>
    <t>53180</t>
  </si>
  <si>
    <t>1b 3491 p</t>
  </si>
  <si>
    <t xml:space="preserve">2000 X  0 R 2000 D </t>
  </si>
  <si>
    <t>NKC 4770</t>
  </si>
  <si>
    <t>53183</t>
  </si>
  <si>
    <t>1b 3496 p</t>
  </si>
  <si>
    <t xml:space="preserve">2000 X  1000 R 0 D </t>
  </si>
  <si>
    <t>NKC 4771</t>
  </si>
  <si>
    <t>53208</t>
  </si>
  <si>
    <t>1b 3486 p</t>
  </si>
  <si>
    <t>NKC 4772</t>
  </si>
  <si>
    <t>53181</t>
  </si>
  <si>
    <t>1b 3499 p</t>
  </si>
  <si>
    <t>NKC 4773</t>
  </si>
  <si>
    <t>53196</t>
  </si>
  <si>
    <t>1b 3516_a p</t>
  </si>
  <si>
    <t>Palandok SR</t>
  </si>
  <si>
    <t xml:space="preserve">2500 X  1000 R 3000 D </t>
  </si>
  <si>
    <t>NKC 4774</t>
  </si>
  <si>
    <t>53210</t>
  </si>
  <si>
    <t>1b 3498 p</t>
  </si>
  <si>
    <t>NKC 4775</t>
  </si>
  <si>
    <t>53197</t>
  </si>
  <si>
    <t>1b 3500 p</t>
  </si>
  <si>
    <t>Malintuboan, Bustillos</t>
  </si>
  <si>
    <t>NKC 4776</t>
  </si>
  <si>
    <t>53232</t>
  </si>
  <si>
    <t>1b 3533 p</t>
  </si>
  <si>
    <t>NKC 4777</t>
  </si>
  <si>
    <t>309017</t>
  </si>
  <si>
    <t>1b 3471</t>
  </si>
  <si>
    <t>NKC 4778</t>
  </si>
  <si>
    <t>53272</t>
  </si>
  <si>
    <t>1b 3559</t>
  </si>
  <si>
    <t xml:space="preserve">Dohinob STP </t>
  </si>
  <si>
    <t>NKC 4779</t>
  </si>
  <si>
    <t>53295</t>
  </si>
  <si>
    <t>1c 3581</t>
  </si>
  <si>
    <t>JAN. 20-26, 2026</t>
  </si>
  <si>
    <t>53285</t>
  </si>
  <si>
    <t>1c 3558</t>
  </si>
  <si>
    <t>53284</t>
  </si>
  <si>
    <t>1c 3564</t>
  </si>
  <si>
    <t>53269</t>
  </si>
  <si>
    <t>1c 3585 p</t>
  </si>
  <si>
    <t>308980</t>
  </si>
  <si>
    <t>1c 3576 p</t>
  </si>
  <si>
    <t>309020</t>
  </si>
  <si>
    <t>1c 3552_b p</t>
  </si>
  <si>
    <t>309019</t>
  </si>
  <si>
    <t>1c 3582 p</t>
  </si>
  <si>
    <t>309018</t>
  </si>
  <si>
    <t>1c 3580 p</t>
  </si>
  <si>
    <t>308981</t>
  </si>
  <si>
    <t>1c 3609_p</t>
  </si>
  <si>
    <t>1c 3617</t>
  </si>
  <si>
    <t>San Pedro</t>
  </si>
  <si>
    <t>1c 3622_a p</t>
  </si>
  <si>
    <t xml:space="preserve">3000 X  2000 R 0 D </t>
  </si>
  <si>
    <t>1c 3606_a p</t>
  </si>
  <si>
    <t>1c 3606_b p</t>
  </si>
  <si>
    <t xml:space="preserve">0 X  0 R 0 D </t>
  </si>
  <si>
    <t>1d 3622_b p Adv</t>
  </si>
  <si>
    <t>1c 3604</t>
  </si>
  <si>
    <t>309029</t>
  </si>
  <si>
    <t>1c 3624</t>
  </si>
  <si>
    <t>1d 3642 Adv</t>
  </si>
  <si>
    <t>1d 3643 p Adv</t>
  </si>
  <si>
    <t>1c 3571 p</t>
  </si>
  <si>
    <t>1c 3628</t>
  </si>
  <si>
    <t>1d 3646 Adv</t>
  </si>
  <si>
    <t>Dampalan Dapitan</t>
  </si>
  <si>
    <t>1c 3648</t>
  </si>
  <si>
    <t>1d 3647 Adv</t>
  </si>
  <si>
    <t>1d 3645 p Adv</t>
  </si>
  <si>
    <t>1d 3651_A p Adv</t>
  </si>
  <si>
    <t>1c 3577</t>
  </si>
  <si>
    <t>1c 3549 p</t>
  </si>
  <si>
    <t>1c 3552_a p</t>
  </si>
  <si>
    <t>1b 3467_b p Old</t>
  </si>
  <si>
    <t>1c 3555_a p</t>
  </si>
  <si>
    <t> </t>
  </si>
  <si>
    <t>1c 3578</t>
  </si>
  <si>
    <t>San Pedro B. STP</t>
  </si>
  <si>
    <t>1c 3568 p</t>
  </si>
  <si>
    <t>1c 3556 p</t>
  </si>
  <si>
    <t>1c 3546</t>
  </si>
  <si>
    <t>1c 3561</t>
  </si>
  <si>
    <t>1c 3563 p</t>
  </si>
  <si>
    <t>1c 3573_a p</t>
  </si>
  <si>
    <t>1c 3541</t>
  </si>
  <si>
    <t>1c 3551</t>
  </si>
  <si>
    <t>1c 3569 p</t>
  </si>
  <si>
    <t>1c 3588 p</t>
  </si>
  <si>
    <t>1c 3603_a</t>
  </si>
  <si>
    <t>1c 3598 p</t>
  </si>
  <si>
    <t>1c 3591_a p</t>
  </si>
  <si>
    <t xml:space="preserve">4000 X  0 R 0 D </t>
  </si>
  <si>
    <t>1c 3605_a p</t>
  </si>
  <si>
    <t>1c 3612 p</t>
  </si>
  <si>
    <t>1c 3613 p</t>
  </si>
  <si>
    <t>1c 3614_b</t>
  </si>
  <si>
    <t>1c 3630 p</t>
  </si>
  <si>
    <t xml:space="preserve">1000 X  1000 R 3000 D </t>
  </si>
  <si>
    <t>1c 3601</t>
  </si>
  <si>
    <t>Malintoboan Chivi</t>
  </si>
  <si>
    <t>1c 3638</t>
  </si>
  <si>
    <t>1c 3550</t>
  </si>
  <si>
    <t>1c 3650</t>
  </si>
  <si>
    <t>1c 3634_a</t>
  </si>
  <si>
    <t>1c 3629 p</t>
  </si>
  <si>
    <t>1c 3696 p</t>
  </si>
  <si>
    <t>1c 3639</t>
  </si>
  <si>
    <t>1d 3596 p Adv</t>
  </si>
  <si>
    <t>1c 3592 p</t>
  </si>
  <si>
    <t>1c 3562 p</t>
  </si>
  <si>
    <t>1c 3544 p</t>
  </si>
  <si>
    <t>1c 3554</t>
  </si>
  <si>
    <t>1c 3545 p</t>
  </si>
  <si>
    <t>1c 3548 p</t>
  </si>
  <si>
    <t>1c 3547_a</t>
  </si>
  <si>
    <t>1c 3570 p</t>
  </si>
  <si>
    <t>1c 3572 p</t>
  </si>
  <si>
    <t>Don Vic Sikal</t>
  </si>
  <si>
    <t>1c 3590 p</t>
  </si>
  <si>
    <t>1c 3579 p</t>
  </si>
  <si>
    <t>1c 3587_a p</t>
  </si>
  <si>
    <t>1c 3583 p</t>
  </si>
  <si>
    <t>1c 3584 p</t>
  </si>
  <si>
    <t>1c 3575 p</t>
  </si>
  <si>
    <t>1c 3618_b</t>
  </si>
  <si>
    <t>1c 3635 p</t>
  </si>
  <si>
    <t>1c 3587_c p</t>
  </si>
  <si>
    <t>Dumingag</t>
  </si>
  <si>
    <t>1c 3607 p</t>
  </si>
  <si>
    <t>1c 3602</t>
  </si>
  <si>
    <t>1c 3620_b p</t>
  </si>
  <si>
    <t xml:space="preserve">0   2000  1000 D </t>
  </si>
  <si>
    <t>1c 3623 p</t>
  </si>
  <si>
    <t>Don Vic Den</t>
  </si>
  <si>
    <t>1c 3538</t>
  </si>
  <si>
    <t>1c 3560</t>
  </si>
  <si>
    <t>1c 3608</t>
  </si>
  <si>
    <t>1c 3595 p</t>
  </si>
  <si>
    <t>1c 3573_b p</t>
  </si>
  <si>
    <t>1c 3594 p</t>
  </si>
  <si>
    <t>1c 3574 p</t>
  </si>
  <si>
    <t>1c 3557</t>
  </si>
  <si>
    <t>Suguilon</t>
  </si>
  <si>
    <t>1c 3597 p</t>
  </si>
  <si>
    <t>1c 3587_b p</t>
  </si>
  <si>
    <t>1c 3610 p</t>
  </si>
  <si>
    <t>1c 3547_b p</t>
  </si>
  <si>
    <t>1c 3557_b p</t>
  </si>
  <si>
    <t>1c 3621</t>
  </si>
  <si>
    <t>1c 3615 p</t>
  </si>
  <si>
    <t>Madalag</t>
  </si>
  <si>
    <t>1c 3627 p</t>
  </si>
  <si>
    <t>1c 3636 p</t>
  </si>
  <si>
    <t>1c 3616 p</t>
  </si>
  <si>
    <t xml:space="preserve">1000 X  1000 R 2000 D </t>
  </si>
  <si>
    <t>1c 3625 p</t>
  </si>
  <si>
    <t xml:space="preserve">1c 3603_b </t>
  </si>
  <si>
    <t>1c 3591_b p</t>
  </si>
  <si>
    <t>1c 3618_a</t>
  </si>
  <si>
    <t>1c 3605_b p</t>
  </si>
  <si>
    <t>1c 3614_a</t>
  </si>
  <si>
    <t>1c 3589</t>
  </si>
  <si>
    <t>1c 3566 p</t>
  </si>
  <si>
    <t>1c 3593 p</t>
  </si>
  <si>
    <t>Gwen Sur</t>
  </si>
  <si>
    <t>1c 3567 p</t>
  </si>
  <si>
    <t>1b 3537 p Old</t>
  </si>
  <si>
    <t>1c 3611 p</t>
  </si>
  <si>
    <t>1c 3619</t>
  </si>
  <si>
    <t>Dinas</t>
  </si>
  <si>
    <t>1c 3565 p</t>
  </si>
  <si>
    <t>1c 3600 p</t>
  </si>
  <si>
    <t>1c 3620_a p</t>
  </si>
  <si>
    <t xml:space="preserve">5000 X  0 R 0 D </t>
  </si>
  <si>
    <t>1c 3637</t>
  </si>
  <si>
    <t xml:space="preserve">0 X  500 R 0  </t>
  </si>
  <si>
    <t>OVERPAYMENT ON SEP. 16-22, 2025 CYCLE</t>
  </si>
  <si>
    <t>OVERPAYMENT ON SEPTEMBER 16-22, 2025 CYCLE</t>
  </si>
  <si>
    <t xml:space="preserve">  OVERPAYMENT ON SEP. 16-22, 2025 CYCLE</t>
  </si>
  <si>
    <t xml:space="preserve">               OVERPAYMENT ON SEPTEMBER 16-22, 2025 CYCLE</t>
  </si>
  <si>
    <t xml:space="preserve">    OVERPAYMENT ON SEPTEMBER 16-22, 2025 CYCLE</t>
  </si>
  <si>
    <t>OVERPAYMENT ON CYCLE SEP. 9-15, 2025 CYCLE</t>
  </si>
  <si>
    <t xml:space="preserve">    OVERPAYMENT ON SEP. 23-29, 2025</t>
  </si>
  <si>
    <t xml:space="preserve">   OVERPAYMENT ON SEP. 16-22, 2025 CYCLE</t>
  </si>
  <si>
    <t>OVERPAYMENT ON SEP. 23-29, 2025 CYCL3</t>
  </si>
  <si>
    <t xml:space="preserve">  OVERPAYMENT ON SEP.30-OCT. 6,2025 CYCLE</t>
  </si>
  <si>
    <t xml:space="preserve">  OVERPAYMENT ON SEP.16-22,2025 CYCLE</t>
  </si>
  <si>
    <t>See this link:</t>
  </si>
  <si>
    <t>Acctg Entry - finance and acctg..xlsx</t>
  </si>
  <si>
    <t>SUPPLIER CODE</t>
  </si>
  <si>
    <t>MTHSI</t>
  </si>
  <si>
    <t>INVTY</t>
  </si>
  <si>
    <t>INVTY-DOH</t>
  </si>
  <si>
    <t>INVTY-OFFICE</t>
  </si>
  <si>
    <t>Bacong Pamil</t>
  </si>
  <si>
    <t>Bago</t>
  </si>
  <si>
    <t>Bagumbang Palomar</t>
  </si>
  <si>
    <t>Bajo Oroqueita</t>
  </si>
  <si>
    <t>Balagon Siay</t>
  </si>
  <si>
    <t>Balamban Mahayag</t>
  </si>
  <si>
    <t>Barcelona</t>
  </si>
  <si>
    <t>Bato Plaridel</t>
  </si>
  <si>
    <t>Bayog (BACO)</t>
  </si>
  <si>
    <t>Bayog buboan</t>
  </si>
  <si>
    <t>Bucana Siocon</t>
  </si>
  <si>
    <t>Buug</t>
  </si>
  <si>
    <t>Caracol Salug</t>
  </si>
  <si>
    <t>Clarin Settlement</t>
  </si>
  <si>
    <t>Coloran Siay</t>
  </si>
  <si>
    <t>Dampalan (Osmena)</t>
  </si>
  <si>
    <t>Dampalan DAPITAN</t>
  </si>
  <si>
    <t>Dansulyan</t>
  </si>
  <si>
    <t>Denuyan siayan</t>
  </si>
  <si>
    <t>Detulan</t>
  </si>
  <si>
    <t>Dicoyong</t>
  </si>
  <si>
    <t>Dohinob</t>
  </si>
  <si>
    <t xml:space="preserve">Dohinob (tubil) @ PATRON </t>
  </si>
  <si>
    <t>Dona Josefa</t>
  </si>
  <si>
    <t>Don Victoriano</t>
  </si>
  <si>
    <t>Dumingag Bulilit</t>
  </si>
  <si>
    <t>Eunice</t>
  </si>
  <si>
    <t>Fatima Liloy</t>
  </si>
  <si>
    <t>Guisokan</t>
  </si>
  <si>
    <t>Imelda Sibugay</t>
  </si>
  <si>
    <t>Inuman bulilit</t>
  </si>
  <si>
    <t>Josefina (Malindang)</t>
  </si>
  <si>
    <t>Josefina Dlime</t>
  </si>
  <si>
    <t>Kalawit</t>
  </si>
  <si>
    <t>La libertad</t>
  </si>
  <si>
    <t>Labangan</t>
  </si>
  <si>
    <t>Labason (Daguplo)</t>
  </si>
  <si>
    <t>LABASON BULILIT</t>
  </si>
  <si>
    <t>Labason Panos (Ubay)</t>
  </si>
  <si>
    <t>Liba Bayog</t>
  </si>
  <si>
    <t>Libertad D.</t>
  </si>
  <si>
    <t>Liloan</t>
  </si>
  <si>
    <t xml:space="preserve">Lipakan </t>
  </si>
  <si>
    <t>Lituban Siocon</t>
  </si>
  <si>
    <t>Lutiman Alicia</t>
  </si>
  <si>
    <t>MAHAYAG BULILIT</t>
  </si>
  <si>
    <t>Mahayahay</t>
  </si>
  <si>
    <t>Malala (San pedro)</t>
  </si>
  <si>
    <t>Malintubuan (Bustillos)</t>
  </si>
  <si>
    <t>MBB Siayan</t>
  </si>
  <si>
    <t>San MIGUEL</t>
  </si>
  <si>
    <t xml:space="preserve">Motorpool </t>
  </si>
  <si>
    <t>Mucas</t>
  </si>
  <si>
    <t>Mutia</t>
  </si>
  <si>
    <t>Office (tubil @ Patron  Price)</t>
  </si>
  <si>
    <t>Oroquieta</t>
  </si>
  <si>
    <t>Osukan Labason</t>
  </si>
  <si>
    <t>Palandok</t>
  </si>
  <si>
    <t>Paruk Siay</t>
  </si>
  <si>
    <t>Queenex B.</t>
  </si>
  <si>
    <t>San Pablo</t>
  </si>
  <si>
    <t>Dipili Bayog</t>
  </si>
  <si>
    <t>RM Bulilit</t>
  </si>
  <si>
    <t>San Antonio Titay</t>
  </si>
  <si>
    <t>ACE</t>
  </si>
  <si>
    <t>STPC - San Pedro</t>
  </si>
  <si>
    <t>San Pedro bulilit</t>
  </si>
  <si>
    <t>Sawang Sibutad</t>
  </si>
  <si>
    <t>Siay Sibugay</t>
  </si>
  <si>
    <t>Siayan</t>
  </si>
  <si>
    <t>Sicpao</t>
  </si>
  <si>
    <t>Sikal Tuno</t>
  </si>
  <si>
    <t>Siparok</t>
  </si>
  <si>
    <t>Suguilon Siayan</t>
  </si>
  <si>
    <t>Tamil</t>
  </si>
  <si>
    <t>Tigbao Sur</t>
  </si>
  <si>
    <t>Tigbao</t>
  </si>
  <si>
    <t>Upper Inuman (bulilit)</t>
  </si>
  <si>
    <t>Upper Tudela</t>
  </si>
  <si>
    <t>Tigbao GWEN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</si>
</sst>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[$₱-3409]* #,##0.00_-;\-[$₱-3409]* #,##0.00_-;_-[$₱-3409]* &quot;-&quot;??_-;_-@_-"/>
    <numFmt numFmtId="166" formatCode="[$-F800]dddd\,\ mmmm\ dd\,\ yyyy"/>
    <numFmt numFmtId="167" formatCode="mm/dd/yy;@"/>
  </numFmts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0" tint="-4.9989318521683403E-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charset val="134"/>
      <scheme val="minor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  <charset val="134"/>
      <scheme val="minor"/>
    </font>
    <font>
      <sz val="10"/>
      <color rgb="FF000000"/>
      <name val="Arial Narrow"/>
      <family val="2"/>
    </font>
    <font>
      <sz val="9"/>
      <color rgb="FF000000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Arial Narrow"/>
      <family val="2"/>
    </font>
    <font>
      <sz val="11"/>
      <name val="Calibri"/>
      <family val="2"/>
    </font>
    <font>
      <sz val="8"/>
      <color rgb="FF000000"/>
      <name val="Arial Narrow"/>
      <family val="2"/>
    </font>
    <font>
      <sz val="10"/>
      <name val="Arial Narrow"/>
      <family val="2"/>
    </font>
    <font>
      <sz val="11"/>
      <color rgb="FF000000"/>
      <name val="Calibri"/>
    </font>
    <font>
      <sz val="11"/>
      <color rgb="FF000000"/>
      <name val="Calibri"/>
      <charset val="134"/>
    </font>
    <font>
      <sz val="12"/>
      <color rgb="FF000000"/>
      <name val="Calibri"/>
    </font>
    <font>
      <sz val="11"/>
      <color rgb="FF242424"/>
      <name val="Calibri"/>
      <charset val="134"/>
      <scheme val="minor"/>
    </font>
    <font>
      <sz val="10"/>
      <color theme="1"/>
      <name val="Arial Narrow"/>
    </font>
    <font>
      <sz val="11"/>
      <color theme="1"/>
      <name val="Arial Narrow"/>
      <family val="2"/>
    </font>
    <font>
      <sz val="10"/>
      <color theme="1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theme="6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/>
      <diagonal/>
    </border>
    <border>
      <left style="thin">
        <color theme="6" tint="-0.24994659260841701"/>
      </left>
      <right style="thin">
        <color theme="6" tint="-0.24994659260841701"/>
      </right>
      <top/>
      <bottom style="thin">
        <color theme="6" tint="-0.24994659260841701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theme="6" tint="-0.24994659260841701"/>
      </left>
      <right/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6933C"/>
      </left>
      <right style="thin">
        <color rgb="FF76933C"/>
      </right>
      <top style="thin">
        <color rgb="FF76933C"/>
      </top>
      <bottom style="thin">
        <color rgb="FF76933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6933C"/>
      </left>
      <right style="thin">
        <color rgb="FF76933C"/>
      </right>
      <top style="thin">
        <color rgb="FF76933C"/>
      </top>
      <bottom/>
      <diagonal/>
    </border>
    <border>
      <left style="thin">
        <color rgb="FF76933C"/>
      </left>
      <right style="thin">
        <color rgb="FF76933C"/>
      </right>
      <top/>
      <bottom style="thin">
        <color rgb="FF76933C"/>
      </bottom>
      <diagonal/>
    </border>
    <border>
      <left/>
      <right style="thin">
        <color rgb="FF76933C"/>
      </right>
      <top style="thin">
        <color rgb="FF76933C"/>
      </top>
      <bottom style="thin">
        <color rgb="FF76933C"/>
      </bottom>
      <diagonal/>
    </border>
    <border>
      <left/>
      <right style="thin">
        <color rgb="FF76933C"/>
      </right>
      <top/>
      <bottom style="thin">
        <color rgb="FF76933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6" tint="-0.249977111117893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theme="6" tint="-0.2499465926084170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5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3" fillId="0" borderId="0"/>
    <xf numFmtId="164" fontId="17" fillId="0" borderId="0" applyFont="0" applyFill="0" applyBorder="0" applyAlignment="0" applyProtection="0"/>
  </cellStyleXfs>
  <cellXfs count="441">
    <xf numFmtId="0" fontId="0" fillId="0" borderId="0" xfId="0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2" applyFont="1"/>
    <xf numFmtId="0" fontId="6" fillId="0" borderId="0" xfId="2" applyFont="1" applyAlignment="1"/>
    <xf numFmtId="0" fontId="0" fillId="2" borderId="0" xfId="0" applyFill="1"/>
    <xf numFmtId="0" fontId="7" fillId="2" borderId="0" xfId="0" applyFont="1" applyFill="1" applyAlignment="1">
      <alignment vertical="center"/>
    </xf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  <xf numFmtId="14" fontId="0" fillId="2" borderId="0" xfId="0" applyNumberFormat="1" applyFill="1"/>
    <xf numFmtId="0" fontId="0" fillId="2" borderId="0" xfId="0" applyFill="1" applyAlignment="1">
      <alignment horizontal="center"/>
    </xf>
    <xf numFmtId="43" fontId="0" fillId="2" borderId="0" xfId="1" applyFont="1" applyFill="1" applyBorder="1"/>
    <xf numFmtId="43" fontId="8" fillId="2" borderId="1" xfId="1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/>
    <xf numFmtId="43" fontId="0" fillId="2" borderId="0" xfId="0" applyNumberFormat="1" applyFill="1"/>
    <xf numFmtId="0" fontId="7" fillId="2" borderId="0" xfId="0" applyFont="1" applyFill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0" fillId="0" borderId="5" xfId="0" applyBorder="1" applyAlignment="1">
      <alignment vertical="center"/>
    </xf>
    <xf numFmtId="43" fontId="0" fillId="2" borderId="0" xfId="1" applyFont="1" applyFill="1"/>
    <xf numFmtId="43" fontId="9" fillId="3" borderId="5" xfId="1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43" fontId="0" fillId="2" borderId="0" xfId="0" applyNumberForma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43" fontId="13" fillId="2" borderId="0" xfId="0" applyNumberFormat="1" applyFont="1" applyFill="1" applyAlignment="1">
      <alignment vertical="center"/>
    </xf>
    <xf numFmtId="0" fontId="9" fillId="3" borderId="8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8" xfId="0" applyFill="1" applyBorder="1" applyAlignment="1">
      <alignment vertical="center"/>
    </xf>
    <xf numFmtId="165" fontId="0" fillId="2" borderId="8" xfId="0" applyNumberFormat="1" applyFill="1" applyBorder="1" applyAlignment="1">
      <alignment vertical="center"/>
    </xf>
    <xf numFmtId="43" fontId="0" fillId="2" borderId="8" xfId="0" applyNumberFormat="1" applyFill="1" applyBorder="1" applyAlignment="1">
      <alignment vertical="center"/>
    </xf>
    <xf numFmtId="14" fontId="0" fillId="7" borderId="2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5" xfId="0" applyFill="1" applyBorder="1" applyAlignment="1">
      <alignment vertical="center"/>
    </xf>
    <xf numFmtId="0" fontId="0" fillId="0" borderId="8" xfId="0" applyBorder="1" applyAlignment="1">
      <alignment horizontal="left" vertical="top"/>
    </xf>
    <xf numFmtId="0" fontId="0" fillId="9" borderId="8" xfId="0" applyFill="1" applyBorder="1" applyAlignment="1" applyProtection="1">
      <alignment horizontal="left" vertical="top"/>
      <protection locked="0"/>
    </xf>
    <xf numFmtId="0" fontId="0" fillId="9" borderId="8" xfId="0" applyFill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0" fillId="0" borderId="8" xfId="0" applyBorder="1" applyProtection="1">
      <protection locked="0"/>
    </xf>
    <xf numFmtId="2" fontId="0" fillId="9" borderId="8" xfId="4" applyNumberFormat="1" applyFont="1" applyFill="1" applyBorder="1" applyAlignment="1" applyProtection="1">
      <alignment horizontal="left" vertical="top"/>
      <protection locked="0"/>
    </xf>
    <xf numFmtId="0" fontId="0" fillId="0" borderId="8" xfId="0" applyBorder="1" applyAlignment="1" applyProtection="1">
      <alignment horizontal="left" vertical="top"/>
      <protection locked="0"/>
    </xf>
    <xf numFmtId="0" fontId="18" fillId="9" borderId="8" xfId="0" applyFont="1" applyFill="1" applyBorder="1" applyAlignment="1">
      <alignment horizontal="left" vertical="top"/>
    </xf>
    <xf numFmtId="0" fontId="19" fillId="6" borderId="8" xfId="0" applyFont="1" applyFill="1" applyBorder="1" applyProtection="1">
      <protection locked="0"/>
    </xf>
    <xf numFmtId="0" fontId="20" fillId="0" borderId="8" xfId="0" applyFont="1" applyBorder="1" applyAlignment="1" applyProtection="1">
      <alignment horizontal="left" vertical="top"/>
      <protection locked="0"/>
    </xf>
    <xf numFmtId="0" fontId="13" fillId="0" borderId="0" xfId="0" applyFont="1"/>
    <xf numFmtId="0" fontId="0" fillId="0" borderId="0" xfId="0" applyAlignment="1">
      <alignment horizontal="center" vertical="center"/>
    </xf>
    <xf numFmtId="0" fontId="14" fillId="0" borderId="0" xfId="2"/>
    <xf numFmtId="0" fontId="0" fillId="0" borderId="10" xfId="0" applyBorder="1" applyProtection="1">
      <protection locked="0"/>
    </xf>
    <xf numFmtId="0" fontId="16" fillId="11" borderId="8" xfId="0" applyFont="1" applyFill="1" applyBorder="1"/>
    <xf numFmtId="14" fontId="0" fillId="7" borderId="0" xfId="0" applyNumberFormat="1" applyFill="1" applyAlignment="1">
      <alignment horizontal="center"/>
    </xf>
    <xf numFmtId="0" fontId="16" fillId="12" borderId="0" xfId="0" applyFont="1" applyFill="1"/>
    <xf numFmtId="0" fontId="16" fillId="0" borderId="9" xfId="0" applyFont="1" applyBorder="1"/>
    <xf numFmtId="0" fontId="16" fillId="0" borderId="9" xfId="0" applyFont="1" applyBorder="1" applyAlignment="1">
      <alignment horizontal="center" vertical="center"/>
    </xf>
    <xf numFmtId="0" fontId="0" fillId="6" borderId="5" xfId="0" quotePrefix="1" applyFill="1" applyBorder="1" applyAlignment="1">
      <alignment horizontal="center" vertical="center"/>
    </xf>
    <xf numFmtId="43" fontId="0" fillId="6" borderId="0" xfId="0" applyNumberFormat="1" applyFill="1" applyAlignment="1">
      <alignment vertical="center"/>
    </xf>
    <xf numFmtId="0" fontId="16" fillId="0" borderId="9" xfId="0" applyFont="1" applyBorder="1" applyAlignment="1">
      <alignment horizontal="center"/>
    </xf>
    <xf numFmtId="165" fontId="12" fillId="2" borderId="8" xfId="0" applyNumberFormat="1" applyFont="1" applyFill="1" applyBorder="1" applyAlignment="1">
      <alignment vertical="center"/>
    </xf>
    <xf numFmtId="0" fontId="12" fillId="9" borderId="8" xfId="0" applyFont="1" applyFill="1" applyBorder="1" applyProtection="1">
      <protection locked="0"/>
    </xf>
    <xf numFmtId="14" fontId="0" fillId="6" borderId="5" xfId="0" applyNumberFormat="1" applyFill="1" applyBorder="1" applyAlignment="1">
      <alignment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13" fillId="2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43" fontId="0" fillId="0" borderId="0" xfId="0" applyNumberFormat="1" applyAlignment="1">
      <alignment vertical="center"/>
    </xf>
    <xf numFmtId="43" fontId="13" fillId="0" borderId="0" xfId="0" applyNumberFormat="1" applyFont="1" applyAlignment="1">
      <alignment vertical="center"/>
    </xf>
    <xf numFmtId="0" fontId="0" fillId="0" borderId="0" xfId="0" applyAlignment="1">
      <alignment horizontal="center" vertical="center" wrapText="1"/>
    </xf>
    <xf numFmtId="43" fontId="12" fillId="0" borderId="0" xfId="0" applyNumberFormat="1" applyFont="1" applyAlignment="1">
      <alignment vertical="center"/>
    </xf>
    <xf numFmtId="43" fontId="0" fillId="2" borderId="15" xfId="0" applyNumberForma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165" fontId="0" fillId="2" borderId="16" xfId="0" applyNumberFormat="1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0" fillId="9" borderId="0" xfId="0" applyFont="1" applyFill="1" applyAlignment="1">
      <alignment vertical="center"/>
    </xf>
    <xf numFmtId="0" fontId="0" fillId="9" borderId="21" xfId="0" applyFill="1" applyBorder="1"/>
    <xf numFmtId="43" fontId="0" fillId="9" borderId="0" xfId="1" applyFont="1" applyFill="1" applyBorder="1"/>
    <xf numFmtId="0" fontId="12" fillId="9" borderId="0" xfId="0" applyFont="1" applyFill="1" applyAlignment="1">
      <alignment vertical="center"/>
    </xf>
    <xf numFmtId="43" fontId="12" fillId="9" borderId="0" xfId="1" applyFont="1" applyFill="1" applyBorder="1"/>
    <xf numFmtId="0" fontId="23" fillId="9" borderId="0" xfId="0" applyFont="1" applyFill="1" applyAlignment="1">
      <alignment vertical="center"/>
    </xf>
    <xf numFmtId="43" fontId="0" fillId="0" borderId="0" xfId="0" applyNumberFormat="1" applyAlignment="1">
      <alignment horizontal="center"/>
    </xf>
    <xf numFmtId="43" fontId="0" fillId="7" borderId="0" xfId="0" applyNumberFormat="1" applyFill="1" applyAlignment="1">
      <alignment horizontal="center"/>
    </xf>
    <xf numFmtId="43" fontId="0" fillId="2" borderId="0" xfId="0" applyNumberFormat="1" applyFill="1" applyAlignment="1">
      <alignment horizontal="center"/>
    </xf>
    <xf numFmtId="14" fontId="0" fillId="9" borderId="0" xfId="0" applyNumberForma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7" fillId="2" borderId="22" xfId="0" applyFont="1" applyFill="1" applyBorder="1" applyAlignment="1">
      <alignment vertical="center"/>
    </xf>
    <xf numFmtId="0" fontId="0" fillId="0" borderId="22" xfId="0" applyBorder="1"/>
    <xf numFmtId="0" fontId="0" fillId="2" borderId="22" xfId="0" applyFill="1" applyBorder="1"/>
    <xf numFmtId="0" fontId="7" fillId="9" borderId="23" xfId="0" applyFont="1" applyFill="1" applyBorder="1" applyAlignment="1">
      <alignment vertical="center"/>
    </xf>
    <xf numFmtId="0" fontId="0" fillId="9" borderId="8" xfId="0" applyFill="1" applyBorder="1" applyAlignment="1">
      <alignment horizontal="left" vertical="center"/>
    </xf>
    <xf numFmtId="0" fontId="7" fillId="2" borderId="23" xfId="0" applyFont="1" applyFill="1" applyBorder="1" applyAlignment="1">
      <alignment vertical="center"/>
    </xf>
    <xf numFmtId="0" fontId="12" fillId="14" borderId="8" xfId="0" applyFont="1" applyFill="1" applyBorder="1" applyAlignment="1">
      <alignment horizontal="center" vertical="center"/>
    </xf>
    <xf numFmtId="43" fontId="8" fillId="2" borderId="0" xfId="1" applyFont="1" applyFill="1" applyBorder="1"/>
    <xf numFmtId="43" fontId="0" fillId="2" borderId="0" xfId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14" fontId="13" fillId="2" borderId="0" xfId="0" applyNumberFormat="1" applyFont="1" applyFill="1"/>
    <xf numFmtId="0" fontId="0" fillId="9" borderId="18" xfId="0" applyFill="1" applyBorder="1"/>
    <xf numFmtId="0" fontId="0" fillId="9" borderId="19" xfId="0" applyFill="1" applyBorder="1"/>
    <xf numFmtId="0" fontId="7" fillId="9" borderId="22" xfId="0" applyFont="1" applyFill="1" applyBorder="1" applyAlignment="1">
      <alignment vertical="center"/>
    </xf>
    <xf numFmtId="0" fontId="0" fillId="9" borderId="2" xfId="0" applyFill="1" applyBorder="1"/>
    <xf numFmtId="0" fontId="0" fillId="9" borderId="17" xfId="0" applyFill="1" applyBorder="1"/>
    <xf numFmtId="0" fontId="0" fillId="9" borderId="8" xfId="0" applyFill="1" applyBorder="1" applyAlignment="1">
      <alignment vertical="center"/>
    </xf>
    <xf numFmtId="0" fontId="24" fillId="0" borderId="8" xfId="0" applyFont="1" applyBorder="1"/>
    <xf numFmtId="0" fontId="16" fillId="0" borderId="8" xfId="0" applyFont="1" applyBorder="1"/>
    <xf numFmtId="0" fontId="16" fillId="8" borderId="9" xfId="0" applyFont="1" applyFill="1" applyBorder="1"/>
    <xf numFmtId="0" fontId="16" fillId="8" borderId="8" xfId="0" applyFont="1" applyFill="1" applyBorder="1"/>
    <xf numFmtId="0" fontId="13" fillId="0" borderId="8" xfId="0" applyFon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6" borderId="8" xfId="0" applyFill="1" applyBorder="1" applyAlignment="1">
      <alignment horizontal="right" vertical="center"/>
    </xf>
    <xf numFmtId="0" fontId="0" fillId="9" borderId="0" xfId="0" applyFill="1" applyAlignment="1">
      <alignment vertical="center"/>
    </xf>
    <xf numFmtId="0" fontId="16" fillId="9" borderId="8" xfId="0" applyFont="1" applyFill="1" applyBorder="1"/>
    <xf numFmtId="0" fontId="0" fillId="6" borderId="8" xfId="0" applyFill="1" applyBorder="1" applyAlignment="1">
      <alignment horizontal="left" vertical="center"/>
    </xf>
    <xf numFmtId="0" fontId="24" fillId="0" borderId="8" xfId="0" applyFont="1" applyBorder="1" applyAlignment="1">
      <alignment horizontal="center"/>
    </xf>
    <xf numFmtId="0" fontId="16" fillId="8" borderId="9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43" fontId="0" fillId="9" borderId="8" xfId="1" applyFont="1" applyFill="1" applyBorder="1"/>
    <xf numFmtId="43" fontId="0" fillId="0" borderId="0" xfId="1" applyFont="1" applyBorder="1"/>
    <xf numFmtId="43" fontId="9" fillId="3" borderId="20" xfId="1" applyFont="1" applyFill="1" applyBorder="1" applyAlignment="1">
      <alignment horizontal="center" vertical="center"/>
    </xf>
    <xf numFmtId="43" fontId="9" fillId="3" borderId="8" xfId="1" applyFont="1" applyFill="1" applyBorder="1" applyAlignment="1">
      <alignment horizontal="center" vertical="center"/>
    </xf>
    <xf numFmtId="14" fontId="12" fillId="13" borderId="8" xfId="0" applyNumberFormat="1" applyFont="1" applyFill="1" applyBorder="1" applyAlignment="1">
      <alignment vertical="center"/>
    </xf>
    <xf numFmtId="43" fontId="0" fillId="9" borderId="8" xfId="1" applyFont="1" applyFill="1" applyBorder="1" applyAlignment="1">
      <alignment vertical="center"/>
    </xf>
    <xf numFmtId="14" fontId="0" fillId="9" borderId="8" xfId="0" applyNumberFormat="1" applyFill="1" applyBorder="1" applyAlignment="1">
      <alignment vertical="center"/>
    </xf>
    <xf numFmtId="0" fontId="12" fillId="9" borderId="8" xfId="0" applyFont="1" applyFill="1" applyBorder="1" applyAlignment="1">
      <alignment horizontal="center" vertical="center"/>
    </xf>
    <xf numFmtId="43" fontId="0" fillId="9" borderId="10" xfId="1" applyFont="1" applyFill="1" applyBorder="1" applyAlignment="1">
      <alignment vertical="center"/>
    </xf>
    <xf numFmtId="14" fontId="0" fillId="9" borderId="8" xfId="0" applyNumberForma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43" fontId="0" fillId="2" borderId="0" xfId="1" applyFont="1" applyFill="1" applyBorder="1" applyAlignment="1">
      <alignment horizontal="right"/>
    </xf>
    <xf numFmtId="0" fontId="8" fillId="2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9" fillId="3" borderId="8" xfId="0" applyFont="1" applyFill="1" applyBorder="1" applyAlignment="1">
      <alignment horizontal="left" vertical="center" wrapText="1"/>
    </xf>
    <xf numFmtId="0" fontId="24" fillId="0" borderId="8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8" borderId="9" xfId="0" applyFont="1" applyFill="1" applyBorder="1" applyAlignment="1">
      <alignment horizontal="left"/>
    </xf>
    <xf numFmtId="0" fontId="16" fillId="8" borderId="8" xfId="0" applyFont="1" applyFill="1" applyBorder="1" applyAlignment="1">
      <alignment horizontal="left"/>
    </xf>
    <xf numFmtId="0" fontId="16" fillId="9" borderId="8" xfId="0" applyFont="1" applyFill="1" applyBorder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43" fontId="12" fillId="2" borderId="8" xfId="0" applyNumberFormat="1" applyFont="1" applyFill="1" applyBorder="1" applyAlignment="1">
      <alignment vertical="center"/>
    </xf>
    <xf numFmtId="4" fontId="16" fillId="8" borderId="14" xfId="0" applyNumberFormat="1" applyFont="1" applyFill="1" applyBorder="1"/>
    <xf numFmtId="0" fontId="16" fillId="0" borderId="13" xfId="0" applyFont="1" applyBorder="1"/>
    <xf numFmtId="0" fontId="16" fillId="0" borderId="12" xfId="0" applyFont="1" applyBorder="1"/>
    <xf numFmtId="0" fontId="16" fillId="0" borderId="14" xfId="0" applyFont="1" applyBorder="1"/>
    <xf numFmtId="4" fontId="16" fillId="8" borderId="12" xfId="0" applyNumberFormat="1" applyFont="1" applyFill="1" applyBorder="1"/>
    <xf numFmtId="0" fontId="16" fillId="8" borderId="14" xfId="0" applyFont="1" applyFill="1" applyBorder="1"/>
    <xf numFmtId="0" fontId="16" fillId="8" borderId="12" xfId="0" applyFont="1" applyFill="1" applyBorder="1"/>
    <xf numFmtId="4" fontId="16" fillId="0" borderId="12" xfId="0" applyNumberFormat="1" applyFont="1" applyBorder="1"/>
    <xf numFmtId="4" fontId="16" fillId="0" borderId="14" xfId="0" applyNumberFormat="1" applyFont="1" applyBorder="1"/>
    <xf numFmtId="0" fontId="12" fillId="9" borderId="8" xfId="0" applyFont="1" applyFill="1" applyBorder="1" applyAlignment="1" applyProtection="1">
      <alignment horizontal="left" vertical="top"/>
      <protection locked="0"/>
    </xf>
    <xf numFmtId="0" fontId="13" fillId="2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14" fontId="12" fillId="0" borderId="8" xfId="0" quotePrefix="1" applyNumberFormat="1" applyFont="1" applyBorder="1" applyAlignment="1">
      <alignment vertical="center"/>
    </xf>
    <xf numFmtId="14" fontId="0" fillId="0" borderId="8" xfId="0" applyNumberForma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3" fontId="0" fillId="0" borderId="8" xfId="1" applyFont="1" applyFill="1" applyBorder="1" applyAlignment="1">
      <alignment vertical="center"/>
    </xf>
    <xf numFmtId="0" fontId="7" fillId="2" borderId="0" xfId="0" applyFont="1" applyFill="1" applyAlignment="1">
      <alignment vertical="center" wrapText="1"/>
    </xf>
    <xf numFmtId="14" fontId="25" fillId="0" borderId="8" xfId="0" quotePrefix="1" applyNumberFormat="1" applyFont="1" applyBorder="1" applyAlignment="1">
      <alignment vertical="center"/>
    </xf>
    <xf numFmtId="0" fontId="26" fillId="15" borderId="2" xfId="0" applyFont="1" applyFill="1" applyBorder="1"/>
    <xf numFmtId="0" fontId="26" fillId="16" borderId="17" xfId="0" applyFont="1" applyFill="1" applyBorder="1"/>
    <xf numFmtId="0" fontId="16" fillId="0" borderId="0" xfId="0" applyFont="1"/>
    <xf numFmtId="0" fontId="26" fillId="17" borderId="2" xfId="0" applyFont="1" applyFill="1" applyBorder="1"/>
    <xf numFmtId="0" fontId="26" fillId="17" borderId="20" xfId="0" applyFont="1" applyFill="1" applyBorder="1"/>
    <xf numFmtId="0" fontId="7" fillId="19" borderId="0" xfId="0" applyFont="1" applyFill="1" applyAlignment="1">
      <alignment vertical="center"/>
    </xf>
    <xf numFmtId="0" fontId="0" fillId="19" borderId="0" xfId="0" applyFill="1"/>
    <xf numFmtId="0" fontId="26" fillId="17" borderId="2" xfId="0" applyFont="1" applyFill="1" applyBorder="1" applyAlignment="1">
      <alignment wrapText="1"/>
    </xf>
    <xf numFmtId="0" fontId="0" fillId="9" borderId="27" xfId="0" applyFill="1" applyBorder="1" applyAlignment="1">
      <alignment horizontal="left" vertical="center"/>
    </xf>
    <xf numFmtId="43" fontId="0" fillId="9" borderId="15" xfId="1" applyFont="1" applyFill="1" applyBorder="1" applyAlignment="1">
      <alignment vertical="center"/>
    </xf>
    <xf numFmtId="0" fontId="0" fillId="20" borderId="0" xfId="0" applyFill="1"/>
    <xf numFmtId="14" fontId="26" fillId="15" borderId="8" xfId="0" applyNumberFormat="1" applyFont="1" applyFill="1" applyBorder="1"/>
    <xf numFmtId="0" fontId="26" fillId="15" borderId="8" xfId="0" applyFont="1" applyFill="1" applyBorder="1"/>
    <xf numFmtId="0" fontId="26" fillId="16" borderId="8" xfId="0" applyFont="1" applyFill="1" applyBorder="1"/>
    <xf numFmtId="0" fontId="26" fillId="8" borderId="8" xfId="0" applyFont="1" applyFill="1" applyBorder="1"/>
    <xf numFmtId="0" fontId="0" fillId="9" borderId="8" xfId="0" applyFill="1" applyBorder="1" applyAlignment="1">
      <alignment horizontal="center"/>
    </xf>
    <xf numFmtId="14" fontId="27" fillId="15" borderId="8" xfId="0" applyNumberFormat="1" applyFont="1" applyFill="1" applyBorder="1"/>
    <xf numFmtId="0" fontId="0" fillId="0" borderId="8" xfId="0" applyBorder="1" applyAlignment="1">
      <alignment horizontal="center"/>
    </xf>
    <xf numFmtId="43" fontId="0" fillId="0" borderId="8" xfId="1" applyFont="1" applyBorder="1"/>
    <xf numFmtId="0" fontId="26" fillId="15" borderId="8" xfId="0" applyFont="1" applyFill="1" applyBorder="1" applyAlignment="1">
      <alignment wrapText="1"/>
    </xf>
    <xf numFmtId="0" fontId="26" fillId="21" borderId="8" xfId="0" applyFont="1" applyFill="1" applyBorder="1"/>
    <xf numFmtId="0" fontId="26" fillId="22" borderId="8" xfId="0" applyFont="1" applyFill="1" applyBorder="1"/>
    <xf numFmtId="43" fontId="0" fillId="0" borderId="16" xfId="1" applyFont="1" applyFill="1" applyBorder="1" applyAlignment="1">
      <alignment vertical="center"/>
    </xf>
    <xf numFmtId="0" fontId="0" fillId="9" borderId="8" xfId="0" applyFill="1" applyBorder="1"/>
    <xf numFmtId="0" fontId="26" fillId="0" borderId="29" xfId="0" applyFont="1" applyBorder="1"/>
    <xf numFmtId="14" fontId="26" fillId="15" borderId="0" xfId="0" applyNumberFormat="1" applyFont="1" applyFill="1"/>
    <xf numFmtId="0" fontId="26" fillId="15" borderId="0" xfId="0" applyFont="1" applyFill="1"/>
    <xf numFmtId="0" fontId="26" fillId="16" borderId="0" xfId="0" applyFont="1" applyFill="1"/>
    <xf numFmtId="0" fontId="26" fillId="22" borderId="0" xfId="0" applyFont="1" applyFill="1"/>
    <xf numFmtId="0" fontId="26" fillId="17" borderId="0" xfId="0" applyFont="1" applyFill="1"/>
    <xf numFmtId="43" fontId="0" fillId="0" borderId="8" xfId="0" applyNumberFormat="1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right"/>
    </xf>
    <xf numFmtId="0" fontId="26" fillId="23" borderId="2" xfId="0" applyFont="1" applyFill="1" applyBorder="1"/>
    <xf numFmtId="166" fontId="22" fillId="0" borderId="0" xfId="0" applyNumberFormat="1" applyFont="1"/>
    <xf numFmtId="0" fontId="26" fillId="17" borderId="8" xfId="0" applyFont="1" applyFill="1" applyBorder="1" applyAlignment="1">
      <alignment wrapText="1"/>
    </xf>
    <xf numFmtId="0" fontId="0" fillId="2" borderId="8" xfId="0" applyFill="1" applyBorder="1"/>
    <xf numFmtId="14" fontId="26" fillId="15" borderId="10" xfId="0" applyNumberFormat="1" applyFont="1" applyFill="1" applyBorder="1"/>
    <xf numFmtId="0" fontId="26" fillId="15" borderId="10" xfId="0" applyFont="1" applyFill="1" applyBorder="1"/>
    <xf numFmtId="14" fontId="0" fillId="9" borderId="10" xfId="0" applyNumberFormat="1" applyFill="1" applyBorder="1" applyAlignment="1">
      <alignment horizontal="center" vertical="center"/>
    </xf>
    <xf numFmtId="0" fontId="26" fillId="16" borderId="10" xfId="0" applyFont="1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43" fontId="0" fillId="0" borderId="10" xfId="1" applyFont="1" applyBorder="1"/>
    <xf numFmtId="0" fontId="26" fillId="8" borderId="17" xfId="0" applyFont="1" applyFill="1" applyBorder="1" applyAlignment="1">
      <alignment wrapText="1"/>
    </xf>
    <xf numFmtId="0" fontId="26" fillId="17" borderId="8" xfId="0" applyFont="1" applyFill="1" applyBorder="1"/>
    <xf numFmtId="0" fontId="16" fillId="14" borderId="8" xfId="0" applyFont="1" applyFill="1" applyBorder="1"/>
    <xf numFmtId="14" fontId="26" fillId="15" borderId="30" xfId="0" applyNumberFormat="1" applyFont="1" applyFill="1" applyBorder="1"/>
    <xf numFmtId="14" fontId="26" fillId="15" borderId="31" xfId="0" applyNumberFormat="1" applyFont="1" applyFill="1" applyBorder="1"/>
    <xf numFmtId="0" fontId="26" fillId="16" borderId="18" xfId="0" applyFont="1" applyFill="1" applyBorder="1"/>
    <xf numFmtId="0" fontId="26" fillId="15" borderId="19" xfId="0" applyFont="1" applyFill="1" applyBorder="1"/>
    <xf numFmtId="0" fontId="26" fillId="17" borderId="19" xfId="0" applyFont="1" applyFill="1" applyBorder="1"/>
    <xf numFmtId="0" fontId="26" fillId="23" borderId="0" xfId="0" applyFont="1" applyFill="1"/>
    <xf numFmtId="0" fontId="26" fillId="17" borderId="0" xfId="0" applyFont="1" applyFill="1" applyAlignment="1">
      <alignment wrapText="1"/>
    </xf>
    <xf numFmtId="0" fontId="26" fillId="8" borderId="18" xfId="0" applyFont="1" applyFill="1" applyBorder="1" applyAlignment="1">
      <alignment wrapText="1"/>
    </xf>
    <xf numFmtId="14" fontId="12" fillId="9" borderId="8" xfId="0" applyNumberFormat="1" applyFont="1" applyFill="1" applyBorder="1" applyAlignment="1">
      <alignment vertical="center"/>
    </xf>
    <xf numFmtId="0" fontId="13" fillId="9" borderId="8" xfId="0" applyFont="1" applyFill="1" applyBorder="1" applyAlignment="1">
      <alignment vertical="center"/>
    </xf>
    <xf numFmtId="0" fontId="13" fillId="9" borderId="8" xfId="0" applyFont="1" applyFill="1" applyBorder="1" applyAlignment="1">
      <alignment horizontal="left" vertical="center"/>
    </xf>
    <xf numFmtId="14" fontId="12" fillId="9" borderId="8" xfId="0" quotePrefix="1" applyNumberFormat="1" applyFont="1" applyFill="1" applyBorder="1" applyAlignment="1">
      <alignment vertical="center"/>
    </xf>
    <xf numFmtId="14" fontId="25" fillId="9" borderId="8" xfId="0" quotePrefix="1" applyNumberFormat="1" applyFont="1" applyFill="1" applyBorder="1" applyAlignment="1">
      <alignment vertical="center"/>
    </xf>
    <xf numFmtId="0" fontId="25" fillId="9" borderId="8" xfId="0" applyFont="1" applyFill="1" applyBorder="1" applyAlignment="1">
      <alignment horizontal="center" vertical="center"/>
    </xf>
    <xf numFmtId="14" fontId="8" fillId="0" borderId="0" xfId="0" applyNumberFormat="1" applyFont="1"/>
    <xf numFmtId="0" fontId="16" fillId="0" borderId="0" xfId="0" applyFont="1" applyAlignment="1">
      <alignment horizontal="center"/>
    </xf>
    <xf numFmtId="0" fontId="16" fillId="14" borderId="8" xfId="0" applyFont="1" applyFill="1" applyBorder="1" applyAlignment="1">
      <alignment horizontal="center"/>
    </xf>
    <xf numFmtId="14" fontId="1" fillId="9" borderId="8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0" fontId="0" fillId="9" borderId="25" xfId="0" applyFill="1" applyBorder="1"/>
    <xf numFmtId="0" fontId="0" fillId="9" borderId="20" xfId="0" applyFill="1" applyBorder="1"/>
    <xf numFmtId="14" fontId="1" fillId="0" borderId="8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4" fontId="1" fillId="9" borderId="8" xfId="0" applyNumberFormat="1" applyFont="1" applyFill="1" applyBorder="1" applyAlignment="1">
      <alignment horizontal="center"/>
    </xf>
    <xf numFmtId="0" fontId="1" fillId="0" borderId="8" xfId="0" applyFont="1" applyBorder="1" applyProtection="1">
      <protection locked="0"/>
    </xf>
    <xf numFmtId="0" fontId="16" fillId="0" borderId="0" xfId="0" applyFont="1" applyFill="1" applyBorder="1" applyAlignment="1"/>
    <xf numFmtId="0" fontId="16" fillId="0" borderId="8" xfId="0" applyFont="1" applyFill="1" applyBorder="1" applyAlignment="1"/>
    <xf numFmtId="0" fontId="0" fillId="9" borderId="15" xfId="0" applyFill="1" applyBorder="1"/>
    <xf numFmtId="4" fontId="26" fillId="18" borderId="25" xfId="0" applyNumberFormat="1" applyFont="1" applyFill="1" applyBorder="1"/>
    <xf numFmtId="0" fontId="12" fillId="9" borderId="0" xfId="0" applyFont="1" applyFill="1" applyBorder="1" applyAlignment="1">
      <alignment horizontal="center" vertical="center"/>
    </xf>
    <xf numFmtId="0" fontId="0" fillId="9" borderId="0" xfId="0" applyFill="1" applyBorder="1"/>
    <xf numFmtId="0" fontId="0" fillId="9" borderId="0" xfId="0" applyFill="1" applyAlignment="1"/>
    <xf numFmtId="0" fontId="26" fillId="26" borderId="25" xfId="0" applyFont="1" applyFill="1" applyBorder="1" applyAlignment="1"/>
    <xf numFmtId="0" fontId="34" fillId="26" borderId="16" xfId="0" applyFont="1" applyFill="1" applyBorder="1" applyAlignment="1"/>
    <xf numFmtId="0" fontId="34" fillId="26" borderId="0" xfId="0" applyFont="1" applyFill="1" applyBorder="1" applyAlignment="1"/>
    <xf numFmtId="0" fontId="34" fillId="26" borderId="8" xfId="0" applyFont="1" applyFill="1" applyBorder="1" applyAlignment="1"/>
    <xf numFmtId="4" fontId="34" fillId="26" borderId="8" xfId="0" applyNumberFormat="1" applyFont="1" applyFill="1" applyBorder="1" applyAlignment="1"/>
    <xf numFmtId="4" fontId="34" fillId="26" borderId="10" xfId="0" applyNumberFormat="1" applyFont="1" applyFill="1" applyBorder="1" applyAlignment="1"/>
    <xf numFmtId="0" fontId="34" fillId="0" borderId="8" xfId="0" applyFont="1" applyBorder="1" applyAlignment="1"/>
    <xf numFmtId="0" fontId="34" fillId="0" borderId="0" xfId="0" applyFont="1" applyBorder="1" applyAlignment="1"/>
    <xf numFmtId="4" fontId="34" fillId="0" borderId="8" xfId="0" applyNumberFormat="1" applyFont="1" applyBorder="1" applyAlignment="1"/>
    <xf numFmtId="4" fontId="34" fillId="26" borderId="16" xfId="0" applyNumberFormat="1" applyFont="1" applyFill="1" applyBorder="1" applyAlignment="1"/>
    <xf numFmtId="0" fontId="26" fillId="27" borderId="8" xfId="0" applyFont="1" applyFill="1" applyBorder="1" applyAlignment="1"/>
    <xf numFmtId="0" fontId="16" fillId="26" borderId="8" xfId="0" applyFont="1" applyFill="1" applyBorder="1" applyAlignment="1"/>
    <xf numFmtId="0" fontId="16" fillId="25" borderId="8" xfId="0" applyFont="1" applyFill="1" applyBorder="1" applyAlignment="1"/>
    <xf numFmtId="0" fontId="16" fillId="26" borderId="8" xfId="0" applyFont="1" applyFill="1" applyBorder="1" applyAlignment="1">
      <alignment wrapText="1"/>
    </xf>
    <xf numFmtId="0" fontId="16" fillId="0" borderId="8" xfId="0" applyFont="1" applyBorder="1" applyAlignment="1"/>
    <xf numFmtId="0" fontId="16" fillId="27" borderId="8" xfId="0" applyFont="1" applyFill="1" applyBorder="1" applyAlignment="1"/>
    <xf numFmtId="0" fontId="16" fillId="28" borderId="8" xfId="0" applyFont="1" applyFill="1" applyBorder="1" applyAlignment="1"/>
    <xf numFmtId="0" fontId="16" fillId="26" borderId="8" xfId="0" applyFont="1" applyFill="1" applyBorder="1"/>
    <xf numFmtId="0" fontId="26" fillId="28" borderId="8" xfId="0" applyFont="1" applyFill="1" applyBorder="1"/>
    <xf numFmtId="0" fontId="30" fillId="14" borderId="8" xfId="0" applyFont="1" applyFill="1" applyBorder="1"/>
    <xf numFmtId="0" fontId="30" fillId="14" borderId="8" xfId="0" applyFont="1" applyFill="1" applyBorder="1" applyAlignment="1">
      <alignment horizontal="center"/>
    </xf>
    <xf numFmtId="0" fontId="26" fillId="24" borderId="8" xfId="0" applyFont="1" applyFill="1" applyBorder="1"/>
    <xf numFmtId="0" fontId="32" fillId="15" borderId="8" xfId="0" applyFont="1" applyFill="1" applyBorder="1"/>
    <xf numFmtId="0" fontId="26" fillId="26" borderId="8" xfId="0" applyFont="1" applyFill="1" applyBorder="1" applyAlignment="1"/>
    <xf numFmtId="0" fontId="26" fillId="28" borderId="8" xfId="0" applyFont="1" applyFill="1" applyBorder="1" applyAlignment="1"/>
    <xf numFmtId="0" fontId="26" fillId="15" borderId="8" xfId="0" applyFont="1" applyFill="1" applyBorder="1" applyAlignment="1">
      <alignment horizontal="right" wrapText="1"/>
    </xf>
    <xf numFmtId="0" fontId="12" fillId="9" borderId="28" xfId="0" applyFont="1" applyFill="1" applyBorder="1" applyAlignment="1">
      <alignment horizontal="center" vertical="center"/>
    </xf>
    <xf numFmtId="4" fontId="26" fillId="18" borderId="17" xfId="0" applyNumberFormat="1" applyFont="1" applyFill="1" applyBorder="1"/>
    <xf numFmtId="4" fontId="29" fillId="26" borderId="25" xfId="0" applyNumberFormat="1" applyFont="1" applyFill="1" applyBorder="1" applyAlignment="1"/>
    <xf numFmtId="0" fontId="29" fillId="26" borderId="25" xfId="0" applyFont="1" applyFill="1" applyBorder="1" applyAlignment="1"/>
    <xf numFmtId="4" fontId="35" fillId="26" borderId="25" xfId="0" applyNumberFormat="1" applyFont="1" applyFill="1" applyBorder="1" applyAlignment="1"/>
    <xf numFmtId="0" fontId="28" fillId="26" borderId="25" xfId="0" applyFont="1" applyFill="1" applyBorder="1" applyAlignment="1"/>
    <xf numFmtId="4" fontId="35" fillId="26" borderId="17" xfId="0" applyNumberFormat="1" applyFont="1" applyFill="1" applyBorder="1" applyAlignment="1"/>
    <xf numFmtId="4" fontId="28" fillId="26" borderId="25" xfId="0" applyNumberFormat="1" applyFont="1" applyFill="1" applyBorder="1" applyAlignment="1"/>
    <xf numFmtId="4" fontId="26" fillId="26" borderId="25" xfId="0" applyNumberFormat="1" applyFont="1" applyFill="1" applyBorder="1" applyAlignment="1"/>
    <xf numFmtId="4" fontId="26" fillId="26" borderId="17" xfId="0" applyNumberFormat="1" applyFont="1" applyFill="1" applyBorder="1" applyAlignment="1"/>
    <xf numFmtId="4" fontId="29" fillId="26" borderId="17" xfId="0" applyNumberFormat="1" applyFont="1" applyFill="1" applyBorder="1" applyAlignment="1"/>
    <xf numFmtId="4" fontId="29" fillId="0" borderId="29" xfId="0" applyNumberFormat="1" applyFont="1" applyBorder="1" applyAlignment="1"/>
    <xf numFmtId="0" fontId="34" fillId="26" borderId="33" xfId="0" applyFont="1" applyFill="1" applyBorder="1" applyAlignment="1"/>
    <xf numFmtId="4" fontId="29" fillId="26" borderId="29" xfId="0" applyNumberFormat="1" applyFont="1" applyFill="1" applyBorder="1" applyAlignment="1"/>
    <xf numFmtId="0" fontId="29" fillId="26" borderId="29" xfId="0" applyFont="1" applyFill="1" applyBorder="1" applyAlignment="1"/>
    <xf numFmtId="4" fontId="29" fillId="0" borderId="25" xfId="0" applyNumberFormat="1" applyFont="1" applyBorder="1" applyAlignment="1"/>
    <xf numFmtId="0" fontId="29" fillId="0" borderId="25" xfId="0" applyFont="1" applyBorder="1" applyAlignment="1"/>
    <xf numFmtId="4" fontId="33" fillId="26" borderId="25" xfId="0" applyNumberFormat="1" applyFont="1" applyFill="1" applyBorder="1" applyAlignment="1"/>
    <xf numFmtId="4" fontId="28" fillId="0" borderId="25" xfId="0" applyNumberFormat="1" applyFont="1" applyBorder="1" applyAlignment="1"/>
    <xf numFmtId="0" fontId="28" fillId="0" borderId="25" xfId="0" applyFont="1" applyBorder="1" applyAlignment="1"/>
    <xf numFmtId="0" fontId="26" fillId="0" borderId="25" xfId="0" applyFont="1" applyBorder="1" applyAlignment="1"/>
    <xf numFmtId="4" fontId="26" fillId="0" borderId="25" xfId="0" applyNumberFormat="1" applyFont="1" applyBorder="1" applyAlignment="1"/>
    <xf numFmtId="4" fontId="34" fillId="26" borderId="33" xfId="0" applyNumberFormat="1" applyFont="1" applyFill="1" applyBorder="1" applyAlignment="1"/>
    <xf numFmtId="0" fontId="34" fillId="26" borderId="29" xfId="0" applyFont="1" applyFill="1" applyBorder="1" applyAlignment="1"/>
    <xf numFmtId="4" fontId="34" fillId="26" borderId="29" xfId="0" applyNumberFormat="1" applyFont="1" applyFill="1" applyBorder="1" applyAlignment="1"/>
    <xf numFmtId="43" fontId="0" fillId="0" borderId="27" xfId="1" applyFont="1" applyFill="1" applyBorder="1" applyAlignment="1">
      <alignment vertical="center"/>
    </xf>
    <xf numFmtId="43" fontId="0" fillId="0" borderId="15" xfId="1" applyFont="1" applyFill="1" applyBorder="1" applyAlignment="1">
      <alignment vertical="center"/>
    </xf>
    <xf numFmtId="43" fontId="0" fillId="9" borderId="15" xfId="1" applyFont="1" applyFill="1" applyBorder="1"/>
    <xf numFmtId="43" fontId="0" fillId="0" borderId="15" xfId="1" applyFont="1" applyBorder="1"/>
    <xf numFmtId="14" fontId="26" fillId="15" borderId="16" xfId="0" applyNumberFormat="1" applyFont="1" applyFill="1" applyBorder="1"/>
    <xf numFmtId="0" fontId="26" fillId="15" borderId="16" xfId="0" applyFont="1" applyFill="1" applyBorder="1"/>
    <xf numFmtId="14" fontId="0" fillId="9" borderId="16" xfId="0" applyNumberFormat="1" applyFill="1" applyBorder="1" applyAlignment="1">
      <alignment horizontal="center" vertical="center"/>
    </xf>
    <xf numFmtId="0" fontId="26" fillId="8" borderId="16" xfId="0" applyFont="1" applyFill="1" applyBorder="1"/>
    <xf numFmtId="0" fontId="0" fillId="0" borderId="16" xfId="0" applyBorder="1" applyAlignment="1">
      <alignment horizontal="center"/>
    </xf>
    <xf numFmtId="0" fontId="16" fillId="0" borderId="16" xfId="0" applyFont="1" applyBorder="1"/>
    <xf numFmtId="0" fontId="16" fillId="0" borderId="16" xfId="0" applyFont="1" applyBorder="1" applyAlignment="1">
      <alignment horizontal="center"/>
    </xf>
    <xf numFmtId="0" fontId="0" fillId="9" borderId="16" xfId="0" applyFill="1" applyBorder="1" applyAlignment="1">
      <alignment horizontal="center" vertical="center"/>
    </xf>
    <xf numFmtId="0" fontId="0" fillId="9" borderId="32" xfId="0" applyFill="1" applyBorder="1" applyAlignment="1">
      <alignment horizontal="left" vertical="center"/>
    </xf>
    <xf numFmtId="0" fontId="26" fillId="29" borderId="8" xfId="0" applyFont="1" applyFill="1" applyBorder="1" applyAlignment="1"/>
    <xf numFmtId="0" fontId="26" fillId="29" borderId="8" xfId="0" applyFont="1" applyFill="1" applyBorder="1"/>
    <xf numFmtId="0" fontId="26" fillId="29" borderId="8" xfId="0" applyFont="1" applyFill="1" applyBorder="1" applyAlignment="1">
      <alignment wrapText="1"/>
    </xf>
    <xf numFmtId="0" fontId="26" fillId="30" borderId="8" xfId="0" applyFont="1" applyFill="1" applyBorder="1" applyAlignment="1"/>
    <xf numFmtId="0" fontId="16" fillId="30" borderId="8" xfId="0" applyFont="1" applyFill="1" applyBorder="1" applyAlignment="1"/>
    <xf numFmtId="14" fontId="29" fillId="28" borderId="8" xfId="0" applyNumberFormat="1" applyFont="1" applyFill="1" applyBorder="1" applyAlignment="1"/>
    <xf numFmtId="0" fontId="29" fillId="28" borderId="8" xfId="0" applyFont="1" applyFill="1" applyBorder="1" applyAlignment="1"/>
    <xf numFmtId="14" fontId="29" fillId="28" borderId="8" xfId="0" applyNumberFormat="1" applyFont="1" applyFill="1" applyBorder="1"/>
    <xf numFmtId="14" fontId="26" fillId="28" borderId="8" xfId="0" applyNumberFormat="1" applyFont="1" applyFill="1" applyBorder="1"/>
    <xf numFmtId="0" fontId="27" fillId="28" borderId="8" xfId="0" applyFont="1" applyFill="1" applyBorder="1" applyAlignment="1">
      <alignment horizontal="right" vertical="center" wrapText="1"/>
    </xf>
    <xf numFmtId="0" fontId="26" fillId="28" borderId="8" xfId="0" applyFont="1" applyFill="1" applyBorder="1" applyAlignment="1">
      <alignment horizontal="center"/>
    </xf>
    <xf numFmtId="0" fontId="31" fillId="28" borderId="8" xfId="0" applyFont="1" applyFill="1" applyBorder="1" applyAlignment="1">
      <alignment horizontal="center"/>
    </xf>
    <xf numFmtId="0" fontId="31" fillId="28" borderId="8" xfId="0" applyFont="1" applyFill="1" applyBorder="1" applyAlignment="1">
      <alignment horizontal="right"/>
    </xf>
    <xf numFmtId="0" fontId="26" fillId="30" borderId="8" xfId="0" applyFont="1" applyFill="1" applyBorder="1" applyAlignment="1">
      <alignment wrapText="1"/>
    </xf>
    <xf numFmtId="0" fontId="26" fillId="30" borderId="8" xfId="0" applyFont="1" applyFill="1" applyBorder="1"/>
    <xf numFmtId="43" fontId="29" fillId="0" borderId="25" xfId="0" applyNumberFormat="1" applyFont="1" applyBorder="1" applyAlignment="1"/>
    <xf numFmtId="43" fontId="34" fillId="0" borderId="8" xfId="0" applyNumberFormat="1" applyFont="1" applyBorder="1" applyAlignment="1"/>
    <xf numFmtId="0" fontId="34" fillId="26" borderId="8" xfId="0" applyFont="1" applyFill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27" fillId="26" borderId="2" xfId="0" applyFont="1" applyFill="1" applyBorder="1" applyAlignment="1">
      <alignment wrapText="1"/>
    </xf>
    <xf numFmtId="14" fontId="27" fillId="26" borderId="2" xfId="0" applyNumberFormat="1" applyFont="1" applyFill="1" applyBorder="1" applyAlignment="1">
      <alignment wrapText="1"/>
    </xf>
    <xf numFmtId="0" fontId="26" fillId="26" borderId="2" xfId="0" applyFont="1" applyFill="1" applyBorder="1" applyAlignment="1"/>
    <xf numFmtId="0" fontId="34" fillId="14" borderId="2" xfId="0" applyFont="1" applyFill="1" applyBorder="1" applyAlignment="1"/>
    <xf numFmtId="0" fontId="26" fillId="31" borderId="17" xfId="0" applyFont="1" applyFill="1" applyBorder="1" applyAlignment="1"/>
    <xf numFmtId="0" fontId="16" fillId="14" borderId="2" xfId="0" applyFont="1" applyFill="1" applyBorder="1" applyAlignment="1"/>
    <xf numFmtId="0" fontId="34" fillId="14" borderId="31" xfId="0" applyFont="1" applyFill="1" applyBorder="1" applyAlignment="1"/>
    <xf numFmtId="0" fontId="27" fillId="26" borderId="2" xfId="0" applyFont="1" applyFill="1" applyBorder="1" applyAlignment="1"/>
    <xf numFmtId="14" fontId="27" fillId="26" borderId="2" xfId="0" applyNumberFormat="1" applyFont="1" applyFill="1" applyBorder="1" applyAlignment="1"/>
    <xf numFmtId="0" fontId="26" fillId="8" borderId="17" xfId="0" applyFont="1" applyFill="1" applyBorder="1" applyAlignment="1"/>
    <xf numFmtId="0" fontId="26" fillId="26" borderId="2" xfId="0" applyFont="1" applyFill="1" applyBorder="1" applyAlignment="1">
      <alignment wrapText="1"/>
    </xf>
    <xf numFmtId="0" fontId="34" fillId="14" borderId="0" xfId="0" applyFont="1" applyFill="1" applyBorder="1" applyAlignment="1"/>
    <xf numFmtId="0" fontId="34" fillId="14" borderId="34" xfId="0" applyFont="1" applyFill="1" applyBorder="1" applyAlignment="1"/>
    <xf numFmtId="0" fontId="34" fillId="14" borderId="19" xfId="0" applyFont="1" applyFill="1" applyBorder="1" applyAlignment="1"/>
    <xf numFmtId="0" fontId="27" fillId="15" borderId="17" xfId="0" applyFont="1" applyFill="1" applyBorder="1" applyAlignment="1"/>
    <xf numFmtId="0" fontId="26" fillId="15" borderId="2" xfId="0" applyFont="1" applyFill="1" applyBorder="1" applyAlignment="1"/>
    <xf numFmtId="0" fontId="26" fillId="16" borderId="17" xfId="0" applyFont="1" applyFill="1" applyBorder="1" applyAlignment="1"/>
    <xf numFmtId="0" fontId="26" fillId="25" borderId="2" xfId="0" applyFont="1" applyFill="1" applyBorder="1" applyAlignment="1"/>
    <xf numFmtId="0" fontId="34" fillId="0" borderId="2" xfId="0" applyFont="1" applyBorder="1" applyAlignment="1"/>
    <xf numFmtId="0" fontId="26" fillId="32" borderId="2" xfId="0" applyFont="1" applyFill="1" applyBorder="1" applyAlignment="1"/>
    <xf numFmtId="0" fontId="26" fillId="17" borderId="2" xfId="0" applyFont="1" applyFill="1" applyBorder="1" applyAlignment="1"/>
    <xf numFmtId="0" fontId="36" fillId="0" borderId="2" xfId="0" applyFont="1" applyBorder="1"/>
    <xf numFmtId="43" fontId="34" fillId="14" borderId="2" xfId="0" applyNumberFormat="1" applyFont="1" applyFill="1" applyBorder="1" applyAlignment="1"/>
    <xf numFmtId="0" fontId="26" fillId="30" borderId="2" xfId="0" applyFont="1" applyFill="1" applyBorder="1" applyAlignment="1"/>
    <xf numFmtId="0" fontId="34" fillId="14" borderId="2" xfId="0" applyFont="1" applyFill="1" applyBorder="1" applyAlignment="1">
      <alignment horizontal="center"/>
    </xf>
    <xf numFmtId="0" fontId="29" fillId="26" borderId="2" xfId="0" applyFont="1" applyFill="1" applyBorder="1" applyAlignment="1"/>
    <xf numFmtId="14" fontId="29" fillId="26" borderId="2" xfId="0" applyNumberFormat="1" applyFont="1" applyFill="1" applyBorder="1" applyAlignment="1"/>
    <xf numFmtId="0" fontId="34" fillId="8" borderId="2" xfId="0" applyFont="1" applyFill="1" applyBorder="1" applyAlignment="1"/>
    <xf numFmtId="0" fontId="26" fillId="8" borderId="2" xfId="0" applyFont="1" applyFill="1" applyBorder="1" applyAlignment="1"/>
    <xf numFmtId="0" fontId="34" fillId="8" borderId="0" xfId="0" applyFont="1" applyFill="1" applyBorder="1" applyAlignment="1"/>
    <xf numFmtId="0" fontId="26" fillId="26" borderId="31" xfId="0" applyFont="1" applyFill="1" applyBorder="1" applyAlignment="1"/>
    <xf numFmtId="0" fontId="29" fillId="26" borderId="19" xfId="0" applyFont="1" applyFill="1" applyBorder="1" applyAlignment="1"/>
    <xf numFmtId="0" fontId="26" fillId="26" borderId="19" xfId="0" applyFont="1" applyFill="1" applyBorder="1" applyAlignment="1"/>
    <xf numFmtId="14" fontId="29" fillId="26" borderId="19" xfId="0" applyNumberFormat="1" applyFont="1" applyFill="1" applyBorder="1" applyAlignment="1"/>
    <xf numFmtId="0" fontId="31" fillId="26" borderId="2" xfId="0" applyFont="1" applyFill="1" applyBorder="1" applyAlignment="1">
      <alignment wrapText="1"/>
    </xf>
    <xf numFmtId="0" fontId="26" fillId="26" borderId="19" xfId="0" applyFont="1" applyFill="1" applyBorder="1" applyAlignment="1">
      <alignment wrapText="1"/>
    </xf>
    <xf numFmtId="0" fontId="26" fillId="31" borderId="18" xfId="0" applyFont="1" applyFill="1" applyBorder="1" applyAlignment="1"/>
    <xf numFmtId="0" fontId="26" fillId="32" borderId="19" xfId="0" applyFont="1" applyFill="1" applyBorder="1" applyAlignment="1"/>
    <xf numFmtId="0" fontId="26" fillId="31" borderId="2" xfId="0" applyFont="1" applyFill="1" applyBorder="1" applyAlignment="1"/>
    <xf numFmtId="43" fontId="34" fillId="14" borderId="19" xfId="0" applyNumberFormat="1" applyFont="1" applyFill="1" applyBorder="1" applyAlignment="1"/>
    <xf numFmtId="43" fontId="0" fillId="9" borderId="8" xfId="1" applyNumberFormat="1" applyFont="1" applyFill="1" applyBorder="1" applyAlignment="1">
      <alignment vertical="center"/>
    </xf>
    <xf numFmtId="43" fontId="16" fillId="0" borderId="2" xfId="0" applyNumberFormat="1" applyFont="1" applyBorder="1" applyAlignment="1"/>
    <xf numFmtId="43" fontId="34" fillId="0" borderId="2" xfId="0" applyNumberFormat="1" applyFont="1" applyBorder="1" applyAlignment="1"/>
    <xf numFmtId="43" fontId="16" fillId="14" borderId="2" xfId="0" applyNumberFormat="1" applyFont="1" applyFill="1" applyBorder="1" applyAlignment="1"/>
    <xf numFmtId="43" fontId="26" fillId="18" borderId="25" xfId="0" applyNumberFormat="1" applyFont="1" applyFill="1" applyBorder="1"/>
    <xf numFmtId="43" fontId="26" fillId="18" borderId="17" xfId="0" applyNumberFormat="1" applyFont="1" applyFill="1" applyBorder="1"/>
    <xf numFmtId="0" fontId="26" fillId="30" borderId="31" xfId="0" applyFont="1" applyFill="1" applyBorder="1" applyAlignment="1"/>
    <xf numFmtId="14" fontId="29" fillId="15" borderId="2" xfId="0" applyNumberFormat="1" applyFont="1" applyFill="1" applyBorder="1" applyAlignment="1"/>
    <xf numFmtId="14" fontId="26" fillId="15" borderId="2" xfId="0" applyNumberFormat="1" applyFont="1" applyFill="1" applyBorder="1" applyAlignment="1"/>
    <xf numFmtId="0" fontId="26" fillId="15" borderId="2" xfId="0" applyFont="1" applyFill="1" applyBorder="1" applyAlignment="1">
      <alignment wrapText="1"/>
    </xf>
    <xf numFmtId="0" fontId="26" fillId="23" borderId="17" xfId="0" applyFont="1" applyFill="1" applyBorder="1" applyAlignment="1"/>
    <xf numFmtId="0" fontId="16" fillId="8" borderId="0" xfId="0" applyFont="1" applyFill="1" applyBorder="1" applyAlignment="1"/>
    <xf numFmtId="0" fontId="16" fillId="14" borderId="0" xfId="0" applyFont="1" applyFill="1" applyBorder="1" applyAlignment="1"/>
    <xf numFmtId="0" fontId="30" fillId="8" borderId="0" xfId="0" applyFont="1" applyFill="1" applyBorder="1" applyAlignment="1"/>
    <xf numFmtId="0" fontId="36" fillId="0" borderId="2" xfId="0" applyFont="1" applyBorder="1" applyAlignment="1">
      <alignment horizontal="center"/>
    </xf>
    <xf numFmtId="14" fontId="1" fillId="9" borderId="8" xfId="0" quotePrefix="1" applyNumberFormat="1" applyFont="1" applyFill="1" applyBorder="1" applyAlignment="1">
      <alignment horizontal="center" vertical="center"/>
    </xf>
    <xf numFmtId="43" fontId="37" fillId="9" borderId="2" xfId="0" applyNumberFormat="1" applyFont="1" applyFill="1" applyBorder="1"/>
    <xf numFmtId="14" fontId="29" fillId="15" borderId="0" xfId="0" applyNumberFormat="1" applyFont="1" applyFill="1" applyBorder="1" applyAlignment="1"/>
    <xf numFmtId="0" fontId="26" fillId="15" borderId="0" xfId="0" applyFont="1" applyFill="1" applyBorder="1" applyAlignment="1"/>
    <xf numFmtId="0" fontId="26" fillId="16" borderId="0" xfId="0" applyFont="1" applyFill="1" applyBorder="1" applyAlignment="1"/>
    <xf numFmtId="0" fontId="26" fillId="17" borderId="0" xfId="0" applyFont="1" applyFill="1" applyBorder="1" applyAlignment="1"/>
    <xf numFmtId="14" fontId="38" fillId="30" borderId="2" xfId="0" applyNumberFormat="1" applyFont="1" applyFill="1" applyBorder="1" applyAlignment="1">
      <alignment horizontal="center" vertical="center"/>
    </xf>
    <xf numFmtId="1" fontId="39" fillId="30" borderId="2" xfId="0" applyNumberFormat="1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vertical="center"/>
    </xf>
    <xf numFmtId="14" fontId="39" fillId="30" borderId="2" xfId="0" applyNumberFormat="1" applyFont="1" applyFill="1" applyBorder="1" applyAlignment="1">
      <alignment horizontal="left" vertical="center"/>
    </xf>
    <xf numFmtId="0" fontId="39" fillId="30" borderId="2" xfId="0" applyFont="1" applyFill="1" applyBorder="1" applyAlignment="1">
      <alignment horizontal="left" vertical="center"/>
    </xf>
    <xf numFmtId="0" fontId="39" fillId="30" borderId="2" xfId="0" applyFont="1" applyFill="1" applyBorder="1" applyAlignment="1">
      <alignment horizontal="left" vertical="center" wrapText="1"/>
    </xf>
    <xf numFmtId="3" fontId="39" fillId="33" borderId="17" xfId="0" applyNumberFormat="1" applyFont="1" applyFill="1" applyBorder="1" applyAlignment="1">
      <alignment horizontal="left" vertical="center"/>
    </xf>
    <xf numFmtId="3" fontId="39" fillId="5" borderId="17" xfId="0" applyNumberFormat="1" applyFont="1" applyFill="1" applyBorder="1" applyAlignment="1">
      <alignment horizontal="left" vertical="center"/>
    </xf>
    <xf numFmtId="3" fontId="39" fillId="6" borderId="17" xfId="0" applyNumberFormat="1" applyFont="1" applyFill="1" applyBorder="1" applyAlignment="1">
      <alignment horizontal="left" vertical="center"/>
    </xf>
    <xf numFmtId="0" fontId="30" fillId="14" borderId="0" xfId="0" applyFont="1" applyFill="1" applyBorder="1" applyAlignment="1"/>
    <xf numFmtId="0" fontId="9" fillId="3" borderId="8" xfId="0" applyFont="1" applyFill="1" applyBorder="1" applyAlignment="1">
      <alignment horizontal="center" vertical="center" wrapText="1"/>
    </xf>
    <xf numFmtId="167" fontId="39" fillId="34" borderId="2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>
      <alignment vertical="center"/>
    </xf>
    <xf numFmtId="0" fontId="9" fillId="5" borderId="19" xfId="0" applyFont="1" applyFill="1" applyBorder="1" applyAlignment="1">
      <alignment horizontal="center" vertical="center"/>
    </xf>
    <xf numFmtId="14" fontId="9" fillId="3" borderId="20" xfId="0" applyNumberFormat="1" applyFont="1" applyFill="1" applyBorder="1" applyAlignment="1">
      <alignment horizontal="center" vertical="center" wrapText="1"/>
    </xf>
    <xf numFmtId="14" fontId="9" fillId="3" borderId="19" xfId="0" applyNumberFormat="1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right" vertical="center" wrapText="1"/>
    </xf>
    <xf numFmtId="0" fontId="9" fillId="3" borderId="19" xfId="0" applyFont="1" applyFill="1" applyBorder="1" applyAlignment="1">
      <alignment horizontal="right" vertical="center" wrapText="1"/>
    </xf>
    <xf numFmtId="43" fontId="9" fillId="3" borderId="20" xfId="0" applyNumberFormat="1" applyFont="1" applyFill="1" applyBorder="1" applyAlignment="1">
      <alignment horizontal="center" vertical="center" wrapText="1"/>
    </xf>
    <xf numFmtId="43" fontId="9" fillId="3" borderId="19" xfId="0" applyNumberFormat="1" applyFont="1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  <xf numFmtId="14" fontId="9" fillId="3" borderId="8" xfId="0" applyNumberFormat="1" applyFont="1" applyFill="1" applyBorder="1" applyAlignment="1">
      <alignment horizontal="center" vertical="center" wrapText="1"/>
    </xf>
    <xf numFmtId="14" fontId="9" fillId="3" borderId="10" xfId="0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21" fillId="10" borderId="11" xfId="0" applyFont="1" applyFill="1" applyBorder="1" applyAlignment="1">
      <alignment wrapText="1"/>
    </xf>
    <xf numFmtId="0" fontId="21" fillId="10" borderId="12" xfId="0" applyFont="1" applyFill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4" fontId="9" fillId="3" borderId="3" xfId="0" applyNumberFormat="1" applyFont="1" applyFill="1" applyBorder="1" applyAlignment="1">
      <alignment horizontal="center" vertical="center" wrapText="1"/>
    </xf>
    <xf numFmtId="14" fontId="9" fillId="3" borderId="4" xfId="0" applyNumberFormat="1" applyFont="1" applyFill="1" applyBorder="1" applyAlignment="1">
      <alignment horizontal="center" vertical="center" wrapText="1"/>
    </xf>
    <xf numFmtId="0" fontId="4" fillId="0" borderId="0" xfId="3" applyFont="1" applyAlignment="1">
      <alignment horizontal="left"/>
    </xf>
    <xf numFmtId="0" fontId="6" fillId="0" borderId="0" xfId="2" applyFont="1" applyAlignment="1">
      <alignment horizontal="left"/>
    </xf>
  </cellXfs>
  <cellStyles count="5">
    <cellStyle name="Comma" xfId="1" builtinId="3"/>
    <cellStyle name="Comma 2" xfId="4" xr:uid="{00000000-0005-0000-0000-000001000000}"/>
    <cellStyle name="Hyperlink" xfId="2" builtinId="8"/>
    <cellStyle name="Normal" xfId="0" builtinId="0"/>
    <cellStyle name="Normal 2" xfId="3" xr:uid="{00000000-0005-0000-0000-000004000000}"/>
  </cellStyles>
  <dxfs count="4">
    <dxf>
      <font>
        <b/>
        <i val="0"/>
        <color rgb="FFFFFF00"/>
      </font>
      <fill>
        <patternFill patternType="solid">
          <bgColor rgb="FFFF0000"/>
        </patternFill>
      </fill>
    </dxf>
    <dxf>
      <font>
        <b/>
        <i val="0"/>
        <color rgb="FFFFFF00"/>
      </font>
      <fill>
        <patternFill patternType="solid">
          <bgColor rgb="FFFF0000"/>
        </patternFill>
      </fill>
    </dxf>
    <dxf>
      <font>
        <b/>
        <i val="0"/>
        <color rgb="FFFFFF00"/>
      </font>
      <fill>
        <patternFill patternType="solid">
          <bgColor rgb="FFFF0000"/>
        </patternFill>
      </fill>
    </dxf>
    <dxf>
      <font>
        <b/>
        <i val="0"/>
        <color rgb="FFFFFF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8575"/>
          <a:ext cx="9549765" cy="7367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1drv.ms/x/c/7a92760d46d7c6af/ETea499Fkq9HnpRDpHdKw2IB51YNNhdkh_53HRKvbLzypg?e=NPZxfg&amp;nav=MTVfezAwMDAwMDAwLTAwMDEtMDAwMC0wODAwLTAwMDAwMDAwMDAwMH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3"/>
  <sheetViews>
    <sheetView showGridLines="0" zoomScale="85" zoomScaleNormal="85" workbookViewId="0">
      <selection activeCell="B1" sqref="B1"/>
    </sheetView>
  </sheetViews>
  <sheetFormatPr defaultColWidth="8.75" defaultRowHeight="0" customHeight="1" zeroHeight="1"/>
  <cols>
    <col min="1" max="1" width="5.75" style="7" customWidth="1"/>
    <col min="2" max="2" width="12.125" style="156" customWidth="1"/>
    <col min="3" max="3" width="45.75" style="29" customWidth="1"/>
    <col min="4" max="4" width="20.25" style="30" customWidth="1"/>
    <col min="5" max="5" width="18.625" style="30" customWidth="1"/>
    <col min="6" max="6" width="38.375" style="30" customWidth="1"/>
    <col min="7" max="7" width="8.75" style="30" customWidth="1"/>
    <col min="8" max="16384" width="8.75" style="30"/>
  </cols>
  <sheetData>
    <row r="1" spans="1:5" ht="14.65" customHeight="1">
      <c r="B1" s="168" t="s">
        <v>0</v>
      </c>
      <c r="C1" s="30"/>
      <c r="E1" s="31">
        <f>D2-E2</f>
        <v>0</v>
      </c>
    </row>
    <row r="2" spans="1:5" ht="18.399999999999999" customHeight="1">
      <c r="A2" s="13"/>
      <c r="B2" s="146" t="s">
        <v>1</v>
      </c>
      <c r="C2" s="33"/>
      <c r="D2" s="34">
        <f>SUM(D5:D110)</f>
        <v>0</v>
      </c>
      <c r="E2" s="34">
        <f>SUM(E5:E110)</f>
        <v>0</v>
      </c>
    </row>
    <row r="3" spans="1:5" ht="10.5" customHeight="1">
      <c r="B3" s="147"/>
      <c r="C3" s="30"/>
    </row>
    <row r="4" spans="1:5" s="28" customFormat="1" ht="27" customHeight="1">
      <c r="A4" s="7"/>
      <c r="B4" s="148" t="s">
        <v>2</v>
      </c>
      <c r="C4" s="35" t="s">
        <v>3</v>
      </c>
      <c r="D4" s="36" t="s">
        <v>4</v>
      </c>
      <c r="E4" s="36" t="s">
        <v>5</v>
      </c>
    </row>
    <row r="5" spans="1:5" ht="14.65" customHeight="1">
      <c r="B5" s="149">
        <v>10000</v>
      </c>
      <c r="C5" s="120" t="s">
        <v>6</v>
      </c>
      <c r="D5" s="85"/>
      <c r="E5" s="40"/>
    </row>
    <row r="6" spans="1:5" ht="14.65" customHeight="1">
      <c r="B6" s="150">
        <v>10000</v>
      </c>
      <c r="C6" s="121" t="s">
        <v>7</v>
      </c>
      <c r="D6" s="88"/>
      <c r="E6" s="87"/>
    </row>
    <row r="7" spans="1:5" ht="14.65" customHeight="1">
      <c r="A7" s="18"/>
      <c r="B7" s="151">
        <v>10010</v>
      </c>
      <c r="C7" s="122" t="s">
        <v>8</v>
      </c>
      <c r="D7" s="86"/>
      <c r="E7" s="84"/>
    </row>
    <row r="8" spans="1:5" ht="14.65" customHeight="1">
      <c r="B8" s="151">
        <v>10040</v>
      </c>
      <c r="C8" s="122" t="s">
        <v>9</v>
      </c>
      <c r="D8" s="86"/>
      <c r="E8" s="86"/>
    </row>
    <row r="9" spans="1:5" ht="14.65" customHeight="1">
      <c r="B9" s="151">
        <v>10030</v>
      </c>
      <c r="C9" s="122" t="s">
        <v>10</v>
      </c>
      <c r="D9" s="86"/>
      <c r="E9" s="86"/>
    </row>
    <row r="10" spans="1:5" ht="14.65" customHeight="1">
      <c r="B10" s="151">
        <v>10080</v>
      </c>
      <c r="C10" s="122" t="s">
        <v>11</v>
      </c>
      <c r="D10" s="86"/>
      <c r="E10" s="86"/>
    </row>
    <row r="11" spans="1:5" ht="14.65" customHeight="1">
      <c r="B11" s="151">
        <v>10020</v>
      </c>
      <c r="C11" s="122" t="s">
        <v>12</v>
      </c>
      <c r="D11" s="86"/>
      <c r="E11" s="86"/>
    </row>
    <row r="12" spans="1:5" ht="14.65" customHeight="1">
      <c r="B12" s="151">
        <v>10060</v>
      </c>
      <c r="C12" s="122" t="s">
        <v>13</v>
      </c>
      <c r="D12" s="86"/>
      <c r="E12" s="86"/>
    </row>
    <row r="13" spans="1:5" ht="14.65" customHeight="1">
      <c r="B13" s="151">
        <v>10050</v>
      </c>
      <c r="C13" s="122" t="s">
        <v>14</v>
      </c>
      <c r="D13" s="86"/>
      <c r="E13" s="86"/>
    </row>
    <row r="14" spans="1:5" ht="14.65" customHeight="1">
      <c r="B14" s="151">
        <v>10110</v>
      </c>
      <c r="C14" s="122" t="s">
        <v>15</v>
      </c>
      <c r="D14" s="86"/>
      <c r="E14" s="86"/>
    </row>
    <row r="15" spans="1:5" ht="14.65" customHeight="1">
      <c r="B15" s="151">
        <v>10070</v>
      </c>
      <c r="C15" s="122" t="s">
        <v>16</v>
      </c>
      <c r="D15" s="86"/>
      <c r="E15" s="86"/>
    </row>
    <row r="16" spans="1:5" ht="14.65" customHeight="1">
      <c r="B16" s="150"/>
      <c r="C16" s="121"/>
      <c r="D16" s="86"/>
      <c r="E16" s="86"/>
    </row>
    <row r="17" spans="1:5" ht="14.65" customHeight="1">
      <c r="B17" s="149">
        <v>12000</v>
      </c>
      <c r="C17" s="120" t="s">
        <v>17</v>
      </c>
      <c r="D17" s="40"/>
      <c r="E17" s="40"/>
    </row>
    <row r="18" spans="1:5" ht="14.65" hidden="1" customHeight="1">
      <c r="A18" s="22"/>
      <c r="B18" s="152">
        <v>12030</v>
      </c>
      <c r="C18" s="123" t="s">
        <v>18</v>
      </c>
      <c r="D18" s="40"/>
      <c r="E18" s="40"/>
    </row>
    <row r="19" spans="1:5" ht="14.65" hidden="1" customHeight="1">
      <c r="A19" s="22"/>
      <c r="B19" s="152">
        <v>12040</v>
      </c>
      <c r="C19" s="123" t="s">
        <v>19</v>
      </c>
      <c r="D19" s="40"/>
      <c r="E19" s="40"/>
    </row>
    <row r="20" spans="1:5" ht="14.65" customHeight="1">
      <c r="A20" s="22"/>
      <c r="B20" s="129">
        <v>12030</v>
      </c>
      <c r="C20" s="44" t="s">
        <v>18</v>
      </c>
      <c r="D20" s="40"/>
      <c r="E20" s="40"/>
    </row>
    <row r="21" spans="1:5" ht="14.65" customHeight="1">
      <c r="A21" s="22"/>
      <c r="B21" s="129">
        <v>12040</v>
      </c>
      <c r="C21" s="44" t="s">
        <v>19</v>
      </c>
      <c r="D21" s="40"/>
      <c r="E21" s="40"/>
    </row>
    <row r="22" spans="1:5" ht="14.65" customHeight="1">
      <c r="A22" s="22"/>
      <c r="B22" s="129">
        <v>15500</v>
      </c>
      <c r="C22" s="44" t="s">
        <v>20</v>
      </c>
      <c r="D22" s="40"/>
      <c r="E22" s="40"/>
    </row>
    <row r="23" spans="1:5" s="127" customFormat="1" ht="14.65" customHeight="1">
      <c r="A23" s="91"/>
      <c r="B23" s="106"/>
      <c r="C23" s="119"/>
      <c r="D23" s="119"/>
      <c r="E23" s="119"/>
    </row>
    <row r="24" spans="1:5" ht="14.65" customHeight="1">
      <c r="A24" s="22"/>
      <c r="B24" s="149">
        <v>1300</v>
      </c>
      <c r="C24" s="120" t="s">
        <v>21</v>
      </c>
      <c r="D24" s="46"/>
      <c r="E24" s="46"/>
    </row>
    <row r="25" spans="1:5" ht="14.65" customHeight="1">
      <c r="A25" s="22"/>
      <c r="B25" s="152">
        <v>13000</v>
      </c>
      <c r="C25" s="123" t="s">
        <v>22</v>
      </c>
      <c r="D25" s="72"/>
      <c r="E25" s="46"/>
    </row>
    <row r="26" spans="1:5" ht="14.65" customHeight="1">
      <c r="A26" s="22"/>
      <c r="B26" s="152">
        <v>13010</v>
      </c>
      <c r="C26" s="123" t="s">
        <v>23</v>
      </c>
      <c r="D26" s="40"/>
      <c r="E26" s="40"/>
    </row>
    <row r="27" spans="1:5" ht="14.65" customHeight="1">
      <c r="A27" s="22"/>
      <c r="B27" s="152">
        <v>13020</v>
      </c>
      <c r="C27" s="123" t="s">
        <v>24</v>
      </c>
      <c r="D27" s="40"/>
      <c r="E27" s="40"/>
    </row>
    <row r="28" spans="1:5" ht="14.65" customHeight="1">
      <c r="A28" s="22"/>
      <c r="B28" s="150"/>
      <c r="C28" s="121"/>
      <c r="D28" s="86"/>
      <c r="E28" s="40"/>
    </row>
    <row r="29" spans="1:5" ht="14.65" customHeight="1">
      <c r="A29" s="22"/>
      <c r="B29" s="150"/>
      <c r="C29" s="121"/>
      <c r="D29" s="86"/>
      <c r="E29" s="40"/>
    </row>
    <row r="30" spans="1:5" ht="14.65" customHeight="1">
      <c r="A30" s="22"/>
      <c r="B30" s="150"/>
      <c r="C30" s="121"/>
      <c r="D30" s="86"/>
      <c r="E30" s="40"/>
    </row>
    <row r="31" spans="1:5" ht="14.65" customHeight="1">
      <c r="A31" s="22"/>
      <c r="B31" s="149">
        <v>2000</v>
      </c>
      <c r="C31" s="120" t="s">
        <v>25</v>
      </c>
      <c r="D31" s="86"/>
      <c r="E31" s="46"/>
    </row>
    <row r="32" spans="1:5" ht="14.65" hidden="1" customHeight="1">
      <c r="A32" s="22"/>
      <c r="B32" s="150"/>
      <c r="C32" s="121"/>
      <c r="D32" s="45"/>
      <c r="E32" s="46"/>
    </row>
    <row r="33" spans="1:5" ht="14.65" hidden="1" customHeight="1">
      <c r="A33" s="22"/>
      <c r="B33" s="149">
        <v>21000</v>
      </c>
      <c r="C33" s="120" t="s">
        <v>26</v>
      </c>
      <c r="D33" s="45"/>
      <c r="E33" s="46"/>
    </row>
    <row r="34" spans="1:5" ht="14.65" hidden="1" customHeight="1">
      <c r="A34" s="22"/>
      <c r="B34" s="152">
        <v>21000</v>
      </c>
      <c r="C34" s="123" t="s">
        <v>27</v>
      </c>
      <c r="D34" s="40"/>
      <c r="E34" s="40"/>
    </row>
    <row r="35" spans="1:5" ht="14.65" customHeight="1">
      <c r="A35" s="22"/>
      <c r="B35" s="153"/>
      <c r="C35" s="128"/>
      <c r="D35" s="40"/>
      <c r="E35" s="40"/>
    </row>
    <row r="36" spans="1:5" ht="14.65" hidden="1" customHeight="1">
      <c r="A36" s="22"/>
      <c r="B36" s="150"/>
      <c r="C36" s="121"/>
      <c r="D36" s="40"/>
      <c r="E36" s="40"/>
    </row>
    <row r="37" spans="1:5" ht="14.65" hidden="1" customHeight="1">
      <c r="A37" s="22"/>
      <c r="B37" s="150"/>
      <c r="C37" s="121"/>
      <c r="D37" s="40"/>
      <c r="E37" s="40"/>
    </row>
    <row r="38" spans="1:5" ht="14.65" hidden="1" customHeight="1">
      <c r="A38" s="22"/>
      <c r="B38" s="149"/>
      <c r="C38" s="120"/>
      <c r="D38" s="40"/>
      <c r="E38" s="40"/>
    </row>
    <row r="39" spans="1:5" ht="14.65" hidden="1" customHeight="1">
      <c r="A39" s="22"/>
      <c r="B39" s="152"/>
      <c r="C39" s="123"/>
      <c r="D39" s="40"/>
      <c r="E39" s="40"/>
    </row>
    <row r="40" spans="1:5" ht="14.65" hidden="1" customHeight="1">
      <c r="A40" s="22"/>
      <c r="B40" s="150"/>
      <c r="C40" s="121"/>
      <c r="D40" s="40"/>
      <c r="E40" s="40"/>
    </row>
    <row r="41" spans="1:5" ht="14.65" hidden="1" customHeight="1">
      <c r="A41" s="22"/>
      <c r="B41" s="149"/>
      <c r="C41" s="120"/>
      <c r="D41" s="40"/>
      <c r="E41" s="40"/>
    </row>
    <row r="42" spans="1:5" ht="14.65" hidden="1" customHeight="1">
      <c r="A42" s="22"/>
      <c r="B42" s="152"/>
      <c r="C42" s="123"/>
      <c r="D42" s="40"/>
      <c r="E42" s="40"/>
    </row>
    <row r="43" spans="1:5" ht="14.65" hidden="1" customHeight="1">
      <c r="A43" s="22"/>
      <c r="B43" s="152"/>
      <c r="C43" s="123"/>
      <c r="D43" s="40"/>
      <c r="E43" s="40"/>
    </row>
    <row r="44" spans="1:5" ht="14.65" hidden="1" customHeight="1">
      <c r="A44" s="22"/>
      <c r="B44" s="154"/>
      <c r="C44" s="39"/>
      <c r="D44" s="40"/>
      <c r="E44" s="40"/>
    </row>
    <row r="45" spans="1:5" ht="14.65" hidden="1" customHeight="1">
      <c r="A45" s="22"/>
      <c r="B45" s="155"/>
      <c r="C45" s="42"/>
      <c r="D45" s="40"/>
      <c r="E45" s="40"/>
    </row>
    <row r="46" spans="1:5" ht="14.65" hidden="1" customHeight="1">
      <c r="A46" s="22"/>
      <c r="B46" s="155"/>
      <c r="C46" s="42"/>
      <c r="D46" s="40"/>
      <c r="E46" s="40"/>
    </row>
    <row r="47" spans="1:5" ht="14.65" hidden="1" customHeight="1">
      <c r="A47" s="22"/>
      <c r="B47" s="155"/>
      <c r="C47" s="42"/>
      <c r="D47" s="40"/>
      <c r="E47" s="40"/>
    </row>
    <row r="48" spans="1:5" ht="14.65" hidden="1" customHeight="1">
      <c r="A48" s="22"/>
      <c r="B48" s="155"/>
      <c r="C48" s="42"/>
      <c r="D48" s="40"/>
      <c r="E48" s="40"/>
    </row>
    <row r="49" spans="1:6" ht="14.65" customHeight="1">
      <c r="A49" s="22"/>
      <c r="B49" s="155"/>
      <c r="C49" s="42"/>
      <c r="D49" s="40"/>
      <c r="E49" s="40"/>
    </row>
    <row r="50" spans="1:6" ht="14.65" customHeight="1">
      <c r="A50" s="22"/>
      <c r="B50" s="154"/>
      <c r="C50" s="39"/>
      <c r="D50" s="40"/>
      <c r="E50" s="40"/>
    </row>
    <row r="51" spans="1:6" ht="14.65" customHeight="1">
      <c r="A51" s="22"/>
      <c r="B51" s="155"/>
      <c r="C51" s="42"/>
      <c r="D51" s="40"/>
      <c r="E51" s="40"/>
    </row>
    <row r="52" spans="1:6" ht="14.65" customHeight="1">
      <c r="A52" s="22"/>
      <c r="B52" s="154">
        <v>2100</v>
      </c>
      <c r="C52" s="39" t="s">
        <v>26</v>
      </c>
      <c r="D52" s="40"/>
      <c r="E52" s="40"/>
    </row>
    <row r="53" spans="1:6" ht="14.65" customHeight="1">
      <c r="A53" s="22"/>
      <c r="B53" s="129">
        <v>21000</v>
      </c>
      <c r="C53" s="44" t="s">
        <v>27</v>
      </c>
      <c r="D53" s="40"/>
      <c r="E53" s="40"/>
    </row>
    <row r="54" spans="1:6" ht="14.65" customHeight="1">
      <c r="A54" s="22"/>
      <c r="B54" s="129">
        <v>20000</v>
      </c>
      <c r="C54" s="44" t="s">
        <v>28</v>
      </c>
      <c r="D54" s="40"/>
      <c r="E54" s="40"/>
    </row>
    <row r="55" spans="1:6" ht="14.65" customHeight="1">
      <c r="A55" s="22"/>
      <c r="B55" s="155"/>
      <c r="C55" s="42"/>
      <c r="D55" s="40"/>
      <c r="E55" s="40"/>
    </row>
    <row r="56" spans="1:6" ht="14.65" customHeight="1">
      <c r="A56" s="22"/>
      <c r="B56" s="155"/>
      <c r="C56" s="42"/>
      <c r="D56" s="40"/>
      <c r="E56" s="40"/>
    </row>
    <row r="57" spans="1:6" ht="14.65" customHeight="1">
      <c r="A57" s="22"/>
      <c r="B57" s="154">
        <v>40000</v>
      </c>
      <c r="C57" s="39" t="s">
        <v>29</v>
      </c>
      <c r="D57" s="40"/>
      <c r="E57" s="40"/>
    </row>
    <row r="58" spans="1:6" s="29" customFormat="1" ht="14.65" customHeight="1">
      <c r="A58" s="22"/>
      <c r="B58" s="129">
        <v>40000</v>
      </c>
      <c r="C58" s="44" t="s">
        <v>30</v>
      </c>
      <c r="D58" s="45"/>
      <c r="E58" s="46"/>
      <c r="F58" s="30"/>
    </row>
    <row r="59" spans="1:6" ht="14.65" hidden="1" customHeight="1">
      <c r="A59" s="22"/>
      <c r="B59" s="155">
        <v>4101</v>
      </c>
      <c r="C59" s="42" t="s">
        <v>31</v>
      </c>
      <c r="D59" s="40"/>
      <c r="E59" s="40"/>
    </row>
    <row r="60" spans="1:6" ht="14.65" hidden="1" customHeight="1">
      <c r="A60" s="22"/>
      <c r="B60" s="155">
        <v>4102</v>
      </c>
      <c r="C60" s="42" t="s">
        <v>32</v>
      </c>
      <c r="D60" s="40"/>
      <c r="E60" s="40"/>
    </row>
    <row r="61" spans="1:6" ht="14.65" hidden="1" customHeight="1">
      <c r="A61" s="22"/>
      <c r="B61" s="155">
        <v>4103</v>
      </c>
      <c r="C61" s="42" t="s">
        <v>33</v>
      </c>
      <c r="D61" s="40"/>
      <c r="E61" s="40"/>
    </row>
    <row r="62" spans="1:6" ht="14.65" hidden="1" customHeight="1">
      <c r="A62" s="22"/>
      <c r="B62" s="155">
        <v>4200</v>
      </c>
      <c r="C62" s="42" t="s">
        <v>34</v>
      </c>
      <c r="D62" s="40"/>
      <c r="E62" s="40"/>
    </row>
    <row r="63" spans="1:6" ht="14.65" hidden="1" customHeight="1">
      <c r="A63" s="22"/>
      <c r="B63" s="155">
        <v>4201</v>
      </c>
      <c r="C63" s="42" t="s">
        <v>35</v>
      </c>
      <c r="D63" s="40"/>
      <c r="E63" s="40"/>
    </row>
    <row r="64" spans="1:6" ht="14.65" hidden="1" customHeight="1">
      <c r="A64" s="22"/>
      <c r="B64" s="155">
        <v>4202</v>
      </c>
      <c r="C64" s="42" t="s">
        <v>36</v>
      </c>
      <c r="D64" s="40"/>
      <c r="E64" s="40"/>
    </row>
    <row r="65" spans="1:5" ht="14.65" hidden="1" customHeight="1">
      <c r="A65" s="22"/>
      <c r="B65" s="155">
        <v>4203</v>
      </c>
      <c r="C65" s="42" t="s">
        <v>37</v>
      </c>
      <c r="D65" s="40"/>
      <c r="E65" s="40"/>
    </row>
    <row r="66" spans="1:5" ht="14.65" hidden="1" customHeight="1">
      <c r="A66" s="22"/>
      <c r="B66" s="155">
        <v>4300</v>
      </c>
      <c r="C66" s="42" t="s">
        <v>38</v>
      </c>
      <c r="D66" s="40"/>
      <c r="E66" s="40"/>
    </row>
    <row r="67" spans="1:5" ht="14.65" hidden="1" customHeight="1">
      <c r="A67" s="22"/>
      <c r="B67" s="155">
        <v>4301</v>
      </c>
      <c r="C67" s="42" t="s">
        <v>39</v>
      </c>
      <c r="D67" s="40"/>
      <c r="E67" s="40"/>
    </row>
    <row r="68" spans="1:5" ht="14.65" hidden="1" customHeight="1">
      <c r="A68" s="22"/>
      <c r="B68" s="155">
        <v>4302</v>
      </c>
      <c r="C68" s="42" t="s">
        <v>40</v>
      </c>
      <c r="D68" s="40"/>
      <c r="E68" s="40"/>
    </row>
    <row r="69" spans="1:5" ht="14.65" hidden="1" customHeight="1">
      <c r="A69" s="22"/>
      <c r="B69" s="155">
        <v>4303</v>
      </c>
      <c r="C69" s="42" t="s">
        <v>41</v>
      </c>
      <c r="D69" s="40"/>
      <c r="E69" s="40"/>
    </row>
    <row r="70" spans="1:5" ht="14.65" customHeight="1">
      <c r="A70" s="22"/>
      <c r="B70" s="155"/>
      <c r="C70" s="42"/>
      <c r="D70" s="40"/>
      <c r="E70" s="40"/>
    </row>
    <row r="71" spans="1:5" ht="14.65" customHeight="1">
      <c r="A71" s="22"/>
      <c r="B71" s="154">
        <v>5000</v>
      </c>
      <c r="C71" s="39" t="s">
        <v>42</v>
      </c>
      <c r="D71" s="40"/>
      <c r="E71" s="40"/>
    </row>
    <row r="72" spans="1:5" ht="14.65" customHeight="1">
      <c r="A72" s="22"/>
      <c r="B72" s="129">
        <v>50000</v>
      </c>
      <c r="C72" s="129" t="s">
        <v>43</v>
      </c>
      <c r="D72" s="45"/>
      <c r="E72" s="46"/>
    </row>
    <row r="73" spans="1:5" ht="14.65" hidden="1" customHeight="1">
      <c r="A73" s="22"/>
      <c r="B73" s="155">
        <v>5101</v>
      </c>
      <c r="C73" s="42" t="s">
        <v>44</v>
      </c>
      <c r="D73" s="40"/>
      <c r="E73" s="40"/>
    </row>
    <row r="74" spans="1:5" ht="14.65" hidden="1" customHeight="1">
      <c r="A74" s="22"/>
      <c r="B74" s="155">
        <v>5102</v>
      </c>
      <c r="C74" s="42" t="s">
        <v>45</v>
      </c>
      <c r="D74" s="40"/>
      <c r="E74" s="40"/>
    </row>
    <row r="75" spans="1:5" ht="14.65" hidden="1" customHeight="1">
      <c r="A75" s="22"/>
      <c r="B75" s="155">
        <v>5103</v>
      </c>
      <c r="C75" s="42" t="s">
        <v>46</v>
      </c>
      <c r="D75" s="40"/>
      <c r="E75" s="40"/>
    </row>
    <row r="76" spans="1:5" ht="14.65" hidden="1" customHeight="1">
      <c r="A76" s="22"/>
      <c r="B76" s="155">
        <v>5200</v>
      </c>
      <c r="C76" s="42" t="s">
        <v>47</v>
      </c>
      <c r="D76" s="40"/>
      <c r="E76" s="40"/>
    </row>
    <row r="77" spans="1:5" ht="14.65" hidden="1" customHeight="1">
      <c r="A77" s="22"/>
      <c r="B77" s="155">
        <v>5201</v>
      </c>
      <c r="C77" s="42" t="s">
        <v>48</v>
      </c>
      <c r="D77" s="40"/>
      <c r="E77" s="40"/>
    </row>
    <row r="78" spans="1:5" ht="14.65" hidden="1" customHeight="1">
      <c r="A78" s="22"/>
      <c r="B78" s="155">
        <v>5202</v>
      </c>
      <c r="C78" s="42" t="s">
        <v>49</v>
      </c>
      <c r="D78" s="40"/>
      <c r="E78" s="40"/>
    </row>
    <row r="79" spans="1:5" ht="14.65" hidden="1" customHeight="1">
      <c r="A79" s="22"/>
      <c r="B79" s="155">
        <v>5203</v>
      </c>
      <c r="C79" s="42" t="s">
        <v>50</v>
      </c>
      <c r="D79" s="40"/>
      <c r="E79" s="40"/>
    </row>
    <row r="80" spans="1:5" ht="14.65" hidden="1" customHeight="1">
      <c r="A80" s="22"/>
      <c r="B80" s="155">
        <v>5300</v>
      </c>
      <c r="C80" s="42" t="s">
        <v>51</v>
      </c>
      <c r="D80" s="40"/>
      <c r="E80" s="40"/>
    </row>
    <row r="81" spans="1:5" ht="14.65" hidden="1" customHeight="1">
      <c r="A81" s="22"/>
      <c r="B81" s="155">
        <v>5301</v>
      </c>
      <c r="C81" s="42" t="s">
        <v>52</v>
      </c>
      <c r="D81" s="40"/>
      <c r="E81" s="40"/>
    </row>
    <row r="82" spans="1:5" ht="14.65" hidden="1" customHeight="1">
      <c r="A82" s="22"/>
      <c r="B82" s="155">
        <v>5302</v>
      </c>
      <c r="C82" s="42" t="s">
        <v>53</v>
      </c>
      <c r="D82" s="40"/>
      <c r="E82" s="40"/>
    </row>
    <row r="83" spans="1:5" ht="14.65" hidden="1" customHeight="1">
      <c r="A83" s="22"/>
      <c r="B83" s="155">
        <v>5303</v>
      </c>
      <c r="C83" s="42" t="s">
        <v>54</v>
      </c>
      <c r="D83" s="40"/>
      <c r="E83" s="40"/>
    </row>
    <row r="84" spans="1:5" ht="14.65" hidden="1" customHeight="1">
      <c r="A84" s="22"/>
      <c r="B84" s="155">
        <v>5400</v>
      </c>
      <c r="C84" s="42" t="s">
        <v>55</v>
      </c>
      <c r="D84" s="40"/>
      <c r="E84" s="40"/>
    </row>
    <row r="85" spans="1:5" ht="14.65" hidden="1" customHeight="1">
      <c r="A85" s="22"/>
      <c r="B85" s="155">
        <v>5401</v>
      </c>
      <c r="C85" s="42" t="s">
        <v>56</v>
      </c>
      <c r="D85" s="40"/>
      <c r="E85" s="40"/>
    </row>
    <row r="86" spans="1:5" ht="14.65" hidden="1" customHeight="1">
      <c r="A86" s="22"/>
      <c r="B86" s="155">
        <v>5402</v>
      </c>
      <c r="C86" s="42" t="s">
        <v>57</v>
      </c>
      <c r="D86" s="40"/>
      <c r="E86" s="40"/>
    </row>
    <row r="87" spans="1:5" ht="14.65" hidden="1" customHeight="1">
      <c r="A87" s="22"/>
      <c r="B87" s="155">
        <v>5403</v>
      </c>
      <c r="C87" s="42" t="s">
        <v>58</v>
      </c>
      <c r="D87" s="40"/>
      <c r="E87" s="40"/>
    </row>
    <row r="88" spans="1:5" ht="14.65" customHeight="1">
      <c r="A88" s="22"/>
      <c r="B88" s="129">
        <v>50020</v>
      </c>
      <c r="C88" s="44" t="s">
        <v>59</v>
      </c>
      <c r="D88" s="40"/>
      <c r="E88" s="40"/>
    </row>
    <row r="89" spans="1:5" ht="14.65" customHeight="1">
      <c r="A89" s="22"/>
      <c r="B89" s="106"/>
      <c r="C89" s="119"/>
      <c r="D89" s="40"/>
      <c r="E89" s="40"/>
    </row>
    <row r="90" spans="1:5" ht="14.65" customHeight="1">
      <c r="A90" s="22"/>
      <c r="B90" s="155"/>
      <c r="C90" s="42"/>
      <c r="D90" s="40"/>
      <c r="E90" s="40"/>
    </row>
    <row r="91" spans="1:5" ht="14.65" hidden="1" customHeight="1">
      <c r="A91" s="22"/>
      <c r="B91" s="154">
        <v>6000</v>
      </c>
      <c r="C91" s="39" t="s">
        <v>60</v>
      </c>
      <c r="D91" s="40"/>
      <c r="E91" s="40"/>
    </row>
    <row r="92" spans="1:5" ht="14.65" hidden="1" customHeight="1">
      <c r="A92" s="22"/>
      <c r="B92" s="155">
        <v>6100</v>
      </c>
      <c r="C92" s="42" t="s">
        <v>61</v>
      </c>
      <c r="D92" s="40"/>
      <c r="E92" s="40"/>
    </row>
    <row r="93" spans="1:5" ht="14.65" hidden="1" customHeight="1">
      <c r="A93" s="22"/>
      <c r="B93" s="155">
        <v>6110</v>
      </c>
      <c r="C93" s="42" t="s">
        <v>62</v>
      </c>
      <c r="D93" s="40"/>
      <c r="E93" s="40"/>
    </row>
    <row r="94" spans="1:5" ht="14.65" hidden="1" customHeight="1">
      <c r="A94" s="22"/>
      <c r="B94" s="155">
        <v>6120</v>
      </c>
      <c r="C94" s="42" t="s">
        <v>63</v>
      </c>
      <c r="D94" s="40"/>
      <c r="E94" s="40"/>
    </row>
    <row r="95" spans="1:5" ht="14.65" hidden="1" customHeight="1">
      <c r="A95" s="22"/>
      <c r="B95" s="155">
        <v>6130</v>
      </c>
      <c r="C95" s="42" t="s">
        <v>64</v>
      </c>
      <c r="D95" s="40"/>
      <c r="E95" s="40"/>
    </row>
    <row r="96" spans="1:5" ht="14.65" hidden="1" customHeight="1">
      <c r="A96" s="22"/>
      <c r="B96" s="155">
        <v>6140</v>
      </c>
      <c r="C96" s="42" t="s">
        <v>65</v>
      </c>
      <c r="D96" s="40"/>
      <c r="E96" s="40"/>
    </row>
    <row r="97" spans="1:5" ht="14.65" hidden="1" customHeight="1">
      <c r="A97" s="22"/>
      <c r="B97" s="155">
        <v>6150</v>
      </c>
      <c r="C97" s="42" t="s">
        <v>66</v>
      </c>
      <c r="D97" s="40"/>
      <c r="E97" s="40"/>
    </row>
    <row r="98" spans="1:5" ht="14.65" hidden="1" customHeight="1">
      <c r="A98" s="22"/>
      <c r="B98" s="155">
        <v>6160</v>
      </c>
      <c r="C98" s="42" t="s">
        <v>67</v>
      </c>
      <c r="D98" s="40"/>
      <c r="E98" s="40"/>
    </row>
    <row r="99" spans="1:5" ht="14.65" hidden="1" customHeight="1">
      <c r="A99" s="22"/>
      <c r="B99" s="155">
        <v>6170</v>
      </c>
      <c r="C99" s="42" t="s">
        <v>68</v>
      </c>
      <c r="D99" s="40"/>
      <c r="E99" s="40"/>
    </row>
    <row r="100" spans="1:5" ht="14.65" hidden="1" customHeight="1">
      <c r="A100" s="22"/>
      <c r="B100" s="155">
        <v>6180</v>
      </c>
      <c r="C100" s="42" t="s">
        <v>69</v>
      </c>
      <c r="D100" s="40"/>
      <c r="E100" s="40"/>
    </row>
    <row r="101" spans="1:5" ht="14.65" hidden="1" customHeight="1">
      <c r="A101" s="22"/>
      <c r="B101" s="129">
        <v>6190</v>
      </c>
      <c r="C101" s="44" t="s">
        <v>70</v>
      </c>
      <c r="D101" s="45">
        <v>0</v>
      </c>
      <c r="E101" s="46">
        <v>0</v>
      </c>
    </row>
    <row r="102" spans="1:5" ht="14.65" hidden="1" customHeight="1">
      <c r="A102" s="22"/>
      <c r="B102" s="155"/>
      <c r="C102" s="42"/>
      <c r="D102" s="40"/>
      <c r="E102" s="40"/>
    </row>
    <row r="103" spans="1:5" ht="14.65" hidden="1" customHeight="1">
      <c r="A103" s="22"/>
      <c r="B103" s="154">
        <v>7000</v>
      </c>
      <c r="C103" s="39" t="s">
        <v>71</v>
      </c>
      <c r="D103" s="40"/>
      <c r="E103" s="40"/>
    </row>
    <row r="104" spans="1:5" ht="14.65" hidden="1" customHeight="1">
      <c r="A104" s="22"/>
      <c r="B104" s="155">
        <v>7100</v>
      </c>
      <c r="C104" s="42" t="s">
        <v>72</v>
      </c>
      <c r="D104" s="40"/>
      <c r="E104" s="40"/>
    </row>
    <row r="105" spans="1:5" ht="14.65" hidden="1" customHeight="1">
      <c r="A105" s="22"/>
      <c r="B105" s="155"/>
      <c r="C105" s="42"/>
      <c r="D105" s="40"/>
      <c r="E105" s="40"/>
    </row>
    <row r="106" spans="1:5" ht="14.65" hidden="1" customHeight="1">
      <c r="A106" s="22"/>
      <c r="B106" s="154">
        <v>8000</v>
      </c>
      <c r="C106" s="39" t="s">
        <v>73</v>
      </c>
      <c r="D106" s="40"/>
      <c r="E106" s="40"/>
    </row>
    <row r="107" spans="1:5" ht="14.65" hidden="1" customHeight="1">
      <c r="A107" s="22"/>
      <c r="B107" s="155">
        <v>8100</v>
      </c>
      <c r="C107" s="42" t="s">
        <v>74</v>
      </c>
      <c r="D107" s="40"/>
      <c r="E107" s="40"/>
    </row>
    <row r="108" spans="1:5" ht="14.65" hidden="1" customHeight="1">
      <c r="A108" s="22"/>
      <c r="B108" s="155">
        <v>8200</v>
      </c>
      <c r="C108" s="42" t="s">
        <v>75</v>
      </c>
      <c r="D108" s="40"/>
      <c r="E108" s="40"/>
    </row>
    <row r="109" spans="1:5" ht="14.45">
      <c r="A109" s="22"/>
      <c r="B109" s="147"/>
      <c r="C109" s="30"/>
    </row>
    <row r="110" spans="1:5" ht="14.45">
      <c r="A110" s="22"/>
      <c r="B110" s="147"/>
      <c r="C110" s="30"/>
    </row>
    <row r="111" spans="1:5" ht="14.65" hidden="1" customHeight="1">
      <c r="A111" s="22"/>
      <c r="B111" s="147"/>
      <c r="C111" s="30"/>
    </row>
    <row r="112" spans="1:5" ht="14.65" hidden="1" customHeight="1">
      <c r="A112" s="22"/>
      <c r="B112" s="147"/>
      <c r="C112" s="30"/>
    </row>
    <row r="113" spans="1:3" ht="14.65" hidden="1" customHeight="1">
      <c r="A113" s="22"/>
      <c r="B113" s="147"/>
      <c r="C113" s="30"/>
    </row>
    <row r="114" spans="1:3" ht="14.65" hidden="1" customHeight="1">
      <c r="A114" s="22"/>
      <c r="B114" s="147"/>
      <c r="C114" s="30"/>
    </row>
    <row r="115" spans="1:3" ht="14.65" hidden="1" customHeight="1">
      <c r="A115" s="22"/>
      <c r="B115" s="147"/>
      <c r="C115" s="30"/>
    </row>
    <row r="116" spans="1:3" ht="14.65" hidden="1" customHeight="1">
      <c r="A116" s="22"/>
      <c r="B116" s="147"/>
      <c r="C116" s="30"/>
    </row>
    <row r="117" spans="1:3" ht="14.65" hidden="1" customHeight="1">
      <c r="A117" s="22"/>
      <c r="B117" s="147"/>
      <c r="C117" s="30"/>
    </row>
    <row r="118" spans="1:3" ht="14.65" hidden="1" customHeight="1">
      <c r="A118" s="22"/>
      <c r="B118" s="147"/>
      <c r="C118" s="30"/>
    </row>
    <row r="119" spans="1:3" ht="14.65" hidden="1" customHeight="1">
      <c r="A119" s="22"/>
      <c r="B119" s="147"/>
      <c r="C119" s="30"/>
    </row>
    <row r="120" spans="1:3" ht="14.65" hidden="1" customHeight="1">
      <c r="A120" s="22"/>
      <c r="B120" s="147"/>
      <c r="C120" s="30"/>
    </row>
    <row r="121" spans="1:3" ht="14.65" hidden="1" customHeight="1">
      <c r="A121" s="22"/>
      <c r="B121" s="147"/>
      <c r="C121" s="30"/>
    </row>
    <row r="122" spans="1:3" ht="14.65" hidden="1" customHeight="1">
      <c r="A122" s="22"/>
      <c r="B122" s="147"/>
      <c r="C122" s="30"/>
    </row>
    <row r="123" spans="1:3" ht="14.45" hidden="1">
      <c r="A123" s="22"/>
      <c r="B123" s="147"/>
      <c r="C123" s="30"/>
    </row>
    <row r="124" spans="1:3" ht="14.45" hidden="1">
      <c r="A124" s="22"/>
      <c r="B124" s="147"/>
      <c r="C124" s="30"/>
    </row>
    <row r="125" spans="1:3" ht="14.45" hidden="1">
      <c r="A125" s="22"/>
      <c r="B125" s="147"/>
      <c r="C125" s="30"/>
    </row>
    <row r="126" spans="1:3" ht="14.45" hidden="1">
      <c r="A126" s="22"/>
      <c r="B126" s="147"/>
      <c r="C126" s="30"/>
    </row>
    <row r="127" spans="1:3" ht="14.45" hidden="1">
      <c r="A127" s="22"/>
      <c r="B127" s="147"/>
      <c r="C127" s="30"/>
    </row>
    <row r="128" spans="1:3" ht="14.45" hidden="1">
      <c r="A128" s="22"/>
      <c r="B128" s="147"/>
      <c r="C128" s="30"/>
    </row>
    <row r="129" spans="1:3" ht="14.45" hidden="1">
      <c r="A129" s="22"/>
      <c r="B129" s="147"/>
      <c r="C129" s="30"/>
    </row>
    <row r="130" spans="1:3" ht="14.45" hidden="1">
      <c r="A130" s="22"/>
      <c r="B130" s="147"/>
      <c r="C130" s="30"/>
    </row>
    <row r="131" spans="1:3" ht="14.45" hidden="1">
      <c r="A131" s="22"/>
      <c r="B131" s="147"/>
      <c r="C131" s="30"/>
    </row>
    <row r="132" spans="1:3" ht="14.45" hidden="1">
      <c r="A132" s="22"/>
      <c r="B132" s="147"/>
      <c r="C132" s="30"/>
    </row>
    <row r="133" spans="1:3" ht="14.45" hidden="1">
      <c r="A133" s="22"/>
      <c r="B133" s="147"/>
      <c r="C133" s="30"/>
    </row>
    <row r="134" spans="1:3" ht="14.45" hidden="1">
      <c r="A134" s="22"/>
      <c r="B134" s="147"/>
      <c r="C134" s="30"/>
    </row>
    <row r="135" spans="1:3" ht="14.45" hidden="1">
      <c r="A135" s="22"/>
      <c r="B135" s="147"/>
      <c r="C135" s="30"/>
    </row>
    <row r="136" spans="1:3" ht="14.45" hidden="1">
      <c r="A136" s="22"/>
      <c r="B136" s="147"/>
      <c r="C136" s="30"/>
    </row>
    <row r="137" spans="1:3" ht="14.45" hidden="1">
      <c r="A137" s="22"/>
      <c r="B137" s="147"/>
      <c r="C137" s="30"/>
    </row>
    <row r="138" spans="1:3" ht="14.45" hidden="1">
      <c r="A138" s="22"/>
      <c r="B138" s="147"/>
      <c r="C138" s="30"/>
    </row>
    <row r="139" spans="1:3" ht="14.45" hidden="1">
      <c r="A139" s="22"/>
      <c r="B139" s="147"/>
      <c r="C139" s="30"/>
    </row>
    <row r="140" spans="1:3" ht="14.45" hidden="1">
      <c r="A140" s="22"/>
      <c r="B140" s="147"/>
      <c r="C140" s="30"/>
    </row>
    <row r="141" spans="1:3" ht="14.45" hidden="1">
      <c r="A141" s="22"/>
      <c r="B141" s="147"/>
      <c r="C141" s="30"/>
    </row>
    <row r="142" spans="1:3" ht="14.45" hidden="1">
      <c r="A142" s="22"/>
      <c r="B142" s="147"/>
      <c r="C142" s="30"/>
    </row>
    <row r="143" spans="1:3" ht="14.45" hidden="1">
      <c r="A143" s="22"/>
      <c r="B143" s="147"/>
      <c r="C143" s="30"/>
    </row>
    <row r="144" spans="1:3" ht="14.45" hidden="1">
      <c r="A144" s="22"/>
      <c r="B144" s="147"/>
      <c r="C144" s="30"/>
    </row>
    <row r="145" spans="1:3" ht="14.45" hidden="1">
      <c r="A145" s="22"/>
      <c r="B145" s="147"/>
      <c r="C145" s="30"/>
    </row>
    <row r="146" spans="1:3" ht="14.45" hidden="1">
      <c r="A146" s="22"/>
      <c r="B146" s="147"/>
      <c r="C146" s="30"/>
    </row>
    <row r="147" spans="1:3" ht="14.45" hidden="1">
      <c r="A147" s="22"/>
      <c r="B147" s="147"/>
      <c r="C147" s="30"/>
    </row>
    <row r="148" spans="1:3" ht="14.45" hidden="1">
      <c r="A148" s="22"/>
      <c r="B148" s="147"/>
      <c r="C148" s="30"/>
    </row>
    <row r="149" spans="1:3" ht="14.45" hidden="1">
      <c r="A149" s="22"/>
      <c r="B149" s="147"/>
      <c r="C149" s="30"/>
    </row>
    <row r="150" spans="1:3" ht="14.45" hidden="1">
      <c r="A150" s="22"/>
      <c r="B150" s="147"/>
      <c r="C150" s="30"/>
    </row>
    <row r="151" spans="1:3" ht="14.45" hidden="1">
      <c r="A151" s="22"/>
      <c r="B151" s="147"/>
      <c r="C151" s="30"/>
    </row>
    <row r="152" spans="1:3" ht="14.45" hidden="1">
      <c r="A152" s="22"/>
      <c r="B152" s="147"/>
      <c r="C152" s="30"/>
    </row>
    <row r="153" spans="1:3" ht="14.45" hidden="1">
      <c r="A153" s="22"/>
      <c r="B153" s="147"/>
      <c r="C153" s="30"/>
    </row>
    <row r="154" spans="1:3" ht="14.45" hidden="1">
      <c r="A154" s="22"/>
      <c r="B154" s="147"/>
      <c r="C154" s="30"/>
    </row>
    <row r="155" spans="1:3" ht="14.45" hidden="1">
      <c r="A155" s="22"/>
      <c r="B155" s="147"/>
      <c r="C155" s="30"/>
    </row>
    <row r="156" spans="1:3" ht="14.45" hidden="1">
      <c r="A156" s="22"/>
      <c r="B156" s="147"/>
      <c r="C156" s="30"/>
    </row>
    <row r="157" spans="1:3" ht="14.45" hidden="1">
      <c r="A157" s="22"/>
      <c r="B157" s="147"/>
      <c r="C157" s="30"/>
    </row>
    <row r="158" spans="1:3" ht="14.45" hidden="1">
      <c r="A158" s="22"/>
      <c r="B158" s="147"/>
      <c r="C158" s="30"/>
    </row>
    <row r="159" spans="1:3" ht="14.45" hidden="1">
      <c r="A159" s="22"/>
      <c r="B159" s="147"/>
      <c r="C159" s="30"/>
    </row>
    <row r="160" spans="1:3" ht="14.45" hidden="1">
      <c r="A160" s="22"/>
      <c r="B160" s="147"/>
      <c r="C160" s="30"/>
    </row>
    <row r="161" spans="1:3" ht="14.45" hidden="1">
      <c r="A161" s="22"/>
      <c r="B161" s="147"/>
      <c r="C161" s="30"/>
    </row>
    <row r="162" spans="1:3" ht="14.45" hidden="1">
      <c r="A162" s="22"/>
      <c r="B162" s="147"/>
      <c r="C162" s="30"/>
    </row>
    <row r="163" spans="1:3" ht="14.45" hidden="1">
      <c r="A163" s="22"/>
      <c r="B163" s="147"/>
      <c r="C163" s="30"/>
    </row>
    <row r="164" spans="1:3" ht="14.45" hidden="1">
      <c r="A164" s="22"/>
      <c r="B164" s="147"/>
      <c r="C164" s="30"/>
    </row>
    <row r="165" spans="1:3" ht="14.45" hidden="1">
      <c r="A165" s="22"/>
      <c r="B165" s="147"/>
      <c r="C165" s="30"/>
    </row>
    <row r="166" spans="1:3" ht="14.45" hidden="1">
      <c r="A166" s="22"/>
      <c r="B166" s="147"/>
      <c r="C166" s="30"/>
    </row>
    <row r="167" spans="1:3" ht="14.45" hidden="1">
      <c r="A167" s="22"/>
      <c r="B167" s="147"/>
      <c r="C167" s="30"/>
    </row>
    <row r="168" spans="1:3" ht="14.45" hidden="1">
      <c r="A168" s="22"/>
      <c r="B168" s="147"/>
      <c r="C168" s="30"/>
    </row>
    <row r="169" spans="1:3" ht="14.45" hidden="1">
      <c r="A169" s="22"/>
      <c r="B169" s="147"/>
      <c r="C169" s="30"/>
    </row>
    <row r="170" spans="1:3" ht="14.45" hidden="1">
      <c r="A170" s="22"/>
      <c r="B170" s="147"/>
      <c r="C170" s="30"/>
    </row>
    <row r="171" spans="1:3" ht="14.45" hidden="1">
      <c r="A171" s="22"/>
      <c r="B171" s="147"/>
      <c r="C171" s="30"/>
    </row>
    <row r="172" spans="1:3" ht="14.45" hidden="1">
      <c r="A172" s="22"/>
      <c r="B172" s="147"/>
      <c r="C172" s="30"/>
    </row>
    <row r="173" spans="1:3" ht="14.45" hidden="1">
      <c r="A173" s="22"/>
      <c r="B173" s="147"/>
      <c r="C173" s="30"/>
    </row>
    <row r="174" spans="1:3" ht="14.45" hidden="1">
      <c r="A174" s="22"/>
      <c r="B174" s="147"/>
      <c r="C174" s="30"/>
    </row>
    <row r="175" spans="1:3" ht="14.45" hidden="1">
      <c r="A175" s="22"/>
      <c r="B175" s="147"/>
      <c r="C175" s="30"/>
    </row>
    <row r="176" spans="1:3" ht="14.45" hidden="1">
      <c r="A176" s="22"/>
      <c r="B176" s="147"/>
      <c r="C176" s="30"/>
    </row>
    <row r="177" spans="1:3" ht="14.45" hidden="1">
      <c r="A177" s="22"/>
      <c r="B177" s="147"/>
      <c r="C177" s="30"/>
    </row>
    <row r="178" spans="1:3" ht="14.45" hidden="1">
      <c r="A178" s="22"/>
      <c r="B178" s="147"/>
      <c r="C178" s="30"/>
    </row>
    <row r="179" spans="1:3" ht="14.45" hidden="1">
      <c r="A179" s="22"/>
      <c r="B179" s="147"/>
      <c r="C179" s="30"/>
    </row>
    <row r="180" spans="1:3" ht="14.45" hidden="1">
      <c r="A180" s="22"/>
      <c r="B180" s="147"/>
      <c r="C180" s="30"/>
    </row>
    <row r="181" spans="1:3" ht="14.45" hidden="1">
      <c r="A181" s="22"/>
      <c r="B181" s="147"/>
      <c r="C181" s="30"/>
    </row>
    <row r="182" spans="1:3" ht="14.45" hidden="1">
      <c r="A182" s="22"/>
      <c r="B182" s="147"/>
      <c r="C182" s="30"/>
    </row>
    <row r="183" spans="1:3" ht="14.45" hidden="1">
      <c r="A183" s="22"/>
      <c r="B183" s="147"/>
      <c r="C183" s="30"/>
    </row>
    <row r="184" spans="1:3" ht="14.45" hidden="1">
      <c r="A184" s="22"/>
      <c r="B184" s="147"/>
      <c r="C184" s="30"/>
    </row>
    <row r="185" spans="1:3" ht="14.45" hidden="1">
      <c r="A185" s="22"/>
      <c r="B185" s="147"/>
      <c r="C185" s="30"/>
    </row>
    <row r="186" spans="1:3" ht="14.45" hidden="1">
      <c r="A186" s="22"/>
      <c r="B186" s="147"/>
      <c r="C186" s="30"/>
    </row>
    <row r="187" spans="1:3" ht="14.45" hidden="1">
      <c r="A187" s="22"/>
      <c r="B187" s="147"/>
      <c r="C187" s="30"/>
    </row>
    <row r="188" spans="1:3" ht="14.45" hidden="1">
      <c r="A188" s="22"/>
      <c r="B188" s="147"/>
      <c r="C188" s="30"/>
    </row>
    <row r="189" spans="1:3" ht="14.45" hidden="1">
      <c r="A189" s="22"/>
      <c r="B189" s="147"/>
      <c r="C189" s="30"/>
    </row>
    <row r="190" spans="1:3" ht="14.45" hidden="1">
      <c r="A190" s="22"/>
      <c r="B190" s="147"/>
      <c r="C190" s="30"/>
    </row>
    <row r="191" spans="1:3" ht="14.45" hidden="1">
      <c r="A191" s="22"/>
    </row>
    <row r="192" spans="1:3" ht="14.45" hidden="1">
      <c r="A192" s="22"/>
    </row>
    <row r="193" spans="1:1" ht="14.45" hidden="1">
      <c r="A193" s="22"/>
    </row>
    <row r="194" spans="1:1" ht="14.45" hidden="1">
      <c r="A194" s="22"/>
    </row>
    <row r="195" spans="1:1" ht="14.45" hidden="1">
      <c r="A195" s="22"/>
    </row>
    <row r="196" spans="1:1" ht="14.45" hidden="1">
      <c r="A196" s="22"/>
    </row>
    <row r="197" spans="1:1" ht="14.45" hidden="1">
      <c r="A197" s="22"/>
    </row>
    <row r="198" spans="1:1" ht="14.45" hidden="1">
      <c r="A198" s="22"/>
    </row>
    <row r="199" spans="1:1" ht="14.45" hidden="1">
      <c r="A199" s="22"/>
    </row>
    <row r="200" spans="1:1" ht="14.45" hidden="1">
      <c r="A200" s="22"/>
    </row>
    <row r="201" spans="1:1" ht="14.45" hidden="1">
      <c r="A201" s="22"/>
    </row>
    <row r="202" spans="1:1" ht="14.45" hidden="1">
      <c r="A202" s="22"/>
    </row>
    <row r="203" spans="1:1" ht="14.45" hidden="1">
      <c r="A203" s="22"/>
    </row>
    <row r="204" spans="1:1" ht="14.45" hidden="1">
      <c r="A204" s="22"/>
    </row>
    <row r="205" spans="1:1" ht="14.45" hidden="1">
      <c r="A205" s="22"/>
    </row>
    <row r="206" spans="1:1" ht="14.45" hidden="1">
      <c r="A206" s="22"/>
    </row>
    <row r="207" spans="1:1" ht="14.45" hidden="1">
      <c r="A207" s="22"/>
    </row>
    <row r="208" spans="1:1" ht="14.45" hidden="1">
      <c r="A208" s="22"/>
    </row>
    <row r="209" spans="1:1" ht="14.45" hidden="1">
      <c r="A209" s="22"/>
    </row>
    <row r="210" spans="1:1" ht="14.45" hidden="1">
      <c r="A210" s="22"/>
    </row>
    <row r="211" spans="1:1" ht="14.45" hidden="1">
      <c r="A211" s="22"/>
    </row>
    <row r="212" spans="1:1" ht="14.45" hidden="1"/>
    <row r="213" spans="1:1" ht="14.45" hidden="1"/>
    <row r="214" spans="1:1" ht="14.45" hidden="1"/>
    <row r="215" spans="1:1" ht="14.45" hidden="1"/>
    <row r="216" spans="1:1" ht="14.45" hidden="1"/>
    <row r="217" spans="1:1" ht="14.45" hidden="1"/>
    <row r="218" spans="1:1" ht="14.45" hidden="1"/>
    <row r="219" spans="1:1" ht="14.45" hidden="1"/>
    <row r="220" spans="1:1" ht="14.45" hidden="1"/>
    <row r="221" spans="1:1" ht="14.45" hidden="1"/>
    <row r="222" spans="1:1" ht="14.45" hidden="1"/>
    <row r="223" spans="1:1" ht="14.45" hidden="1"/>
    <row r="224" spans="1:1" ht="14.45" hidden="1"/>
    <row r="225" ht="14.45" hidden="1"/>
    <row r="226" ht="14.45" hidden="1"/>
    <row r="227" ht="14.45" hidden="1"/>
    <row r="228" ht="14.45" hidden="1"/>
    <row r="229" ht="14.45" hidden="1"/>
    <row r="230" ht="14.45" hidden="1"/>
    <row r="231" ht="14.45" hidden="1"/>
    <row r="232" ht="14.45" hidden="1"/>
    <row r="233" ht="14.45" hidden="1"/>
    <row r="234" ht="14.45" hidden="1"/>
    <row r="235" ht="14.45" hidden="1"/>
    <row r="236" ht="14.45" hidden="1"/>
    <row r="237" ht="14.45" hidden="1"/>
    <row r="238" ht="14.45" hidden="1"/>
    <row r="239" ht="14.45" hidden="1"/>
    <row r="240" ht="14.45" hidden="1"/>
    <row r="241" ht="14.45" hidden="1"/>
    <row r="242" ht="14.45" hidden="1"/>
    <row r="243" ht="14.45" hidden="1"/>
    <row r="244" ht="14.45" hidden="1"/>
    <row r="245" ht="14.45" hidden="1"/>
    <row r="246" ht="14.45" hidden="1"/>
    <row r="247" ht="14.45" hidden="1"/>
    <row r="248" ht="14.45" hidden="1"/>
    <row r="249" ht="14.45" hidden="1"/>
    <row r="250" ht="14.45" hidden="1"/>
    <row r="251" ht="14.45" hidden="1"/>
    <row r="252" ht="14.45" hidden="1"/>
    <row r="253" ht="14.45" hidden="1"/>
    <row r="254" ht="14.45" hidden="1"/>
    <row r="255" ht="14.45" hidden="1"/>
    <row r="256" ht="14.45" hidden="1"/>
    <row r="257" ht="14.45" hidden="1"/>
    <row r="258" ht="14.45" hidden="1"/>
    <row r="259" ht="14.45" hidden="1"/>
    <row r="260" ht="14.45" hidden="1"/>
    <row r="261" ht="14.45" hidden="1"/>
    <row r="262" ht="14.45" hidden="1"/>
    <row r="263" ht="14.45" hidden="1"/>
    <row r="264" ht="14.45" hidden="1"/>
    <row r="265" ht="14.45" hidden="1"/>
    <row r="266" ht="14.45" hidden="1"/>
    <row r="267" ht="14.45" hidden="1"/>
    <row r="268" ht="14.45" hidden="1"/>
    <row r="269" ht="14.45" hidden="1"/>
    <row r="270" ht="14.45" hidden="1"/>
    <row r="271" ht="14.45" hidden="1"/>
    <row r="272" ht="14.45" hidden="1"/>
    <row r="273" ht="14.45" hidden="1"/>
    <row r="274" ht="14.45" hidden="1"/>
    <row r="275" ht="14.45" hidden="1"/>
    <row r="276" ht="14.45" hidden="1"/>
    <row r="277" ht="14.45" hidden="1"/>
    <row r="278" ht="14.45" hidden="1"/>
    <row r="279" ht="14.45" hidden="1"/>
    <row r="280" ht="14.45" hidden="1"/>
    <row r="281" ht="14.45" hidden="1"/>
    <row r="282" ht="14.45" hidden="1"/>
    <row r="283" ht="14.45" hidden="1"/>
    <row r="284" ht="14.45" hidden="1"/>
    <row r="285" ht="14.45" hidden="1"/>
    <row r="286" ht="14.45" hidden="1"/>
    <row r="287" ht="14.45" hidden="1"/>
    <row r="288" ht="14.45" hidden="1"/>
    <row r="289" ht="14.45" hidden="1"/>
    <row r="290" ht="14.45" hidden="1"/>
    <row r="291" ht="14.45" hidden="1"/>
    <row r="292" ht="14.45" hidden="1"/>
    <row r="293" ht="14.45" hidden="1"/>
    <row r="294" ht="14.45" hidden="1"/>
    <row r="295" ht="14.45" hidden="1"/>
    <row r="296" ht="14.45" hidden="1"/>
    <row r="297" ht="14.45" hidden="1"/>
    <row r="298" ht="14.45" hidden="1"/>
    <row r="299" ht="14.45" hidden="1"/>
    <row r="300" ht="14.45" hidden="1"/>
    <row r="301" ht="14.45" hidden="1"/>
    <row r="302" ht="14.45" hidden="1"/>
    <row r="303" ht="14.45" hidden="1"/>
    <row r="304" ht="14.45" hidden="1"/>
    <row r="305" ht="14.45" hidden="1"/>
    <row r="306" ht="14.45" hidden="1"/>
    <row r="307" ht="14.45" hidden="1"/>
    <row r="308" ht="14.45" hidden="1"/>
    <row r="309" ht="14.45" hidden="1"/>
    <row r="310" ht="14.45" hidden="1"/>
    <row r="311" ht="14.45" hidden="1"/>
    <row r="312" ht="14.45" hidden="1"/>
    <row r="313" ht="14.45" hidden="1"/>
    <row r="314" ht="14.45" hidden="1"/>
    <row r="315" ht="14.45" hidden="1"/>
    <row r="316" ht="14.45" hidden="1"/>
    <row r="317" ht="14.45" hidden="1"/>
    <row r="318" ht="14.45" hidden="1"/>
    <row r="319" ht="14.45" hidden="1"/>
    <row r="320" ht="14.45" hidden="1"/>
    <row r="321" ht="14.45" hidden="1"/>
    <row r="322" ht="14.45" hidden="1"/>
    <row r="323" ht="14.45" hidden="1"/>
    <row r="324" ht="14.45" hidden="1"/>
    <row r="325" ht="14.45" hidden="1"/>
    <row r="326" ht="14.45" hidden="1"/>
    <row r="327" ht="14.45" hidden="1"/>
    <row r="328" ht="14.45" hidden="1"/>
    <row r="329" ht="14.45" hidden="1"/>
    <row r="330" ht="14.45" hidden="1"/>
    <row r="331" ht="14.45" hidden="1"/>
    <row r="332" ht="14.45" hidden="1"/>
    <row r="333" ht="14.45" hidden="1"/>
    <row r="334" ht="14.45" hidden="1"/>
    <row r="335" ht="14.45" hidden="1"/>
    <row r="336" ht="14.45" hidden="1"/>
    <row r="337" ht="14.45" hidden="1"/>
    <row r="338" ht="14.45" hidden="1"/>
    <row r="339" ht="14.45" hidden="1"/>
    <row r="340" ht="14.45" hidden="1"/>
    <row r="341" ht="14.45" hidden="1"/>
    <row r="342" ht="14.45" hidden="1"/>
    <row r="343" ht="14.45" hidden="1"/>
    <row r="344" ht="14.45" hidden="1"/>
    <row r="345" ht="14.45" hidden="1"/>
    <row r="346" ht="14.45" hidden="1"/>
    <row r="347" ht="14.45" hidden="1"/>
    <row r="348" ht="14.45" hidden="1"/>
    <row r="349" ht="14.45" hidden="1"/>
    <row r="350" ht="14.45" hidden="1"/>
    <row r="351" ht="14.45" hidden="1"/>
    <row r="352" ht="14.45" hidden="1"/>
    <row r="353" ht="14.45" hidden="1"/>
    <row r="354" ht="14.45" hidden="1"/>
    <row r="355" ht="14.45" hidden="1"/>
    <row r="356" ht="14.45" hidden="1"/>
    <row r="357" ht="14.45" hidden="1"/>
    <row r="358" ht="14.45" hidden="1"/>
    <row r="359" ht="14.45" hidden="1"/>
    <row r="360" ht="14.45" hidden="1"/>
    <row r="361" ht="14.45" hidden="1"/>
    <row r="362" ht="14.45" hidden="1"/>
    <row r="363" ht="14.45" hidden="1"/>
    <row r="364" ht="14.45" hidden="1"/>
    <row r="365" ht="14.45" hidden="1"/>
    <row r="366" ht="14.45" hidden="1"/>
    <row r="367" ht="14.45" hidden="1"/>
    <row r="368" ht="14.45" hidden="1"/>
    <row r="369" ht="14.45" hidden="1"/>
    <row r="370" ht="14.45" hidden="1"/>
    <row r="371" ht="14.45" hidden="1"/>
    <row r="372" ht="14.45" hidden="1"/>
    <row r="373" ht="14.45" hidden="1"/>
    <row r="374" ht="14.45" hidden="1"/>
    <row r="375" ht="14.45" hidden="1"/>
    <row r="376" ht="14.45" hidden="1"/>
    <row r="377" ht="14.45" hidden="1"/>
    <row r="378" ht="14.45" hidden="1"/>
    <row r="379" ht="14.45" hidden="1"/>
    <row r="380" ht="14.45" hidden="1"/>
    <row r="381" ht="14.45" hidden="1"/>
    <row r="382" ht="14.45" hidden="1"/>
    <row r="383" ht="14.45" hidden="1"/>
    <row r="384" ht="14.45" hidden="1"/>
    <row r="385" ht="14.45" hidden="1"/>
    <row r="386" ht="14.45" hidden="1"/>
    <row r="387" ht="14.45" hidden="1"/>
    <row r="388" ht="14.45" hidden="1"/>
    <row r="389" ht="14.45" hidden="1"/>
    <row r="390" ht="14.45" hidden="1"/>
    <row r="391" ht="14.45" hidden="1"/>
    <row r="392" ht="14.45" hidden="1"/>
    <row r="393" ht="14.45" hidden="1"/>
    <row r="394" ht="14.45" hidden="1"/>
    <row r="395" ht="14.45" hidden="1"/>
    <row r="396" ht="14.45" hidden="1"/>
    <row r="397" ht="14.45" hidden="1"/>
    <row r="398" ht="14.45" hidden="1"/>
    <row r="399" ht="14.45" hidden="1"/>
    <row r="400" ht="14.45" hidden="1"/>
    <row r="401" ht="14.45" hidden="1"/>
    <row r="402" ht="14.45" hidden="1"/>
    <row r="403" ht="14.45" hidden="1"/>
    <row r="404" ht="14.45" hidden="1"/>
    <row r="405" ht="14.45" hidden="1"/>
    <row r="406" ht="14.45" hidden="1"/>
    <row r="407" ht="14.45" hidden="1"/>
    <row r="408" ht="14.45" hidden="1"/>
    <row r="409" ht="14.45" hidden="1"/>
    <row r="410" ht="14.45" hidden="1"/>
    <row r="411" ht="14.45" hidden="1"/>
    <row r="412" ht="14.45" hidden="1"/>
    <row r="413" ht="14.45" hidden="1"/>
    <row r="414" ht="14.45" hidden="1"/>
    <row r="415" ht="14.45" hidden="1"/>
    <row r="416" ht="14.45" hidden="1"/>
    <row r="417" ht="14.45" hidden="1"/>
    <row r="418" ht="14.45" hidden="1"/>
    <row r="419" ht="14.45" hidden="1"/>
    <row r="420" ht="14.45" hidden="1"/>
    <row r="421" ht="14.45" hidden="1"/>
    <row r="422" ht="14.45" hidden="1"/>
    <row r="423" ht="14.45" hidden="1"/>
    <row r="424" ht="14.45" hidden="1"/>
    <row r="425" ht="14.45" hidden="1"/>
    <row r="426" ht="14.45" hidden="1"/>
    <row r="427" ht="14.45" hidden="1"/>
    <row r="428" ht="14.45" hidden="1"/>
    <row r="429" ht="14.45" hidden="1"/>
    <row r="430" ht="14.45" hidden="1"/>
    <row r="431" ht="14.45" hidden="1"/>
    <row r="432" ht="14.45" hidden="1"/>
    <row r="433" ht="14.45" hidden="1"/>
    <row r="434" ht="14.45" hidden="1"/>
    <row r="435" ht="14.45" hidden="1"/>
    <row r="436" ht="14.45" hidden="1"/>
    <row r="437" ht="14.45" hidden="1"/>
    <row r="438" ht="14.45" hidden="1"/>
    <row r="439" ht="14.45" hidden="1"/>
    <row r="440" ht="14.45" hidden="1"/>
    <row r="441" ht="14.45" hidden="1"/>
    <row r="442" ht="14.45" hidden="1"/>
    <row r="443" ht="14.45" hidden="1"/>
    <row r="444" ht="14.45" hidden="1"/>
    <row r="445" ht="14.45" hidden="1"/>
    <row r="446" ht="14.45" hidden="1"/>
    <row r="447" ht="14.45" hidden="1"/>
    <row r="448" ht="14.45" hidden="1"/>
    <row r="449" ht="14.45" hidden="1"/>
    <row r="450" ht="14.45" hidden="1"/>
    <row r="451" ht="14.45" hidden="1"/>
    <row r="452" ht="14.45" hidden="1"/>
    <row r="453" ht="14.45" hidden="1"/>
    <row r="454" ht="14.45" hidden="1"/>
    <row r="455" ht="14.45" hidden="1"/>
    <row r="456" ht="14.45" hidden="1"/>
    <row r="457" ht="14.45" hidden="1"/>
    <row r="458" ht="14.45" hidden="1"/>
    <row r="459" ht="14.45" hidden="1"/>
    <row r="460" ht="14.45" hidden="1"/>
    <row r="461" ht="14.45" hidden="1"/>
    <row r="462" ht="14.45" hidden="1"/>
    <row r="463" ht="14.45" hidden="1"/>
    <row r="464" ht="14.45" hidden="1"/>
    <row r="465" ht="14.45" hidden="1"/>
    <row r="466" ht="14.45" hidden="1"/>
    <row r="467" ht="14.45" hidden="1"/>
    <row r="468" ht="14.45" hidden="1"/>
    <row r="469" ht="14.45" hidden="1"/>
    <row r="470" ht="14.45" hidden="1"/>
    <row r="471" ht="14.45" hidden="1"/>
    <row r="472" ht="14.45" hidden="1"/>
    <row r="473" ht="14.45" hidden="1"/>
    <row r="474" ht="14.45" hidden="1"/>
    <row r="475" ht="14.45" hidden="1"/>
    <row r="476" ht="14.45" hidden="1"/>
    <row r="477" ht="14.45" hidden="1"/>
    <row r="478" ht="14.45" hidden="1"/>
    <row r="479" ht="14.45" hidden="1"/>
    <row r="480" ht="14.45" hidden="1"/>
    <row r="481" ht="14.45" hidden="1"/>
    <row r="482" ht="14.45" hidden="1"/>
    <row r="483" ht="14.45" hidden="1"/>
    <row r="484" ht="14.45" hidden="1"/>
    <row r="485" ht="14.45" hidden="1"/>
    <row r="486" ht="14.45" hidden="1"/>
    <row r="487" ht="14.45" hidden="1"/>
    <row r="488" ht="14.45" hidden="1"/>
    <row r="489" ht="14.45" hidden="1"/>
    <row r="490" ht="14.45" hidden="1"/>
    <row r="491" ht="14.45" hidden="1"/>
    <row r="492" ht="14.45" hidden="1"/>
    <row r="493" ht="14.45" hidden="1"/>
    <row r="494" ht="14.45" hidden="1"/>
    <row r="495" ht="14.45" hidden="1"/>
    <row r="496" ht="14.45" hidden="1"/>
    <row r="497" ht="14.45" hidden="1"/>
    <row r="498" ht="14.45" hidden="1"/>
    <row r="499" ht="14.45" hidden="1"/>
    <row r="500" ht="14.45" hidden="1"/>
    <row r="501" ht="14.45" hidden="1"/>
    <row r="502" ht="14.45" hidden="1"/>
    <row r="503" ht="14.45" hidden="1"/>
    <row r="504" ht="14.45" hidden="1"/>
    <row r="505" ht="14.45" hidden="1"/>
    <row r="506" ht="14.45" hidden="1"/>
    <row r="507" ht="14.45" hidden="1"/>
    <row r="508" ht="14.45" hidden="1"/>
    <row r="509" ht="14.45" hidden="1"/>
    <row r="510" ht="14.45" hidden="1"/>
    <row r="511" ht="14.45" hidden="1"/>
    <row r="512" ht="14.45" hidden="1"/>
    <row r="513" ht="14.45" hidden="1"/>
    <row r="514" ht="14.45" hidden="1"/>
    <row r="515" ht="14.45" hidden="1"/>
    <row r="516" ht="14.45" hidden="1"/>
    <row r="517" ht="14.45" hidden="1"/>
    <row r="518" ht="14.45" hidden="1"/>
    <row r="519" ht="14.45" hidden="1"/>
    <row r="520" ht="14.45" hidden="1"/>
    <row r="521" ht="14.45" hidden="1"/>
    <row r="522" ht="14.45" hidden="1"/>
    <row r="523" ht="14.45" hidden="1"/>
    <row r="524" ht="14.45" hidden="1"/>
    <row r="525" ht="14.45" hidden="1"/>
    <row r="526" ht="14.45" hidden="1"/>
    <row r="527" ht="14.45" hidden="1"/>
    <row r="528" ht="14.45" hidden="1"/>
    <row r="529" ht="14.45" hidden="1"/>
    <row r="530" ht="14.45" hidden="1"/>
    <row r="531" ht="14.45" hidden="1"/>
    <row r="532" ht="14.45" hidden="1"/>
    <row r="533" ht="14.45" hidden="1"/>
    <row r="534" ht="14.45" hidden="1"/>
    <row r="535" ht="14.45" hidden="1"/>
    <row r="536" ht="14.45" hidden="1"/>
    <row r="537" ht="14.45" hidden="1"/>
    <row r="538" ht="14.45" hidden="1"/>
    <row r="539" ht="14.45" hidden="1"/>
    <row r="540" ht="14.45" hidden="1"/>
    <row r="541" ht="14.45" hidden="1"/>
    <row r="542" ht="14.45" hidden="1"/>
    <row r="543" ht="14.45" hidden="1"/>
    <row r="544" ht="14.45" hidden="1"/>
    <row r="545" ht="14.45" hidden="1"/>
    <row r="546" ht="14.45" hidden="1"/>
    <row r="547" ht="14.45" hidden="1"/>
    <row r="548" ht="14.45" hidden="1"/>
    <row r="549" ht="14.45" hidden="1"/>
    <row r="550" ht="14.45" hidden="1"/>
    <row r="551" ht="14.45" hidden="1"/>
    <row r="552" ht="14.45" hidden="1"/>
    <row r="553" ht="14.45" hidden="1"/>
    <row r="554" ht="14.45" hidden="1"/>
    <row r="555" ht="14.45" hidden="1"/>
    <row r="556" ht="14.45" hidden="1"/>
    <row r="557" ht="14.45" hidden="1"/>
    <row r="558" ht="14.45" hidden="1"/>
    <row r="559" ht="14.45" hidden="1"/>
    <row r="560" ht="14.45" hidden="1"/>
    <row r="561" ht="14.45" hidden="1"/>
    <row r="562" ht="14.45" hidden="1"/>
    <row r="563" ht="14.45" hidden="1"/>
    <row r="564" ht="14.45" hidden="1"/>
    <row r="565" ht="14.45" hidden="1"/>
    <row r="566" ht="14.45" hidden="1"/>
    <row r="567" ht="14.45" hidden="1"/>
    <row r="568" ht="14.45" hidden="1"/>
    <row r="569" ht="14.45" hidden="1"/>
    <row r="570" ht="14.45" hidden="1"/>
    <row r="571" ht="14.45" hidden="1"/>
    <row r="572" ht="14.45" hidden="1"/>
    <row r="573" ht="14.45" hidden="1"/>
    <row r="574" ht="14.45" hidden="1"/>
    <row r="575" ht="14.45" hidden="1"/>
    <row r="576" ht="14.45" hidden="1"/>
    <row r="577" ht="14.45" hidden="1"/>
    <row r="578" ht="14.45" hidden="1"/>
    <row r="579" ht="14.45" hidden="1"/>
    <row r="580" ht="14.45" hidden="1"/>
    <row r="581" ht="14.45" hidden="1"/>
    <row r="582" ht="14.45" hidden="1"/>
    <row r="583" ht="14.45" hidden="1"/>
    <row r="584" ht="14.45" hidden="1"/>
    <row r="585" ht="14.45" hidden="1"/>
    <row r="586" ht="14.45" hidden="1"/>
    <row r="587" ht="14.45" hidden="1"/>
    <row r="588" ht="14.45" hidden="1"/>
    <row r="589" ht="14.45" hidden="1"/>
    <row r="590" ht="14.45" hidden="1"/>
    <row r="591" ht="14.45" hidden="1"/>
    <row r="592" ht="14.45" hidden="1"/>
    <row r="593" ht="14.45" hidden="1"/>
    <row r="594" ht="14.45" hidden="1"/>
    <row r="595" ht="14.45" hidden="1"/>
    <row r="596" ht="14.45" hidden="1"/>
    <row r="597" ht="14.45" hidden="1"/>
    <row r="598" ht="14.45" hidden="1"/>
    <row r="599" ht="14.45" hidden="1"/>
    <row r="600" ht="14.45" hidden="1"/>
    <row r="601" ht="14.45" hidden="1"/>
    <row r="602" ht="14.45" hidden="1"/>
    <row r="603" ht="14.45" hidden="1"/>
    <row r="604" ht="14.45" hidden="1"/>
    <row r="605" ht="14.45" hidden="1"/>
    <row r="606" ht="14.45" hidden="1"/>
    <row r="607" ht="14.45" hidden="1"/>
    <row r="608" ht="14.45" hidden="1"/>
    <row r="609" ht="14.45" hidden="1"/>
    <row r="610" ht="14.45" hidden="1"/>
    <row r="611" ht="14.45" hidden="1"/>
    <row r="612" ht="14.45" hidden="1"/>
    <row r="613" ht="14.45" hidden="1"/>
    <row r="614" ht="14.45" hidden="1"/>
    <row r="615" ht="14.45" hidden="1"/>
    <row r="616" ht="14.45" hidden="1"/>
    <row r="617" ht="14.45" hidden="1"/>
    <row r="618" ht="14.45" hidden="1"/>
    <row r="619" ht="14.45" hidden="1"/>
    <row r="620" ht="14.45" hidden="1"/>
    <row r="621" ht="14.45" hidden="1"/>
    <row r="622" ht="14.45" hidden="1"/>
    <row r="623" ht="14.45" hidden="1"/>
    <row r="624" ht="14.45" hidden="1"/>
    <row r="625" ht="14.45" hidden="1"/>
    <row r="626" ht="14.45" hidden="1"/>
    <row r="627" ht="14.45" hidden="1"/>
    <row r="628" ht="14.45" hidden="1"/>
    <row r="629" ht="14.45" hidden="1"/>
    <row r="630" ht="14.45" hidden="1"/>
    <row r="631" ht="14.45" hidden="1"/>
    <row r="632" ht="14.45" hidden="1"/>
    <row r="633" ht="14.45" hidden="1"/>
    <row r="634" ht="14.45" hidden="1"/>
    <row r="635" ht="14.45" hidden="1"/>
    <row r="636" ht="14.45" hidden="1"/>
    <row r="637" ht="14.45" hidden="1"/>
    <row r="638" ht="14.45" hidden="1"/>
    <row r="639" ht="14.45" hidden="1"/>
    <row r="640" ht="14.45" hidden="1"/>
    <row r="641" ht="14.45" hidden="1"/>
    <row r="642" ht="14.45" hidden="1"/>
    <row r="643" ht="14.45" hidden="1"/>
    <row r="644" ht="14.45" hidden="1"/>
    <row r="645" ht="14.45" hidden="1"/>
    <row r="646" ht="14.45" hidden="1"/>
    <row r="647" ht="14.45" hidden="1"/>
    <row r="648" ht="14.45" hidden="1"/>
    <row r="649" ht="14.45" hidden="1"/>
    <row r="650" ht="14.45" hidden="1"/>
    <row r="651" ht="14.45" hidden="1"/>
    <row r="652" ht="14.45" hidden="1"/>
    <row r="653" ht="14.45" hidden="1"/>
    <row r="654" ht="14.45" hidden="1"/>
    <row r="655" ht="14.45" hidden="1"/>
    <row r="656" ht="14.45" hidden="1"/>
    <row r="657" ht="14.45" hidden="1"/>
    <row r="658" ht="14.45" hidden="1"/>
    <row r="659" ht="14.45" hidden="1"/>
    <row r="660" ht="14.45" hidden="1"/>
    <row r="661" ht="14.45" hidden="1"/>
    <row r="662" ht="14.45" hidden="1"/>
    <row r="663" ht="14.45" hidden="1"/>
    <row r="664" ht="14.45" hidden="1"/>
    <row r="665" ht="14.45" hidden="1"/>
    <row r="666" ht="14.45" hidden="1"/>
    <row r="667" ht="14.45" hidden="1"/>
    <row r="668" ht="14.45" hidden="1"/>
    <row r="669" ht="14.45" hidden="1"/>
    <row r="670" ht="14.45" hidden="1"/>
    <row r="671" ht="14.45" hidden="1"/>
    <row r="672" ht="14.45" hidden="1"/>
    <row r="673" ht="14.45" hidden="1"/>
    <row r="674" ht="14.45" hidden="1"/>
    <row r="675" ht="14.45" hidden="1"/>
    <row r="676" ht="14.45" hidden="1"/>
    <row r="677" ht="14.45" hidden="1"/>
    <row r="678" ht="14.45" hidden="1"/>
    <row r="679" ht="14.45" hidden="1"/>
    <row r="680" ht="14.45" hidden="1"/>
    <row r="681" ht="14.45" hidden="1"/>
    <row r="682" ht="14.45" hidden="1"/>
    <row r="683" ht="14.45" hidden="1"/>
    <row r="684" ht="14.45" hidden="1"/>
    <row r="685" ht="14.45" hidden="1"/>
    <row r="686" ht="14.45" hidden="1"/>
    <row r="687" ht="14.45" hidden="1"/>
    <row r="688" ht="14.45" hidden="1"/>
    <row r="689" ht="14.45" hidden="1"/>
    <row r="690" ht="14.45" hidden="1"/>
    <row r="691" ht="14.45" hidden="1"/>
    <row r="692" ht="14.45" hidden="1"/>
    <row r="693" ht="14.45" hidden="1"/>
    <row r="694" ht="14.45" hidden="1"/>
    <row r="695" ht="14.45" hidden="1"/>
    <row r="696" ht="14.45" hidden="1"/>
    <row r="697" ht="14.45" hidden="1"/>
    <row r="698" ht="14.45" hidden="1"/>
    <row r="699" ht="14.45" hidden="1"/>
    <row r="700" ht="14.45" hidden="1"/>
    <row r="701" ht="14.45" hidden="1"/>
    <row r="702" ht="14.45" hidden="1"/>
    <row r="703" ht="14.45" hidden="1"/>
    <row r="704" ht="14.45" hidden="1"/>
    <row r="705" ht="14.45" hidden="1"/>
    <row r="706" ht="14.45" hidden="1"/>
    <row r="707" ht="14.45" hidden="1"/>
    <row r="708" ht="14.45" hidden="1"/>
    <row r="709" ht="14.45" hidden="1"/>
    <row r="710" ht="14.45" hidden="1"/>
    <row r="711" ht="14.45" hidden="1"/>
    <row r="712" ht="14.45" hidden="1"/>
    <row r="713" ht="14.45" hidden="1"/>
    <row r="714" ht="14.45" hidden="1"/>
    <row r="715" ht="14.45" hidden="1"/>
    <row r="716" ht="14.45" hidden="1"/>
    <row r="717" ht="14.45" hidden="1"/>
    <row r="718" ht="14.45" hidden="1"/>
    <row r="719" ht="14.45" hidden="1"/>
    <row r="720" ht="14.45" hidden="1"/>
    <row r="721" ht="14.45" hidden="1"/>
    <row r="722" ht="14.45" hidden="1"/>
    <row r="723" ht="14.45" hidden="1"/>
    <row r="724" ht="14.45" hidden="1"/>
    <row r="725" ht="14.45" hidden="1"/>
    <row r="726" ht="14.45" hidden="1"/>
    <row r="727" ht="14.45" hidden="1"/>
    <row r="728" ht="14.45" hidden="1"/>
    <row r="729" ht="14.45" hidden="1"/>
    <row r="730" ht="14.45" hidden="1"/>
    <row r="731" ht="14.45" hidden="1"/>
    <row r="732" ht="14.45" hidden="1"/>
    <row r="733" ht="14.45" hidden="1"/>
    <row r="734" ht="14.45" hidden="1"/>
    <row r="735" ht="14.45" hidden="1"/>
    <row r="736" ht="14.45" hidden="1"/>
    <row r="737" ht="14.45" hidden="1"/>
    <row r="738" ht="14.45" hidden="1"/>
    <row r="739" ht="14.45" hidden="1"/>
    <row r="740" ht="14.45" hidden="1"/>
    <row r="741" ht="14.45" hidden="1"/>
    <row r="742" ht="14.45" hidden="1"/>
    <row r="743" ht="14.45" hidden="1"/>
    <row r="744" ht="14.45" hidden="1"/>
    <row r="745" ht="14.45" hidden="1"/>
    <row r="746" ht="14.45" hidden="1"/>
    <row r="747" ht="14.45" hidden="1"/>
    <row r="748" ht="14.45" hidden="1"/>
    <row r="749" ht="14.45" hidden="1"/>
    <row r="750" ht="14.45" hidden="1"/>
    <row r="751" ht="14.45" hidden="1"/>
    <row r="752" ht="14.45" hidden="1"/>
    <row r="753" ht="14.45" hidden="1"/>
    <row r="754" ht="14.45" hidden="1"/>
    <row r="755" ht="14.45" hidden="1"/>
    <row r="756" ht="14.45" hidden="1"/>
    <row r="757" ht="14.45" hidden="1"/>
    <row r="758" ht="14.45" hidden="1"/>
    <row r="759" ht="14.45" hidden="1"/>
    <row r="760" ht="14.45" hidden="1"/>
    <row r="761" ht="14.45" hidden="1"/>
    <row r="762" ht="14.45" hidden="1"/>
    <row r="763" ht="14.45" hidden="1"/>
    <row r="764" ht="14.45" hidden="1"/>
    <row r="765" ht="14.45" hidden="1"/>
    <row r="766" ht="14.45" hidden="1"/>
    <row r="767" ht="14.45" hidden="1"/>
    <row r="768" ht="14.45" hidden="1"/>
    <row r="769" ht="14.45" hidden="1"/>
    <row r="770" ht="14.45" hidden="1"/>
    <row r="771" ht="14.45" hidden="1"/>
    <row r="772" ht="14.45" hidden="1"/>
    <row r="773" ht="14.45" hidden="1"/>
    <row r="774" ht="14.45" hidden="1"/>
    <row r="775" ht="14.45" hidden="1"/>
    <row r="776" ht="14.45" hidden="1"/>
    <row r="777" ht="14.45" hidden="1"/>
    <row r="778" ht="14.45" hidden="1"/>
    <row r="779" ht="14.45" hidden="1"/>
    <row r="780" ht="14.45" hidden="1"/>
    <row r="781" ht="14.45" hidden="1"/>
    <row r="782" ht="14.45" hidden="1"/>
    <row r="783" ht="14.45" hidden="1"/>
    <row r="784" ht="14.45" hidden="1"/>
    <row r="785" ht="14.45" hidden="1"/>
    <row r="786" ht="14.45" hidden="1"/>
    <row r="787" ht="14.45" hidden="1"/>
    <row r="788" ht="14.45" hidden="1"/>
    <row r="789" ht="14.45" hidden="1"/>
    <row r="790" ht="14.45" hidden="1"/>
    <row r="791" ht="14.45" hidden="1"/>
    <row r="792" ht="14.45" hidden="1"/>
    <row r="793" ht="14.45" hidden="1"/>
    <row r="794" ht="14.45" hidden="1"/>
    <row r="795" ht="14.45" hidden="1"/>
    <row r="796" ht="14.45" hidden="1"/>
    <row r="797" ht="14.45" hidden="1"/>
    <row r="798" ht="14.45" hidden="1"/>
    <row r="799" ht="14.45" hidden="1"/>
    <row r="800" ht="14.45" hidden="1"/>
    <row r="801" ht="14.45" hidden="1"/>
    <row r="802" ht="14.45" hidden="1"/>
    <row r="803" ht="14.45" hidden="1"/>
    <row r="804" ht="14.45" hidden="1"/>
    <row r="805" ht="14.45" hidden="1"/>
    <row r="806" ht="14.45" hidden="1"/>
    <row r="807" ht="14.45" hidden="1"/>
    <row r="808" ht="14.45" hidden="1"/>
    <row r="809" ht="14.45" hidden="1"/>
    <row r="810" ht="14.45" hidden="1"/>
    <row r="811" ht="14.45" hidden="1"/>
    <row r="812" ht="14.45" hidden="1"/>
    <row r="813" ht="14.45" hidden="1"/>
    <row r="814" ht="14.45" hidden="1"/>
    <row r="815" ht="14.45" hidden="1"/>
    <row r="816" ht="14.45" hidden="1"/>
    <row r="817" ht="14.45" hidden="1"/>
    <row r="818" ht="14.45" hidden="1"/>
    <row r="819" ht="14.45" hidden="1"/>
    <row r="820" ht="14.45" hidden="1"/>
    <row r="821" ht="14.45" hidden="1"/>
    <row r="822" ht="14.45" hidden="1"/>
    <row r="823" ht="14.45" hidden="1"/>
    <row r="824" ht="14.45" hidden="1"/>
    <row r="825" ht="14.45" hidden="1"/>
    <row r="826" ht="14.45" hidden="1"/>
    <row r="827" ht="14.45" hidden="1"/>
    <row r="828" ht="14.45" hidden="1"/>
    <row r="829" ht="14.45" hidden="1"/>
    <row r="830" ht="14.45" hidden="1"/>
    <row r="831" ht="14.45" hidden="1"/>
    <row r="832" ht="14.45" hidden="1"/>
    <row r="833" ht="14.45" hidden="1"/>
    <row r="834" ht="14.45" hidden="1"/>
    <row r="835" ht="14.45" hidden="1"/>
    <row r="836" ht="14.45" hidden="1"/>
    <row r="837" ht="14.45" hidden="1"/>
    <row r="838" ht="14.45" hidden="1"/>
    <row r="839" ht="14.45" hidden="1"/>
    <row r="840" ht="14.45" hidden="1"/>
    <row r="841" ht="14.45" hidden="1"/>
    <row r="842" ht="14.45" hidden="1"/>
    <row r="843" ht="14.45" hidden="1"/>
    <row r="844" ht="14.45" hidden="1"/>
    <row r="845" ht="14.45" hidden="1"/>
    <row r="846" ht="14.45" hidden="1"/>
    <row r="847" ht="14.45" hidden="1"/>
    <row r="848" ht="14.45" hidden="1"/>
    <row r="849" ht="14.45" hidden="1"/>
    <row r="850" ht="14.45" hidden="1"/>
    <row r="851" ht="14.45" hidden="1"/>
    <row r="852" ht="14.45" hidden="1"/>
    <row r="853" ht="14.45" hidden="1"/>
    <row r="854" ht="14.45" hidden="1"/>
    <row r="855" ht="14.45" hidden="1"/>
    <row r="856" ht="14.45" hidden="1"/>
    <row r="857" ht="14.45" hidden="1"/>
    <row r="858" ht="14.45" hidden="1"/>
    <row r="859" ht="14.45" hidden="1"/>
    <row r="860" ht="14.45" hidden="1"/>
    <row r="861" ht="14.45" hidden="1"/>
    <row r="862" ht="14.45" hidden="1"/>
    <row r="863" ht="14.45" hidden="1"/>
    <row r="864" ht="14.45" hidden="1"/>
    <row r="865" ht="14.45" hidden="1"/>
    <row r="866" ht="14.45" hidden="1"/>
    <row r="867" ht="14.45" hidden="1"/>
    <row r="868" ht="14.45" hidden="1"/>
    <row r="869" ht="14.45" hidden="1"/>
    <row r="870" ht="14.45" hidden="1"/>
    <row r="871" ht="14.45" hidden="1"/>
    <row r="872" ht="14.45" hidden="1"/>
    <row r="873" ht="14.45" hidden="1"/>
    <row r="874" ht="14.45" hidden="1"/>
    <row r="875" ht="14.45" hidden="1"/>
    <row r="876" ht="14.45" hidden="1"/>
    <row r="877" ht="14.45" hidden="1"/>
    <row r="878" ht="14.45" hidden="1"/>
    <row r="879" ht="14.45" hidden="1"/>
    <row r="880" ht="14.45" hidden="1"/>
    <row r="881" ht="14.45" hidden="1"/>
    <row r="882" ht="14.45" hidden="1"/>
    <row r="883" ht="14.45" hidden="1"/>
    <row r="884" ht="14.45" hidden="1"/>
    <row r="885" ht="14.45" hidden="1"/>
    <row r="886" ht="14.45" hidden="1"/>
    <row r="887" ht="14.45" hidden="1"/>
    <row r="888" ht="14.45" hidden="1"/>
    <row r="889" ht="14.45" hidden="1"/>
    <row r="890" ht="14.45" hidden="1"/>
    <row r="891" ht="14.45" hidden="1"/>
    <row r="892" ht="14.45" hidden="1"/>
    <row r="893" ht="14.45" hidden="1"/>
    <row r="894" ht="14.45" hidden="1"/>
    <row r="895" ht="14.45" hidden="1"/>
    <row r="896" ht="14.45" hidden="1"/>
    <row r="897" ht="14.45" hidden="1"/>
    <row r="898" ht="14.45" hidden="1"/>
    <row r="899" ht="14.45" hidden="1"/>
    <row r="900" ht="14.45" hidden="1"/>
    <row r="901" ht="14.45" hidden="1"/>
    <row r="902" ht="14.45" hidden="1"/>
    <row r="903" ht="14.45" hidden="1"/>
    <row r="904" ht="14.45" hidden="1"/>
    <row r="905" ht="14.45" hidden="1"/>
    <row r="906" ht="14.45" hidden="1"/>
    <row r="907" ht="14.45" hidden="1"/>
    <row r="908" ht="14.45" hidden="1"/>
    <row r="909" ht="14.45" hidden="1"/>
    <row r="910" ht="14.45" hidden="1"/>
    <row r="911" ht="14.45" hidden="1"/>
    <row r="912" ht="14.45" hidden="1"/>
    <row r="913" ht="14.45" hidden="1"/>
    <row r="914" ht="14.45" hidden="1"/>
    <row r="915" ht="14.45" hidden="1"/>
    <row r="916" ht="14.45" hidden="1"/>
    <row r="917" ht="14.45" hidden="1"/>
    <row r="918" ht="14.45" hidden="1"/>
    <row r="919" ht="14.45" hidden="1"/>
    <row r="920" ht="14.45" hidden="1"/>
    <row r="921" ht="14.45" hidden="1"/>
    <row r="922" ht="14.45" hidden="1"/>
    <row r="923" ht="14.45" hidden="1"/>
    <row r="924" ht="14.45" hidden="1"/>
    <row r="925" ht="14.45" hidden="1"/>
    <row r="926" ht="14.45" hidden="1"/>
    <row r="927" ht="14.45" hidden="1"/>
    <row r="928" ht="14.45" hidden="1"/>
    <row r="929" ht="14.45" hidden="1"/>
    <row r="930" ht="14.45" hidden="1"/>
    <row r="931" ht="14.45" hidden="1"/>
    <row r="932" ht="14.45" hidden="1"/>
    <row r="933" ht="14.45" hidden="1"/>
    <row r="934" ht="14.45" hidden="1"/>
    <row r="935" ht="14.45" hidden="1"/>
    <row r="936" ht="14.45" hidden="1"/>
    <row r="937" ht="14.45" hidden="1"/>
    <row r="938" ht="14.45" hidden="1"/>
    <row r="939" ht="14.45" hidden="1"/>
    <row r="940" ht="14.45" hidden="1"/>
    <row r="941" ht="14.45" hidden="1"/>
    <row r="942" ht="14.45" hidden="1"/>
    <row r="943" ht="14.45" hidden="1"/>
    <row r="944" ht="14.45" hidden="1"/>
    <row r="945" ht="14.45" hidden="1"/>
    <row r="946" ht="14.45" hidden="1"/>
    <row r="947" ht="14.45" hidden="1"/>
    <row r="948" ht="14.45" hidden="1"/>
    <row r="949" ht="14.45" hidden="1"/>
    <row r="950" ht="14.45" hidden="1"/>
    <row r="951" ht="14.45" hidden="1"/>
    <row r="952" ht="14.45" hidden="1"/>
    <row r="953" ht="14.45" hidden="1"/>
    <row r="954" ht="14.45" hidden="1"/>
    <row r="955" ht="14.45" hidden="1"/>
    <row r="956" ht="14.45" hidden="1"/>
    <row r="957" ht="14.45" hidden="1"/>
    <row r="958" ht="14.45" hidden="1"/>
    <row r="959" ht="14.45" hidden="1"/>
    <row r="960" ht="14.45" hidden="1"/>
    <row r="961" ht="14.45" hidden="1"/>
    <row r="962" ht="14.45" hidden="1"/>
    <row r="963" ht="14.45" hidden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6"/>
  <sheetViews>
    <sheetView showGridLines="0" zoomScale="85" zoomScaleNormal="85" workbookViewId="0">
      <selection activeCell="C8" sqref="C8"/>
    </sheetView>
  </sheetViews>
  <sheetFormatPr defaultColWidth="8.75" defaultRowHeight="15" customHeight="1" zeroHeight="1"/>
  <cols>
    <col min="1" max="1" width="5.75" style="7" customWidth="1"/>
    <col min="2" max="2" width="10.125" style="29" customWidth="1"/>
    <col min="3" max="3" width="45.75" style="29" customWidth="1"/>
    <col min="4" max="4" width="18.25" style="30" customWidth="1"/>
    <col min="5" max="5" width="18.625" style="30" customWidth="1"/>
    <col min="6" max="6" width="2.875" style="29" customWidth="1"/>
    <col min="7" max="7" width="17.375" style="30" customWidth="1"/>
    <col min="8" max="8" width="8.75" style="30" customWidth="1"/>
    <col min="9" max="9" width="15.125" style="30" customWidth="1"/>
    <col min="10" max="10" width="18" style="30" bestFit="1" customWidth="1"/>
    <col min="11" max="11" width="14.375" style="30" bestFit="1" customWidth="1"/>
    <col min="12" max="12" width="15.625" style="30" customWidth="1"/>
    <col min="13" max="13" width="10.875" style="30" customWidth="1"/>
    <col min="14" max="14" width="11" style="30" customWidth="1"/>
    <col min="15" max="15" width="12.25" style="30" customWidth="1"/>
    <col min="16" max="16" width="13.75" style="30" customWidth="1"/>
    <col min="17" max="20" width="8.75" style="30" customWidth="1"/>
    <col min="21" max="16384" width="8.75" style="30"/>
  </cols>
  <sheetData>
    <row r="1" spans="1:16" ht="15" customHeight="1">
      <c r="B1" s="78" t="str">
        <f>'BEGINNING BALANCES'!B1</f>
        <v>JULY 29-SEP.1,2025</v>
      </c>
    </row>
    <row r="2" spans="1:16" ht="14.65" customHeight="1">
      <c r="B2" s="77" t="s">
        <v>76</v>
      </c>
      <c r="C2" s="30"/>
      <c r="E2" s="31">
        <f>D3-E3</f>
        <v>-281425</v>
      </c>
      <c r="F2" s="80"/>
      <c r="I2" s="31">
        <f t="shared" ref="I2:P2" si="0">SUM(I8:I123)</f>
        <v>37930160</v>
      </c>
      <c r="J2" s="31">
        <f t="shared" si="0"/>
        <v>38056985</v>
      </c>
      <c r="K2" s="31">
        <f t="shared" si="0"/>
        <v>18474890</v>
      </c>
      <c r="L2" s="31">
        <f t="shared" si="0"/>
        <v>18629490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</row>
    <row r="3" spans="1:16" ht="18.399999999999999" customHeight="1">
      <c r="A3" s="13"/>
      <c r="B3" s="32" t="s">
        <v>77</v>
      </c>
      <c r="C3" s="33"/>
      <c r="D3" s="34">
        <f>SUM(D6:D123)</f>
        <v>56405050</v>
      </c>
      <c r="E3" s="34">
        <f>SUM(E6:E123)</f>
        <v>56686475</v>
      </c>
      <c r="F3" s="81"/>
      <c r="G3" s="79" t="s">
        <v>78</v>
      </c>
      <c r="H3" s="79"/>
      <c r="I3" s="30" t="s">
        <v>79</v>
      </c>
      <c r="J3" s="30" t="s">
        <v>79</v>
      </c>
      <c r="K3" s="30" t="s">
        <v>80</v>
      </c>
      <c r="L3" s="30" t="s">
        <v>80</v>
      </c>
      <c r="M3" s="30" t="s">
        <v>81</v>
      </c>
      <c r="N3" s="30" t="s">
        <v>81</v>
      </c>
      <c r="O3" s="30" t="s">
        <v>82</v>
      </c>
      <c r="P3" s="30" t="s">
        <v>82</v>
      </c>
    </row>
    <row r="4" spans="1:16" ht="10.5" customHeight="1">
      <c r="B4" s="30"/>
      <c r="C4" s="30"/>
    </row>
    <row r="5" spans="1:16" s="28" customFormat="1" ht="27" customHeight="1">
      <c r="A5" s="7"/>
      <c r="B5" s="410" t="s">
        <v>2</v>
      </c>
      <c r="C5" s="35" t="s">
        <v>3</v>
      </c>
      <c r="D5" s="36" t="s">
        <v>4</v>
      </c>
      <c r="E5" s="36" t="s">
        <v>5</v>
      </c>
      <c r="F5" s="82"/>
      <c r="I5" s="37" t="s">
        <v>4</v>
      </c>
      <c r="J5" s="37" t="s">
        <v>5</v>
      </c>
      <c r="K5" s="37" t="s">
        <v>4</v>
      </c>
      <c r="L5" s="37" t="s">
        <v>5</v>
      </c>
      <c r="M5" s="37" t="s">
        <v>4</v>
      </c>
      <c r="N5" s="37" t="s">
        <v>5</v>
      </c>
      <c r="O5" s="37" t="s">
        <v>4</v>
      </c>
      <c r="P5" s="37" t="s">
        <v>5</v>
      </c>
    </row>
    <row r="6" spans="1:16" ht="14.65" customHeight="1">
      <c r="B6" s="130">
        <v>10000</v>
      </c>
      <c r="C6" s="120" t="s">
        <v>6</v>
      </c>
      <c r="D6" s="40"/>
      <c r="E6" s="40"/>
    </row>
    <row r="7" spans="1:16" ht="14.65" customHeight="1">
      <c r="B7" s="132">
        <v>1000</v>
      </c>
      <c r="C7" s="121" t="s">
        <v>7</v>
      </c>
      <c r="D7" s="40"/>
      <c r="E7" s="40"/>
    </row>
    <row r="8" spans="1:16" ht="14.65" customHeight="1">
      <c r="A8" s="18"/>
      <c r="B8" s="131">
        <v>10010</v>
      </c>
      <c r="C8" s="122" t="s">
        <v>8</v>
      </c>
      <c r="D8" s="45">
        <f>$I8+$K8+$M8+$O8</f>
        <v>249200</v>
      </c>
      <c r="E8" s="46">
        <f>$J8+$L8+$N8+$P8</f>
        <v>142275</v>
      </c>
      <c r="F8" s="80"/>
      <c r="G8" s="31">
        <f>'BEGINNING BALANCES'!D7-'BEGINNING BALANCES'!E7+'Chart of Accounts'!D8-'Chart of Accounts'!E8</f>
        <v>106925</v>
      </c>
      <c r="H8" s="31"/>
      <c r="I8" s="31">
        <f>SUMIF('PAYMENT RECEIPTS'!$H$9:$H$1048576,'Chart of Accounts'!B8,'PAYMENT RECEIPTS'!$J$9:$J$1048576)</f>
        <v>249200</v>
      </c>
      <c r="J8" s="31">
        <f>SUMIF('PAYMENT RECEIPTS'!$H$9:$H$1048576,'Chart of Accounts'!B8,'PAYMENT RECEIPTS'!$K$9:$K$1048576)</f>
        <v>142275</v>
      </c>
      <c r="K8" s="31">
        <f>SUMIF('UPON DELIVERY'!$K$131:$K$1048576,'Chart of Accounts'!B8,'UPON DELIVERY'!$M$131:$M$1048576)</f>
        <v>0</v>
      </c>
      <c r="L8" s="31">
        <f>SUMIF('UPON DELIVERY'!$K$131:$K$1048576,'Chart of Accounts'!B8,'UPON DELIVERY'!$N$131:$N$1048576)</f>
        <v>0</v>
      </c>
      <c r="M8" s="31">
        <f>SUMIF('FUEL INVENTORY'!$H$9:$H$1048576,'Chart of Accounts'!B8,'FUEL INVENTORY'!$J$9:$J$1048576)</f>
        <v>0</v>
      </c>
      <c r="N8" s="31">
        <f>SUMIF('FUEL INVENTORY'!$H$9:$H$1048576,'Chart of Accounts'!B8,'FUEL INVENTORY'!$K$9:$K$1048576)</f>
        <v>0</v>
      </c>
      <c r="O8" s="31">
        <f>SUMIF('AR-SUPPLIER'!$G$8:$G$1048576,'Chart of Accounts'!B8,'AR-SUPPLIER'!$I$8:$I$1048576)</f>
        <v>0</v>
      </c>
      <c r="P8" s="31">
        <f>SUMIF('AR-SUPPLIER'!$G$8:$G$1048576,'Chart of Accounts'!B8,'AR-SUPPLIER'!$J$8:$J$1048576)</f>
        <v>0</v>
      </c>
    </row>
    <row r="9" spans="1:16" ht="14.65" customHeight="1">
      <c r="B9" s="131">
        <v>10040</v>
      </c>
      <c r="C9" s="122" t="s">
        <v>9</v>
      </c>
      <c r="D9" s="45">
        <f t="shared" ref="D9:D16" si="1">$I9+$K9+$M9+$O9</f>
        <v>9278550</v>
      </c>
      <c r="E9" s="157">
        <f t="shared" ref="E9:E16" si="2">$J9+$L9+$N9+$P9</f>
        <v>0</v>
      </c>
      <c r="F9" s="83"/>
      <c r="G9" s="31">
        <f>'BEGINNING BALANCES'!D8-'BEGINNING BALANCES'!E8+'Chart of Accounts'!D9-'Chart of Accounts'!E9</f>
        <v>9278550</v>
      </c>
      <c r="H9" s="31"/>
      <c r="I9" s="31">
        <f>SUMIF('PAYMENT RECEIPTS'!$H$9:$H$1048576,'Chart of Accounts'!B9,'PAYMENT RECEIPTS'!$J$9:$J$1048576)</f>
        <v>9278550</v>
      </c>
      <c r="J9" s="31">
        <f>SUMIF('PAYMENT RECEIPTS'!$H$9:$H$1048576,'Chart of Accounts'!B9,'PAYMENT RECEIPTS'!$K$9:$K$1048576)</f>
        <v>0</v>
      </c>
      <c r="K9" s="31">
        <f>SUMIF('UPON DELIVERY'!$K$131:$K$1048576,'Chart of Accounts'!B9,'UPON DELIVERY'!$M$131:$M$1048576)</f>
        <v>0</v>
      </c>
      <c r="L9" s="31">
        <f>SUMIF('UPON DELIVERY'!$K$131:$K$1048576,'Chart of Accounts'!B9,'UPON DELIVERY'!$N$131:$N$1048576)</f>
        <v>0</v>
      </c>
      <c r="M9" s="31">
        <f>SUMIF('FUEL INVENTORY'!$H$9:$H$1048576,'Chart of Accounts'!B9,'FUEL INVENTORY'!$J$9:$J$1048576)</f>
        <v>0</v>
      </c>
      <c r="N9" s="31">
        <f>SUMIF('FUEL INVENTORY'!$H$9:$H$1048576,'Chart of Accounts'!B9,'FUEL INVENTORY'!$K$9:$K$1048576)</f>
        <v>0</v>
      </c>
      <c r="O9" s="31">
        <f>SUMIF('AR-SUPPLIER'!$G$8:$G$1048576,'Chart of Accounts'!B9,'AR-SUPPLIER'!$I$8:$I$1048576)</f>
        <v>0</v>
      </c>
      <c r="P9" s="31">
        <f>SUMIF('AR-SUPPLIER'!$G$8:$G$1048576,'Chart of Accounts'!B9,'AR-SUPPLIER'!$J$8:$J$1048576)</f>
        <v>0</v>
      </c>
    </row>
    <row r="10" spans="1:16" ht="14.65" customHeight="1">
      <c r="B10" s="131">
        <v>10030</v>
      </c>
      <c r="C10" s="122" t="s">
        <v>10</v>
      </c>
      <c r="D10" s="45">
        <f t="shared" si="1"/>
        <v>13816245</v>
      </c>
      <c r="E10" s="157">
        <f t="shared" si="2"/>
        <v>0</v>
      </c>
      <c r="F10" s="83"/>
      <c r="G10" s="31">
        <f>'BEGINNING BALANCES'!D9-'BEGINNING BALANCES'!E9+'Chart of Accounts'!D10-'Chart of Accounts'!E10</f>
        <v>13816245</v>
      </c>
      <c r="H10" s="31"/>
      <c r="I10" s="31">
        <f>SUMIF('PAYMENT RECEIPTS'!$H$9:$H$1048576,'Chart of Accounts'!B10,'PAYMENT RECEIPTS'!$J$9:$J$1048576)</f>
        <v>13816245</v>
      </c>
      <c r="J10" s="31">
        <f>SUMIF('PAYMENT RECEIPTS'!$H$9:$H$1048576,'Chart of Accounts'!B10,'PAYMENT RECEIPTS'!$K$9:$K$1048576)</f>
        <v>0</v>
      </c>
      <c r="K10" s="31">
        <f>SUMIF('UPON DELIVERY'!$K$131:$K$1048576,'Chart of Accounts'!B10,'UPON DELIVERY'!$M$131:$M$1048576)</f>
        <v>0</v>
      </c>
      <c r="L10" s="31">
        <f>SUMIF('UPON DELIVERY'!$K$131:$K$1048576,'Chart of Accounts'!B10,'UPON DELIVERY'!$N$131:$N$1048576)</f>
        <v>0</v>
      </c>
      <c r="M10" s="31">
        <f>SUMIF('FUEL INVENTORY'!$H$9:$H$1048576,'Chart of Accounts'!B10,'FUEL INVENTORY'!$J$9:$J$1048576)</f>
        <v>0</v>
      </c>
      <c r="N10" s="31">
        <f>SUMIF('FUEL INVENTORY'!$H$9:$H$1048576,'Chart of Accounts'!B10,'FUEL INVENTORY'!$K$9:$K$1048576)</f>
        <v>0</v>
      </c>
      <c r="O10" s="31">
        <f>SUMIF('AR-SUPPLIER'!$G$8:$G$1048576,'Chart of Accounts'!B10,'AR-SUPPLIER'!$I$8:$I$1048576)</f>
        <v>0</v>
      </c>
      <c r="P10" s="31">
        <f>SUMIF('AR-SUPPLIER'!$G$8:$G$1048576,'Chart of Accounts'!B10,'AR-SUPPLIER'!$J$8:$J$1048576)</f>
        <v>0</v>
      </c>
    </row>
    <row r="11" spans="1:16" ht="14.65" customHeight="1">
      <c r="B11" s="131">
        <v>10080</v>
      </c>
      <c r="C11" s="122" t="s">
        <v>11</v>
      </c>
      <c r="D11" s="45">
        <f t="shared" si="1"/>
        <v>6573948</v>
      </c>
      <c r="E11" s="46">
        <f t="shared" si="2"/>
        <v>0</v>
      </c>
      <c r="F11" s="80"/>
      <c r="G11" s="31">
        <f>'BEGINNING BALANCES'!D10-'BEGINNING BALANCES'!E10+'Chart of Accounts'!D11-'Chart of Accounts'!E11</f>
        <v>6573948</v>
      </c>
      <c r="H11" s="31"/>
      <c r="I11" s="31">
        <f>SUMIF('PAYMENT RECEIPTS'!$H$9:$H$1048576,'Chart of Accounts'!B11,'PAYMENT RECEIPTS'!$J$9:$J$1048576)</f>
        <v>6573948</v>
      </c>
      <c r="J11" s="31">
        <f>SUMIF('PAYMENT RECEIPTS'!$H$9:$H$1048576,'Chart of Accounts'!B11,'PAYMENT RECEIPTS'!$K$9:$K$1048576)</f>
        <v>0</v>
      </c>
      <c r="K11" s="31">
        <f>SUMIF('UPON DELIVERY'!$K$131:$K$1048576,'Chart of Accounts'!B11,'UPON DELIVERY'!$M$131:$M$1048576)</f>
        <v>0</v>
      </c>
      <c r="L11" s="31">
        <f>SUMIF('UPON DELIVERY'!$K$131:$K$1048576,'Chart of Accounts'!B11,'UPON DELIVERY'!$N$131:$N$1048576)</f>
        <v>0</v>
      </c>
      <c r="M11" s="31">
        <f>SUMIF('FUEL INVENTORY'!$H$9:$H$1048576,'Chart of Accounts'!B11,'FUEL INVENTORY'!$J$9:$J$1048576)</f>
        <v>0</v>
      </c>
      <c r="N11" s="31">
        <f>SUMIF('FUEL INVENTORY'!$H$9:$H$1048576,'Chart of Accounts'!B11,'FUEL INVENTORY'!$K$9:$K$1048576)</f>
        <v>0</v>
      </c>
      <c r="O11" s="31">
        <f>SUMIF('AR-SUPPLIER'!$G$8:$G$1048576,'Chart of Accounts'!B11,'AR-SUPPLIER'!$I$8:$I$1048576)</f>
        <v>0</v>
      </c>
      <c r="P11" s="31">
        <f>SUMIF('AR-SUPPLIER'!$G$8:$G$1048576,'Chart of Accounts'!B11,'AR-SUPPLIER'!$J$8:$J$1048576)</f>
        <v>0</v>
      </c>
    </row>
    <row r="12" spans="1:16" ht="14.65" customHeight="1">
      <c r="B12" s="131">
        <v>10020</v>
      </c>
      <c r="C12" s="122" t="s">
        <v>12</v>
      </c>
      <c r="D12" s="45">
        <f t="shared" si="1"/>
        <v>0</v>
      </c>
      <c r="E12" s="46">
        <f t="shared" si="2"/>
        <v>0</v>
      </c>
      <c r="F12" s="80"/>
      <c r="G12" s="31">
        <f>'BEGINNING BALANCES'!D11-'BEGINNING BALANCES'!E11+'Chart of Accounts'!D12-'Chart of Accounts'!E12</f>
        <v>0</v>
      </c>
      <c r="H12" s="31"/>
      <c r="I12" s="31">
        <f>SUMIF('PAYMENT RECEIPTS'!$H$9:$H$1048576,'Chart of Accounts'!B12,'PAYMENT RECEIPTS'!$J$9:$J$1048576)</f>
        <v>0</v>
      </c>
      <c r="J12" s="31">
        <f>SUMIF('PAYMENT RECEIPTS'!$H$9:$H$1048576,'Chart of Accounts'!B12,'PAYMENT RECEIPTS'!$K$9:$K$1048576)</f>
        <v>0</v>
      </c>
      <c r="K12" s="31">
        <f>SUMIF('UPON DELIVERY'!$K$131:$K$1048576,'Chart of Accounts'!B12,'UPON DELIVERY'!$M$131:$M$1048576)</f>
        <v>0</v>
      </c>
      <c r="L12" s="31">
        <f>SUMIF('UPON DELIVERY'!$K$131:$K$1048576,'Chart of Accounts'!B12,'UPON DELIVERY'!$N$131:$N$1048576)</f>
        <v>0</v>
      </c>
      <c r="M12" s="31">
        <f>SUMIF('FUEL INVENTORY'!$H$9:$H$1048576,'Chart of Accounts'!B12,'FUEL INVENTORY'!$J$9:$J$1048576)</f>
        <v>0</v>
      </c>
      <c r="N12" s="31">
        <f>SUMIF('FUEL INVENTORY'!$H$9:$H$1048576,'Chart of Accounts'!B12,'FUEL INVENTORY'!$K$9:$K$1048576)</f>
        <v>0</v>
      </c>
      <c r="O12" s="31">
        <f>SUMIF('AR-SUPPLIER'!$G$8:$G$1048576,'Chart of Accounts'!B12,'AR-SUPPLIER'!$I$8:$I$1048576)</f>
        <v>0</v>
      </c>
      <c r="P12" s="31">
        <f>SUMIF('AR-SUPPLIER'!$G$8:$G$1048576,'Chart of Accounts'!B12,'AR-SUPPLIER'!$J$8:$J$1048576)</f>
        <v>0</v>
      </c>
    </row>
    <row r="13" spans="1:16" ht="14.65" customHeight="1">
      <c r="B13" s="131">
        <v>10060</v>
      </c>
      <c r="C13" s="122" t="s">
        <v>13</v>
      </c>
      <c r="D13" s="45">
        <f t="shared" si="1"/>
        <v>895450</v>
      </c>
      <c r="E13" s="46">
        <f t="shared" si="2"/>
        <v>0</v>
      </c>
      <c r="F13" s="80"/>
      <c r="G13" s="31">
        <f>'BEGINNING BALANCES'!D12-'BEGINNING BALANCES'!E12+'Chart of Accounts'!D13-'Chart of Accounts'!E13</f>
        <v>895450</v>
      </c>
      <c r="H13" s="31"/>
      <c r="I13" s="31">
        <f>SUMIF('PAYMENT RECEIPTS'!$H$9:$H$1048576,'Chart of Accounts'!B13,'PAYMENT RECEIPTS'!$J$9:$J$1048576)</f>
        <v>895450</v>
      </c>
      <c r="J13" s="31">
        <f>SUMIF('PAYMENT RECEIPTS'!$H$9:$H$1048576,'Chart of Accounts'!B13,'PAYMENT RECEIPTS'!$K$9:$K$1048576)</f>
        <v>0</v>
      </c>
      <c r="K13" s="31">
        <f>SUMIF('UPON DELIVERY'!$K$131:$K$1048576,'Chart of Accounts'!B13,'UPON DELIVERY'!$M$131:$M$1048576)</f>
        <v>0</v>
      </c>
      <c r="L13" s="31">
        <f>SUMIF('UPON DELIVERY'!$K$131:$K$1048576,'Chart of Accounts'!B13,'UPON DELIVERY'!$N$131:$N$1048576)</f>
        <v>0</v>
      </c>
      <c r="M13" s="31">
        <f>SUMIF('FUEL INVENTORY'!$H$9:$H$1048576,'Chart of Accounts'!B13,'FUEL INVENTORY'!$J$9:$J$1048576)</f>
        <v>0</v>
      </c>
      <c r="N13" s="31">
        <f>SUMIF('FUEL INVENTORY'!$H$9:$H$1048576,'Chart of Accounts'!B13,'FUEL INVENTORY'!$K$9:$K$1048576)</f>
        <v>0</v>
      </c>
      <c r="O13" s="31">
        <f>SUMIF('AR-SUPPLIER'!$G$8:$G$1048576,'Chart of Accounts'!B13,'AR-SUPPLIER'!$I$8:$I$1048576)</f>
        <v>0</v>
      </c>
      <c r="P13" s="31">
        <f>SUMIF('AR-SUPPLIER'!$G$8:$G$1048576,'Chart of Accounts'!B13,'AR-SUPPLIER'!$J$8:$J$1048576)</f>
        <v>0</v>
      </c>
    </row>
    <row r="14" spans="1:16" ht="14.65" customHeight="1">
      <c r="B14" s="131">
        <v>10050</v>
      </c>
      <c r="C14" s="122" t="s">
        <v>14</v>
      </c>
      <c r="D14" s="45">
        <f t="shared" si="1"/>
        <v>0</v>
      </c>
      <c r="E14" s="46">
        <f t="shared" si="2"/>
        <v>0</v>
      </c>
      <c r="F14" s="80"/>
      <c r="G14" s="31">
        <f>'BEGINNING BALANCES'!D13-'BEGINNING BALANCES'!E13+'Chart of Accounts'!D14-'Chart of Accounts'!E14</f>
        <v>0</v>
      </c>
      <c r="H14" s="31"/>
      <c r="I14" s="31">
        <f>SUMIF('PAYMENT RECEIPTS'!$H$9:$H$1048576,'Chart of Accounts'!B14,'PAYMENT RECEIPTS'!$J$9:$J$1048576)</f>
        <v>0</v>
      </c>
      <c r="J14" s="31">
        <f>SUMIF('PAYMENT RECEIPTS'!$H$9:$H$1048576,'Chart of Accounts'!B14,'PAYMENT RECEIPTS'!$K$9:$K$1048576)</f>
        <v>0</v>
      </c>
      <c r="K14" s="31">
        <f>SUMIF('UPON DELIVERY'!$K$131:$K$1048576,'Chart of Accounts'!B14,'UPON DELIVERY'!$M$131:$M$1048576)</f>
        <v>0</v>
      </c>
      <c r="L14" s="31">
        <f>SUMIF('UPON DELIVERY'!$K$131:$K$1048576,'Chart of Accounts'!B14,'UPON DELIVERY'!$N$131:$N$1048576)</f>
        <v>0</v>
      </c>
      <c r="M14" s="31">
        <f>SUMIF('FUEL INVENTORY'!$H$9:$H$1048576,'Chart of Accounts'!B14,'FUEL INVENTORY'!$J$9:$J$1048576)</f>
        <v>0</v>
      </c>
      <c r="N14" s="31">
        <f>SUMIF('FUEL INVENTORY'!$H$9:$H$1048576,'Chart of Accounts'!B14,'FUEL INVENTORY'!$K$9:$K$1048576)</f>
        <v>0</v>
      </c>
      <c r="O14" s="31">
        <f>SUMIF('AR-SUPPLIER'!$G$8:$G$1048576,'Chart of Accounts'!B14,'AR-SUPPLIER'!$I$8:$I$1048576)</f>
        <v>0</v>
      </c>
      <c r="P14" s="31">
        <f>SUMIF('AR-SUPPLIER'!$G$8:$G$1048576,'Chart of Accounts'!B14,'AR-SUPPLIER'!$J$8:$J$1048576)</f>
        <v>0</v>
      </c>
    </row>
    <row r="15" spans="1:16" ht="14.65" customHeight="1">
      <c r="B15" s="131">
        <v>10110</v>
      </c>
      <c r="C15" s="122" t="s">
        <v>15</v>
      </c>
      <c r="D15" s="45">
        <f t="shared" si="1"/>
        <v>2738575</v>
      </c>
      <c r="E15" s="46">
        <f t="shared" si="2"/>
        <v>0</v>
      </c>
      <c r="F15" s="80"/>
      <c r="G15" s="31">
        <f>'BEGINNING BALANCES'!D14-'BEGINNING BALANCES'!E14+'Chart of Accounts'!D15-'Chart of Accounts'!E15</f>
        <v>2738575</v>
      </c>
      <c r="H15" s="31"/>
      <c r="I15" s="31">
        <f>SUMIF('PAYMENT RECEIPTS'!$H$9:$H$1048576,'Chart of Accounts'!B15,'PAYMENT RECEIPTS'!$J$9:$J$1048576)</f>
        <v>2738575</v>
      </c>
      <c r="J15" s="31">
        <f>SUMIF('PAYMENT RECEIPTS'!$H$9:$H$1048576,'Chart of Accounts'!B15,'PAYMENT RECEIPTS'!$K$9:$K$1048576)</f>
        <v>0</v>
      </c>
      <c r="K15" s="31">
        <f>SUMIF('UPON DELIVERY'!$K$131:$K$1048576,'Chart of Accounts'!B15,'UPON DELIVERY'!$M$131:$M$1048576)</f>
        <v>0</v>
      </c>
      <c r="L15" s="31">
        <f>SUMIF('UPON DELIVERY'!$K$131:$K$1048576,'Chart of Accounts'!B15,'UPON DELIVERY'!$N$131:$N$1048576)</f>
        <v>0</v>
      </c>
      <c r="M15" s="31">
        <f>SUMIF('FUEL INVENTORY'!$H$9:$H$1048576,'Chart of Accounts'!B15,'FUEL INVENTORY'!$J$9:$J$1048576)</f>
        <v>0</v>
      </c>
      <c r="N15" s="31">
        <f>SUMIF('FUEL INVENTORY'!$H$9:$H$1048576,'Chart of Accounts'!B15,'FUEL INVENTORY'!$K$9:$K$1048576)</f>
        <v>0</v>
      </c>
      <c r="O15" s="31">
        <f>SUMIF('AR-SUPPLIER'!$G$8:$G$1048576,'Chart of Accounts'!B15,'AR-SUPPLIER'!$I$8:$I$1048576)</f>
        <v>0</v>
      </c>
      <c r="P15" s="31">
        <f>SUMIF('AR-SUPPLIER'!$G$8:$G$1048576,'Chart of Accounts'!B15,'AR-SUPPLIER'!$J$8:$J$1048576)</f>
        <v>0</v>
      </c>
    </row>
    <row r="16" spans="1:16" ht="14.65" customHeight="1">
      <c r="B16" s="131">
        <v>10070</v>
      </c>
      <c r="C16" s="122" t="s">
        <v>16</v>
      </c>
      <c r="D16" s="45">
        <f t="shared" si="1"/>
        <v>2136840</v>
      </c>
      <c r="E16" s="46">
        <f t="shared" si="2"/>
        <v>0</v>
      </c>
      <c r="F16" s="80"/>
      <c r="G16" s="31">
        <f>'BEGINNING BALANCES'!D15-'BEGINNING BALANCES'!E15+'Chart of Accounts'!D16-'Chart of Accounts'!E16</f>
        <v>2136840</v>
      </c>
      <c r="H16" s="31"/>
      <c r="I16" s="31">
        <f>SUMIF('PAYMENT RECEIPTS'!$H$9:$H$1048576,'Chart of Accounts'!B16,'PAYMENT RECEIPTS'!$J$9:$J$1048576)</f>
        <v>2136840</v>
      </c>
      <c r="J16" s="31">
        <f>SUMIF('PAYMENT RECEIPTS'!$H$9:$H$1048576,'Chart of Accounts'!B16,'PAYMENT RECEIPTS'!$K$9:$K$1048576)</f>
        <v>0</v>
      </c>
      <c r="K16" s="31">
        <f>SUMIF('UPON DELIVERY'!$K$131:$K$1048576,'Chart of Accounts'!B16,'UPON DELIVERY'!$M$131:$M$1048576)</f>
        <v>0</v>
      </c>
      <c r="L16" s="31">
        <f>SUMIF('UPON DELIVERY'!$K$131:$K$1048576,'Chart of Accounts'!B16,'UPON DELIVERY'!$N$131:$N$1048576)</f>
        <v>0</v>
      </c>
      <c r="M16" s="31">
        <f>SUMIF('FUEL INVENTORY'!$H$9:$H$1048576,'Chart of Accounts'!B16,'FUEL INVENTORY'!$J$9:$J$1048576)</f>
        <v>0</v>
      </c>
      <c r="N16" s="31">
        <f>SUMIF('FUEL INVENTORY'!$H$9:$H$1048576,'Chart of Accounts'!B16,'FUEL INVENTORY'!$K$9:$K$1048576)</f>
        <v>0</v>
      </c>
      <c r="O16" s="31">
        <f>SUMIF('AR-SUPPLIER'!$G$8:$G$1048576,'Chart of Accounts'!B16,'AR-SUPPLIER'!$I$8:$I$1048576)</f>
        <v>0</v>
      </c>
      <c r="P16" s="31">
        <f>SUMIF('AR-SUPPLIER'!$G$8:$G$1048576,'Chart of Accounts'!B16,'AR-SUPPLIER'!$J$8:$J$1048576)</f>
        <v>0</v>
      </c>
    </row>
    <row r="17" spans="1:16" ht="14.65" customHeight="1">
      <c r="B17" s="121"/>
      <c r="C17" s="121"/>
      <c r="D17" s="45"/>
      <c r="E17" s="46"/>
      <c r="F17" s="80"/>
      <c r="G17" s="31">
        <f>'BEGINNING BALANCES'!D16-'BEGINNING BALANCES'!E16+'Chart of Accounts'!D17-'Chart of Accounts'!E17</f>
        <v>0</v>
      </c>
      <c r="I17" s="31">
        <f>SUMIF('PAYMENT RECEIPTS'!$H$9:$H$1048576,'Chart of Accounts'!B17,'PAYMENT RECEIPTS'!$J$9:$J$1048576)</f>
        <v>0</v>
      </c>
      <c r="J17" s="31">
        <f>SUMIF('PAYMENT RECEIPTS'!$H$9:$H$1048576,'Chart of Accounts'!B17,'PAYMENT RECEIPTS'!$K$9:$K$1048576)</f>
        <v>0</v>
      </c>
      <c r="K17" s="31">
        <f>SUMIF('UPON DELIVERY'!$K$131:$K$1048576,'Chart of Accounts'!B17,'UPON DELIVERY'!$M$131:$M$1048576)</f>
        <v>0</v>
      </c>
      <c r="L17" s="31">
        <f>SUMIF('UPON DELIVERY'!$K$131:$K$1048576,'Chart of Accounts'!B17,'UPON DELIVERY'!$N$131:$N$1048576)</f>
        <v>0</v>
      </c>
      <c r="M17" s="31">
        <f>SUMIF('FUEL INVENTORY'!$H$9:$H$1048576,'Chart of Accounts'!B17,'FUEL INVENTORY'!$J$9:$J$1048576)</f>
        <v>0</v>
      </c>
      <c r="N17" s="31">
        <f>SUMIF('FUEL INVENTORY'!$H$9:$H$1048576,'Chart of Accounts'!B17,'FUEL INVENTORY'!$K$9:$K$1048576)</f>
        <v>0</v>
      </c>
      <c r="O17" s="31">
        <f>SUMIF('AR-SUPPLIER'!$G$8:$G$1048576,'Chart of Accounts'!B17,'AR-SUPPLIER'!$I$8:$I$1048576)</f>
        <v>0</v>
      </c>
      <c r="P17" s="31">
        <f>SUMIF('AR-SUPPLIER'!$G$8:$G$1048576,'Chart of Accounts'!B17,'AR-SUPPLIER'!$J$8:$J$1048576)</f>
        <v>0</v>
      </c>
    </row>
    <row r="18" spans="1:16" ht="14.65" customHeight="1">
      <c r="B18" s="130">
        <v>1200</v>
      </c>
      <c r="C18" s="120" t="s">
        <v>17</v>
      </c>
      <c r="D18" s="40"/>
      <c r="E18" s="40"/>
    </row>
    <row r="19" spans="1:16" ht="14.65" hidden="1" customHeight="1">
      <c r="A19" s="22"/>
      <c r="B19" s="123">
        <v>12030</v>
      </c>
      <c r="C19" s="123" t="s">
        <v>18</v>
      </c>
      <c r="D19" s="40"/>
      <c r="E19" s="40"/>
    </row>
    <row r="20" spans="1:16" ht="14.65" hidden="1" customHeight="1">
      <c r="A20" s="22"/>
      <c r="B20" s="123">
        <v>12040</v>
      </c>
      <c r="C20" s="123" t="s">
        <v>19</v>
      </c>
      <c r="D20" s="40"/>
      <c r="E20" s="40"/>
    </row>
    <row r="21" spans="1:16" ht="14.65" customHeight="1">
      <c r="A21" s="22"/>
      <c r="B21" s="121"/>
      <c r="C21" s="121"/>
      <c r="D21" s="40"/>
      <c r="E21" s="40"/>
    </row>
    <row r="22" spans="1:16" ht="14.65" customHeight="1">
      <c r="A22" s="22"/>
      <c r="B22" s="38">
        <v>1200</v>
      </c>
      <c r="C22" s="39" t="s">
        <v>17</v>
      </c>
      <c r="D22" s="45">
        <f>I22+K22+M22+O22</f>
        <v>0</v>
      </c>
      <c r="E22" s="46">
        <f t="shared" ref="E22:E29" si="3">$J22+$L22+$N22+$P22</f>
        <v>0</v>
      </c>
      <c r="F22" s="80"/>
      <c r="G22" s="31">
        <f>'BEGINNING BALANCES'!D24-'BEGINNING BALANCES'!E24+'Chart of Accounts'!D22-'Chart of Accounts'!E22</f>
        <v>0</v>
      </c>
      <c r="H22" s="31"/>
      <c r="I22" s="31">
        <f>SUMIF('PAYMENT RECEIPTS'!$H$9:$H$1048576,'Chart of Accounts'!B22,'PAYMENT RECEIPTS'!$J$9:$J$1048576)</f>
        <v>0</v>
      </c>
      <c r="J22" s="31">
        <f>SUMIF('PAYMENT RECEIPTS'!$H$9:$H$1048576,'Chart of Accounts'!B22,'PAYMENT RECEIPTS'!$K$9:$K$1048576)</f>
        <v>0</v>
      </c>
      <c r="K22" s="31">
        <f>SUMIF('UPON DELIVERY'!$K$131:$K$1048576,'Chart of Accounts'!B22,'UPON DELIVERY'!$M$131:$M$1048576)</f>
        <v>0</v>
      </c>
      <c r="L22" s="31">
        <f>SUMIF('UPON DELIVERY'!$K$131:$K$1048576,'Chart of Accounts'!B22,'UPON DELIVERY'!$N$131:$N$1048576)</f>
        <v>0</v>
      </c>
      <c r="M22" s="31">
        <f>SUMIF('FUEL INVENTORY'!$H$9:$H$1048576,'Chart of Accounts'!B22,'FUEL INVENTORY'!$J$9:$J$1048576)</f>
        <v>0</v>
      </c>
      <c r="N22" s="31">
        <f>SUMIF('FUEL INVENTORY'!$H$9:$H$1048576,'Chart of Accounts'!B22,'FUEL INVENTORY'!$K$9:$K$1048576)</f>
        <v>0</v>
      </c>
      <c r="O22" s="31">
        <f>SUMIF('AR-SUPPLIER'!$G$8:$G$1048576,'Chart of Accounts'!B22,'AR-SUPPLIER'!$I$8:$I$1048576)</f>
        <v>0</v>
      </c>
      <c r="P22" s="31">
        <f>SUMIF('AR-SUPPLIER'!$G$8:$G$1048576,'Chart of Accounts'!B22,'AR-SUPPLIER'!$J$8:$J$1048576)</f>
        <v>0</v>
      </c>
    </row>
    <row r="23" spans="1:16" ht="14.65" customHeight="1">
      <c r="A23" s="22"/>
      <c r="B23" s="38">
        <v>12020</v>
      </c>
      <c r="C23" s="44" t="s">
        <v>83</v>
      </c>
      <c r="D23" s="45"/>
      <c r="E23" s="46"/>
      <c r="F23" s="80"/>
      <c r="G23" s="31"/>
      <c r="H23" s="31"/>
      <c r="I23" s="31"/>
      <c r="J23" s="31"/>
      <c r="K23" s="31"/>
      <c r="L23" s="31"/>
      <c r="M23" s="31"/>
      <c r="N23" s="31"/>
      <c r="O23" s="31"/>
      <c r="P23" s="31"/>
    </row>
    <row r="24" spans="1:16" ht="14.65" customHeight="1">
      <c r="A24" s="22"/>
      <c r="B24" s="43">
        <v>12030</v>
      </c>
      <c r="C24" s="44" t="s">
        <v>18</v>
      </c>
      <c r="D24" s="72">
        <f t="shared" ref="D24:D29" si="4">$I24+$K24+$M24+$O24</f>
        <v>2351412</v>
      </c>
      <c r="E24" s="46">
        <f t="shared" si="3"/>
        <v>2642050</v>
      </c>
      <c r="F24" s="80"/>
      <c r="G24" s="31">
        <f>'BEGINNING BALANCES'!D25-'BEGINNING BALANCES'!E25+'Chart of Accounts'!D24-'Chart of Accounts'!E24</f>
        <v>-290638</v>
      </c>
      <c r="H24" s="31"/>
      <c r="I24" s="31">
        <f>SUMIF('PAYMENT RECEIPTS'!$H$9:$H$1048576,'Chart of Accounts'!B24,'PAYMENT RECEIPTS'!$J$9:$J$1048576)</f>
        <v>0</v>
      </c>
      <c r="J24" s="31">
        <f>SUMIF('PAYMENT RECEIPTS'!$H$9:$H$1048576,'Chart of Accounts'!B24,'PAYMENT RECEIPTS'!$K$9:$K$1048576)</f>
        <v>2642050</v>
      </c>
      <c r="K24" s="31">
        <f>SUMIF('UPON DELIVERY'!$K$131:$K$1048576,'Chart of Accounts'!B24,'UPON DELIVERY'!$M$131:$M$1048576)</f>
        <v>2351412</v>
      </c>
      <c r="L24" s="31">
        <f>SUMIF('UPON DELIVERY'!$K$131:$K$1048576,'Chart of Accounts'!B24,'UPON DELIVERY'!$N$131:$N$1048576)</f>
        <v>0</v>
      </c>
      <c r="M24" s="31">
        <f>SUMIF('FUEL INVENTORY'!$H$9:$H$1048576,'Chart of Accounts'!B24,'FUEL INVENTORY'!$J$9:$J$1048576)</f>
        <v>0</v>
      </c>
      <c r="N24" s="31">
        <f>SUMIF('FUEL INVENTORY'!$H$9:$H$1048576,'Chart of Accounts'!B24,'FUEL INVENTORY'!$K$9:$K$1048576)</f>
        <v>0</v>
      </c>
      <c r="O24" s="31">
        <f>SUMIF('AR-SUPPLIER'!$G$8:$G$1048576,'Chart of Accounts'!B24,'AR-SUPPLIER'!$I$8:$I$1048576)</f>
        <v>0</v>
      </c>
      <c r="P24" s="31">
        <f>SUMIF('AR-SUPPLIER'!$G$8:$G$1048576,'Chart of Accounts'!B24,'AR-SUPPLIER'!$J$8:$J$1048576)</f>
        <v>0</v>
      </c>
    </row>
    <row r="25" spans="1:16" ht="14.65" customHeight="1">
      <c r="A25" s="22"/>
      <c r="B25" s="43">
        <v>12040</v>
      </c>
      <c r="C25" s="44" t="s">
        <v>19</v>
      </c>
      <c r="D25" s="72">
        <f t="shared" si="4"/>
        <v>0</v>
      </c>
      <c r="E25" s="46">
        <f t="shared" si="3"/>
        <v>0</v>
      </c>
      <c r="F25" s="80"/>
      <c r="G25" s="31">
        <f>'BEGINNING BALANCES'!D26-'BEGINNING BALANCES'!E26+'Chart of Accounts'!D25-'Chart of Accounts'!E25</f>
        <v>0</v>
      </c>
      <c r="H25" s="31"/>
      <c r="I25" s="31">
        <f>SUMIF('PAYMENT RECEIPTS'!$H$9:$H$1048576,'Chart of Accounts'!B25,'PAYMENT RECEIPTS'!$J$9:$J$1048576)</f>
        <v>0</v>
      </c>
      <c r="J25" s="31">
        <f>SUMIF('PAYMENT RECEIPTS'!$H$9:$H$1048576,'Chart of Accounts'!B25,'PAYMENT RECEIPTS'!$K$9:$K$1048576)</f>
        <v>0</v>
      </c>
      <c r="K25" s="31">
        <f>SUMIF('UPON DELIVERY'!$K$131:$K$1048576,'Chart of Accounts'!B25,'UPON DELIVERY'!$M$131:$M$1048576)</f>
        <v>0</v>
      </c>
      <c r="L25" s="31">
        <f>SUMIF('UPON DELIVERY'!$K$131:$K$1048576,'Chart of Accounts'!B25,'UPON DELIVERY'!$N$131:$N$1048576)</f>
        <v>0</v>
      </c>
      <c r="M25" s="31">
        <f>SUMIF('FUEL INVENTORY'!$H$9:$H$1048576,'Chart of Accounts'!B25,'FUEL INVENTORY'!$J$9:$J$1048576)</f>
        <v>0</v>
      </c>
      <c r="N25" s="31">
        <f>SUMIF('FUEL INVENTORY'!$H$9:$H$1048576,'Chart of Accounts'!B25,'FUEL INVENTORY'!$K$9:$K$1048576)</f>
        <v>0</v>
      </c>
      <c r="O25" s="31">
        <f>SUMIF('AR-SUPPLIER'!$G$8:$G$1048576,'Chart of Accounts'!B25,'AR-SUPPLIER'!$I$8:$I$1048576)</f>
        <v>0</v>
      </c>
      <c r="P25" s="31">
        <f>SUMIF('AR-SUPPLIER'!$G$8:$G$1048576,'Chart of Accounts'!B25,'AR-SUPPLIER'!$J$8:$J$1048576)</f>
        <v>0</v>
      </c>
    </row>
    <row r="26" spans="1:16" ht="14.65" customHeight="1">
      <c r="A26" s="22"/>
      <c r="B26" s="43">
        <v>15500</v>
      </c>
      <c r="C26" s="44" t="s">
        <v>20</v>
      </c>
      <c r="D26" s="72">
        <f t="shared" si="4"/>
        <v>2241352</v>
      </c>
      <c r="E26" s="46">
        <f t="shared" si="3"/>
        <v>0</v>
      </c>
      <c r="F26" s="80"/>
      <c r="G26" s="31">
        <f>'BEGINNING BALANCES'!D27-'BEGINNING BALANCES'!E27+'Chart of Accounts'!D26-'Chart of Accounts'!E26</f>
        <v>2241352</v>
      </c>
      <c r="H26" s="31"/>
      <c r="I26" s="31">
        <f>SUMIF('PAYMENT RECEIPTS'!$H$9:$H$1048576,'Chart of Accounts'!B26,'PAYMENT RECEIPTS'!$J$9:$J$1048576)</f>
        <v>2241352</v>
      </c>
      <c r="J26" s="31">
        <f>SUMIF('PAYMENT RECEIPTS'!$H$9:$H$1048576,'Chart of Accounts'!B26,'PAYMENT RECEIPTS'!$K$9:$K$1048576)</f>
        <v>0</v>
      </c>
      <c r="K26" s="31">
        <f>SUMIF('UPON DELIVERY'!$K$131:$K$1048576,'Chart of Accounts'!B26,'UPON DELIVERY'!$M$131:$M$1048576)</f>
        <v>0</v>
      </c>
      <c r="L26" s="31">
        <f>SUMIF('UPON DELIVERY'!$K$131:$K$1048576,'Chart of Accounts'!B26,'UPON DELIVERY'!$N$131:$N$1048576)</f>
        <v>0</v>
      </c>
      <c r="M26" s="31">
        <f>SUMIF('FUEL INVENTORY'!$H$9:$H$1048576,'Chart of Accounts'!B26,'FUEL INVENTORY'!$J$9:$J$1048576)</f>
        <v>0</v>
      </c>
      <c r="N26" s="31">
        <f>SUMIF('FUEL INVENTORY'!$H$9:$H$1048576,'Chart of Accounts'!B26,'FUEL INVENTORY'!$K$9:$K$1048576)</f>
        <v>0</v>
      </c>
      <c r="O26" s="31">
        <f>SUMIF('AR-SUPPLIER'!$G$8:$G$1048576,'Chart of Accounts'!B26,'AR-SUPPLIER'!$I$8:$I$1048576)</f>
        <v>0</v>
      </c>
      <c r="P26" s="31">
        <f>SUMIF('AR-SUPPLIER'!$G$8:$G$1048576,'Chart of Accounts'!B26,'AR-SUPPLIER'!$J$8:$J$1048576)</f>
        <v>0</v>
      </c>
    </row>
    <row r="27" spans="1:16" ht="14.65" customHeight="1">
      <c r="A27" s="22"/>
      <c r="B27" s="38">
        <v>1300</v>
      </c>
      <c r="C27" s="39" t="s">
        <v>21</v>
      </c>
      <c r="D27" s="45">
        <f t="shared" si="4"/>
        <v>0</v>
      </c>
      <c r="E27" s="46">
        <f t="shared" si="3"/>
        <v>0</v>
      </c>
      <c r="F27" s="80"/>
      <c r="I27" s="31">
        <f>SUMIF('PAYMENT RECEIPTS'!$H$9:$H$1048576,'Chart of Accounts'!B27,'PAYMENT RECEIPTS'!$J$9:$J$1048576)</f>
        <v>0</v>
      </c>
      <c r="J27" s="31">
        <f>SUMIF('PAYMENT RECEIPTS'!$H$9:$H$1048576,'Chart of Accounts'!B27,'PAYMENT RECEIPTS'!$K$9:$K$1048576)</f>
        <v>0</v>
      </c>
      <c r="K27" s="31">
        <f>SUMIF('UPON DELIVERY'!$K$131:$K$1048576,'Chart of Accounts'!B27,'UPON DELIVERY'!$M$131:$M$1048576)</f>
        <v>0</v>
      </c>
      <c r="L27" s="31">
        <f>SUMIF('UPON DELIVERY'!$K$131:$K$1048576,'Chart of Accounts'!B27,'UPON DELIVERY'!$N$131:$N$1048576)</f>
        <v>0</v>
      </c>
      <c r="M27" s="70">
        <f>SUMIF('FUEL INVENTORY'!$H$9:$H$1048576,'Chart of Accounts'!B27,'FUEL INVENTORY'!$J$9:$J$1048576)</f>
        <v>0</v>
      </c>
      <c r="N27" s="70">
        <f>SUMIF('FUEL INVENTORY'!$H$9:$H$1048576,'Chart of Accounts'!B27,'FUEL INVENTORY'!$K$9:$K$1048576)</f>
        <v>0</v>
      </c>
      <c r="O27" s="31">
        <f>SUMIF('AR-SUPPLIER'!$G$8:$G$1048576,'Chart of Accounts'!B27,'AR-SUPPLIER'!$I$8:$I$1048576)</f>
        <v>0</v>
      </c>
      <c r="P27" s="31">
        <f>SUMIF('AR-SUPPLIER'!$G$8:$G$1048576,'Chart of Accounts'!B27,'AR-SUPPLIER'!$J$8:$J$1048576)</f>
        <v>0</v>
      </c>
    </row>
    <row r="28" spans="1:16" ht="14.65" customHeight="1">
      <c r="A28" s="22"/>
      <c r="B28" s="43">
        <v>13000</v>
      </c>
      <c r="C28" s="44" t="s">
        <v>22</v>
      </c>
      <c r="D28" s="45">
        <f t="shared" si="4"/>
        <v>0</v>
      </c>
      <c r="E28" s="46">
        <f t="shared" si="3"/>
        <v>0</v>
      </c>
      <c r="F28" s="80"/>
      <c r="G28" s="31">
        <f>'BEGINNING BALANCES'!D29-'BEGINNING BALANCES'!E29+'Chart of Accounts'!D28-'Chart of Accounts'!E28</f>
        <v>0</v>
      </c>
      <c r="H28" s="31"/>
      <c r="I28" s="31">
        <f>SUMIF('PAYMENT RECEIPTS'!$H$9:$H$1048576,'Chart of Accounts'!B28,'PAYMENT RECEIPTS'!$J$9:$J$1048576)</f>
        <v>0</v>
      </c>
      <c r="J28" s="31">
        <f>SUMIF('PAYMENT RECEIPTS'!$H$9:$H$1048576,'Chart of Accounts'!B28,'PAYMENT RECEIPTS'!$K$9:$K$1048576)</f>
        <v>0</v>
      </c>
      <c r="K28" s="31">
        <f>SUMIF('UPON DELIVERY'!$K$131:$K$1048576,'Chart of Accounts'!B28,'UPON DELIVERY'!$M$131:$M$1048576)</f>
        <v>0</v>
      </c>
      <c r="L28" s="31">
        <f>SUMIF('UPON DELIVERY'!$K$131:$K$1048576,'Chart of Accounts'!B28,'UPON DELIVERY'!$N$131:$N$1048576)</f>
        <v>0</v>
      </c>
      <c r="M28" s="31">
        <f>SUMIF('FUEL INVENTORY'!$H$9:$H$1048576,'Chart of Accounts'!B28,'FUEL INVENTORY'!$J$9:$J$1048576)</f>
        <v>0</v>
      </c>
      <c r="N28" s="31">
        <f>SUMIF('FUEL INVENTORY'!$H$9:$H$1048576,'Chart of Accounts'!B28,'FUEL INVENTORY'!$K$9:$K$1048576)</f>
        <v>0</v>
      </c>
      <c r="O28" s="31">
        <f>SUMIF('AR-SUPPLIER'!$G$8:$G$1048576,'Chart of Accounts'!B28,'AR-SUPPLIER'!$I$8:$I$1048576)</f>
        <v>0</v>
      </c>
      <c r="P28" s="31">
        <f>SUMIF('AR-SUPPLIER'!$G$8:$G$1048576,'Chart of Accounts'!B28,'AR-SUPPLIER'!$J$8:$J$1048576)</f>
        <v>0</v>
      </c>
    </row>
    <row r="29" spans="1:16" ht="14.65" customHeight="1">
      <c r="A29" s="22"/>
      <c r="B29" s="43">
        <v>13010</v>
      </c>
      <c r="C29" s="44" t="s">
        <v>23</v>
      </c>
      <c r="D29" s="45">
        <f t="shared" si="4"/>
        <v>0</v>
      </c>
      <c r="E29" s="46">
        <f t="shared" si="3"/>
        <v>0</v>
      </c>
      <c r="F29" s="80"/>
      <c r="G29" s="31">
        <f>'BEGINNING BALANCES'!D30-'BEGINNING BALANCES'!E30+'Chart of Accounts'!D29-'Chart of Accounts'!E29</f>
        <v>0</v>
      </c>
      <c r="H29" s="31"/>
      <c r="I29" s="31">
        <f>SUMIF('PAYMENT RECEIPTS'!$H$9:$H$1048576,'Chart of Accounts'!B29,'PAYMENT RECEIPTS'!$J$9:$J$1048576)</f>
        <v>0</v>
      </c>
      <c r="J29" s="31">
        <f>SUMIF('PAYMENT RECEIPTS'!$H$9:$H$1048576,'Chart of Accounts'!B29,'PAYMENT RECEIPTS'!$K$9:$K$1048576)</f>
        <v>0</v>
      </c>
      <c r="K29" s="31">
        <f>SUMIF('UPON DELIVERY'!$K$131:$K$1048576,'Chart of Accounts'!B29,'UPON DELIVERY'!$M$131:$M$1048576)</f>
        <v>0</v>
      </c>
      <c r="L29" s="31">
        <f>SUMIF('UPON DELIVERY'!$K$131:$K$1048576,'Chart of Accounts'!B29,'UPON DELIVERY'!$N$131:$N$1048576)</f>
        <v>0</v>
      </c>
      <c r="M29" s="31">
        <f>SUMIF('FUEL INVENTORY'!$H$9:$H$1048576,'Chart of Accounts'!B29,'FUEL INVENTORY'!$J$9:$J$1048576)</f>
        <v>0</v>
      </c>
      <c r="N29" s="31">
        <f>SUMIF('FUEL INVENTORY'!$H$9:$H$1048576,'Chart of Accounts'!B29,'FUEL INVENTORY'!$K$9:$K$1048576)</f>
        <v>0</v>
      </c>
      <c r="O29" s="31">
        <f>SUMIF('AR-SUPPLIER'!$G$8:$G$1048576,'Chart of Accounts'!B29,'AR-SUPPLIER'!$I$8:$I$1048576)</f>
        <v>0</v>
      </c>
      <c r="P29" s="31">
        <f>SUMIF('AR-SUPPLIER'!$G$8:$G$1048576,'Chart of Accounts'!B29,'AR-SUPPLIER'!$J$8:$J$1048576)</f>
        <v>0</v>
      </c>
    </row>
    <row r="30" spans="1:16" ht="14.65" customHeight="1">
      <c r="A30" s="22"/>
      <c r="B30" s="43">
        <v>13020</v>
      </c>
      <c r="C30" s="44" t="s">
        <v>24</v>
      </c>
      <c r="D30" s="40"/>
      <c r="E30" s="40"/>
      <c r="G30" s="31">
        <f>'BEGINNING BALANCES'!D31-'BEGINNING BALANCES'!E31+'Chart of Accounts'!D30-'Chart of Accounts'!E30</f>
        <v>0</v>
      </c>
      <c r="H30" s="31"/>
      <c r="I30" s="31">
        <f>SUMIF('PAYMENT RECEIPTS'!$H$9:$H$1048576,'Chart of Accounts'!B30,'PAYMENT RECEIPTS'!$J$9:$J$1048576)</f>
        <v>0</v>
      </c>
      <c r="J30" s="31">
        <f>SUMIF('PAYMENT RECEIPTS'!$H$9:$H$1048576,'Chart of Accounts'!B30,'PAYMENT RECEIPTS'!$K$9:$K$1048576)</f>
        <v>0</v>
      </c>
      <c r="K30" s="31">
        <f>SUMIF('UPON DELIVERY'!$K$131:$K$1048576,'Chart of Accounts'!B30,'UPON DELIVERY'!$M$131:$M$1048576)</f>
        <v>0</v>
      </c>
      <c r="L30" s="31">
        <f>SUMIF('UPON DELIVERY'!$K$131:$K$1048576,'Chart of Accounts'!B30,'UPON DELIVERY'!$N$131:$N$1048576)</f>
        <v>0</v>
      </c>
      <c r="M30" s="31">
        <f>SUMIF('FUEL INVENTORY'!$H$9:$H$1048576,'Chart of Accounts'!B30,'FUEL INVENTORY'!$J$9:$J$1048576)</f>
        <v>0</v>
      </c>
      <c r="N30" s="31">
        <f>SUMIF('FUEL INVENTORY'!$H$9:$H$1048576,'Chart of Accounts'!B30,'FUEL INVENTORY'!$K$9:$K$1048576)</f>
        <v>0</v>
      </c>
      <c r="O30" s="31">
        <f>SUMIF('AR-SUPPLIER'!$G$8:$G$1048576,'Chart of Accounts'!B30,'AR-SUPPLIER'!$I$8:$I$1048576)</f>
        <v>0</v>
      </c>
      <c r="P30" s="31">
        <f>SUMIF('AR-SUPPLIER'!$G$8:$G$1048576,'Chart of Accounts'!B30,'AR-SUPPLIER'!$J$8:$J$1048576)</f>
        <v>0</v>
      </c>
    </row>
    <row r="31" spans="1:16" ht="14.65" hidden="1" customHeight="1">
      <c r="A31" s="22"/>
      <c r="B31" s="41"/>
      <c r="C31" s="42"/>
      <c r="D31" s="40"/>
      <c r="E31" s="40"/>
    </row>
    <row r="32" spans="1:16" ht="14.65" hidden="1" customHeight="1">
      <c r="A32" s="22"/>
      <c r="B32" s="38">
        <v>1400</v>
      </c>
      <c r="C32" s="39" t="s">
        <v>84</v>
      </c>
      <c r="D32" s="40"/>
      <c r="E32" s="40"/>
    </row>
    <row r="33" spans="1:5" ht="14.65" hidden="1" customHeight="1">
      <c r="A33" s="22"/>
      <c r="B33" s="41">
        <v>1410</v>
      </c>
      <c r="C33" s="42" t="s">
        <v>85</v>
      </c>
      <c r="D33" s="40"/>
      <c r="E33" s="40"/>
    </row>
    <row r="34" spans="1:5" ht="14.65" customHeight="1">
      <c r="A34" s="22"/>
      <c r="B34" s="41"/>
      <c r="C34" s="42"/>
      <c r="D34" s="40"/>
      <c r="E34" s="40"/>
    </row>
    <row r="35" spans="1:5" ht="14.65" hidden="1" customHeight="1">
      <c r="A35" s="22"/>
      <c r="B35" s="41"/>
      <c r="C35" s="42"/>
      <c r="D35" s="40"/>
      <c r="E35" s="40"/>
    </row>
    <row r="36" spans="1:5" ht="14.65" hidden="1" customHeight="1">
      <c r="A36" s="22"/>
      <c r="B36" s="38"/>
      <c r="C36" s="39"/>
      <c r="D36" s="40"/>
      <c r="E36" s="40"/>
    </row>
    <row r="37" spans="1:5" ht="14.65" hidden="1" customHeight="1">
      <c r="A37" s="22"/>
      <c r="B37" s="41"/>
      <c r="C37" s="42"/>
      <c r="D37" s="40"/>
      <c r="E37" s="40"/>
    </row>
    <row r="38" spans="1:5" ht="14.65" hidden="1" customHeight="1">
      <c r="A38" s="22"/>
      <c r="B38" s="41"/>
      <c r="C38" s="42"/>
      <c r="D38" s="40"/>
      <c r="E38" s="40"/>
    </row>
    <row r="39" spans="1:5" ht="14.65" hidden="1" customHeight="1">
      <c r="A39" s="22"/>
      <c r="B39" s="41"/>
      <c r="C39" s="42"/>
      <c r="D39" s="40"/>
      <c r="E39" s="40"/>
    </row>
    <row r="40" spans="1:5" ht="14.65" hidden="1" customHeight="1">
      <c r="A40" s="22"/>
      <c r="B40" s="41"/>
      <c r="C40" s="42"/>
      <c r="D40" s="40"/>
      <c r="E40" s="40"/>
    </row>
    <row r="41" spans="1:5" ht="14.65" hidden="1" customHeight="1">
      <c r="A41" s="22"/>
      <c r="B41" s="41"/>
      <c r="C41" s="42"/>
      <c r="D41" s="40"/>
      <c r="E41" s="40"/>
    </row>
    <row r="42" spans="1:5" ht="14.65" hidden="1" customHeight="1">
      <c r="A42" s="22"/>
      <c r="B42" s="41"/>
      <c r="C42" s="42"/>
      <c r="D42" s="40"/>
      <c r="E42" s="40"/>
    </row>
    <row r="43" spans="1:5" ht="14.65" hidden="1" customHeight="1">
      <c r="A43" s="22"/>
      <c r="B43" s="38"/>
      <c r="C43" s="39"/>
      <c r="D43" s="40"/>
      <c r="E43" s="40"/>
    </row>
    <row r="44" spans="1:5" ht="14.65" hidden="1" customHeight="1">
      <c r="A44" s="22"/>
      <c r="B44" s="38"/>
      <c r="C44" s="39"/>
      <c r="D44" s="40"/>
      <c r="E44" s="40"/>
    </row>
    <row r="45" spans="1:5" ht="14.65" hidden="1" customHeight="1">
      <c r="A45" s="22"/>
      <c r="B45" s="41"/>
      <c r="C45" s="42"/>
      <c r="D45" s="40"/>
      <c r="E45" s="40"/>
    </row>
    <row r="46" spans="1:5" ht="14.65" hidden="1" customHeight="1">
      <c r="A46" s="22"/>
      <c r="B46" s="41"/>
      <c r="C46" s="42"/>
      <c r="D46" s="40"/>
      <c r="E46" s="40"/>
    </row>
    <row r="47" spans="1:5" ht="14.65" hidden="1" customHeight="1">
      <c r="A47" s="22"/>
      <c r="B47" s="41"/>
      <c r="C47" s="42"/>
      <c r="D47" s="40"/>
      <c r="E47" s="40"/>
    </row>
    <row r="48" spans="1:5" ht="14.65" customHeight="1">
      <c r="A48" s="22"/>
      <c r="B48" s="41"/>
      <c r="C48" s="42"/>
      <c r="D48" s="40"/>
      <c r="E48" s="40"/>
    </row>
    <row r="49" spans="1:16" ht="14.65" customHeight="1">
      <c r="A49" s="22"/>
      <c r="B49" s="41"/>
      <c r="C49" s="42"/>
      <c r="D49" s="40"/>
      <c r="E49" s="40"/>
    </row>
    <row r="50" spans="1:16" ht="14.65" customHeight="1">
      <c r="A50" s="22"/>
      <c r="B50" s="38">
        <v>2000</v>
      </c>
      <c r="C50" s="39" t="s">
        <v>25</v>
      </c>
      <c r="D50" s="40"/>
      <c r="E50" s="40"/>
    </row>
    <row r="51" spans="1:16" ht="14.65" customHeight="1">
      <c r="A51" s="22"/>
      <c r="B51" s="41"/>
      <c r="C51" s="42"/>
      <c r="D51" s="40"/>
      <c r="E51" s="40"/>
    </row>
    <row r="52" spans="1:16" ht="14.65" customHeight="1">
      <c r="A52" s="22"/>
      <c r="B52" s="38">
        <v>2100</v>
      </c>
      <c r="C52" s="39" t="s">
        <v>26</v>
      </c>
      <c r="D52" s="45"/>
      <c r="E52" s="46"/>
      <c r="F52" s="80"/>
      <c r="G52" s="31"/>
      <c r="H52" s="31"/>
      <c r="I52" s="31">
        <f>SUMIF('PAYMENT RECEIPTS'!$H$9:$H$1048576,'Chart of Accounts'!B52,'PAYMENT RECEIPTS'!$J$9:$J$1048576)</f>
        <v>0</v>
      </c>
      <c r="J52" s="31">
        <f>SUMIF('PAYMENT RECEIPTS'!$H$9:$H$1048576,'Chart of Accounts'!B52,'PAYMENT RECEIPTS'!$K$9:$K$1048576)</f>
        <v>0</v>
      </c>
      <c r="K52" s="31">
        <f>SUMIF('UPON DELIVERY'!$K$131:$K$1048576,'Chart of Accounts'!B52,'UPON DELIVERY'!$M$131:$M$1048576)</f>
        <v>0</v>
      </c>
      <c r="L52" s="31">
        <f>SUMIF('UPON DELIVERY'!$K$131:$K$1048576,'Chart of Accounts'!B52,'UPON DELIVERY'!$N$131:$N$1048576)</f>
        <v>0</v>
      </c>
      <c r="M52" s="70">
        <f>SUMIF('FUEL INVENTORY'!$H$9:$H$1048576,'Chart of Accounts'!B52,'FUEL INVENTORY'!$J$9:$J$1048576)</f>
        <v>0</v>
      </c>
      <c r="N52" s="70">
        <f>SUMIF('FUEL INVENTORY'!$H$9:$H$1048576,'Chart of Accounts'!B52,'FUEL INVENTORY'!$K$9:$K$1048576)</f>
        <v>0</v>
      </c>
      <c r="O52" s="31">
        <f>SUMIF('AR-SUPPLIER'!$G$8:$G$1048576,'Chart of Accounts'!B52,'AR-SUPPLIER'!$I$8:$I$1048576)</f>
        <v>0</v>
      </c>
      <c r="P52" s="31">
        <f>SUMIF('AR-SUPPLIER'!$G$8:$G$1048576,'Chart of Accounts'!B52,'AR-SUPPLIER'!$J$8:$J$1048576)</f>
        <v>0</v>
      </c>
    </row>
    <row r="53" spans="1:16" ht="14.65" hidden="1" customHeight="1">
      <c r="A53" s="22"/>
      <c r="B53" s="43">
        <v>21000</v>
      </c>
      <c r="C53" s="44" t="s">
        <v>27</v>
      </c>
      <c r="D53" s="40"/>
      <c r="E53" s="40"/>
    </row>
    <row r="54" spans="1:16" ht="14.65" hidden="1" customHeight="1">
      <c r="A54" s="22"/>
      <c r="B54" s="43">
        <v>20000</v>
      </c>
      <c r="C54" s="44" t="s">
        <v>28</v>
      </c>
      <c r="D54" s="40"/>
      <c r="E54" s="40"/>
    </row>
    <row r="55" spans="1:16" ht="14.65" hidden="1" customHeight="1">
      <c r="A55" s="22"/>
      <c r="B55" s="41">
        <v>2130</v>
      </c>
      <c r="C55" s="42" t="s">
        <v>86</v>
      </c>
      <c r="D55" s="40"/>
      <c r="E55" s="40"/>
    </row>
    <row r="56" spans="1:16" ht="14.65" customHeight="1">
      <c r="A56" s="22"/>
      <c r="B56" s="43">
        <v>21000</v>
      </c>
      <c r="C56" s="44" t="s">
        <v>27</v>
      </c>
      <c r="D56" s="45">
        <f>$I56+$K56+$M56+$O56</f>
        <v>16123478</v>
      </c>
      <c r="E56" s="46">
        <f>$J56+$L56+$N56+$P56</f>
        <v>35272660</v>
      </c>
      <c r="G56" s="31">
        <f>'BEGINNING BALANCES'!D57-'BEGINNING BALANCES'!E57+'Chart of Accounts'!D56-'Chart of Accounts'!E56</f>
        <v>-19149182</v>
      </c>
      <c r="H56" s="31"/>
      <c r="I56" s="31">
        <f>SUMIF('PAYMENT RECEIPTS'!$H$9:$H$1048576,'Chart of Accounts'!B56,'PAYMENT RECEIPTS'!$J$9:$J$1048576)</f>
        <v>0</v>
      </c>
      <c r="J56" s="31">
        <f>SUMIF('PAYMENT RECEIPTS'!$H$9:$H$1048576,'Chart of Accounts'!B56,'PAYMENT RECEIPTS'!$K$9:$K$1048576)</f>
        <v>35272660</v>
      </c>
      <c r="K56" s="31">
        <f>SUMIF('UPON DELIVERY'!$K$131:$K$1048576,'Chart of Accounts'!B56,'UPON DELIVERY'!$M$131:$M$1048576)</f>
        <v>16123478</v>
      </c>
      <c r="L56" s="31">
        <f>SUMIF('UPON DELIVERY'!$K$131:$K$1048576,'Chart of Accounts'!B56,'UPON DELIVERY'!$N$131:$N$1048576)</f>
        <v>0</v>
      </c>
      <c r="M56" s="31">
        <f>SUMIF('FUEL INVENTORY'!$H$9:$H$1048576,'Chart of Accounts'!B56,'FUEL INVENTORY'!$J$9:$J$1048576)</f>
        <v>0</v>
      </c>
      <c r="N56" s="31">
        <f>SUMIF('FUEL INVENTORY'!$H$9:$H$1048576,'Chart of Accounts'!B56,'FUEL INVENTORY'!$K$9:$K$1048576)</f>
        <v>0</v>
      </c>
      <c r="O56" s="31">
        <f>SUMIF('AR-SUPPLIER'!$G$8:$G$1048576,'Chart of Accounts'!B56,'AR-SUPPLIER'!$I$8:$I$1048576)</f>
        <v>0</v>
      </c>
      <c r="P56" s="31">
        <f>SUMIF('AR-SUPPLIER'!$G$8:$G$1048576,'Chart of Accounts'!B56,'AR-SUPPLIER'!$J$8:$J$1048576)</f>
        <v>0</v>
      </c>
    </row>
    <row r="57" spans="1:16" ht="14.65" customHeight="1">
      <c r="A57" s="22"/>
      <c r="B57" s="43">
        <v>20000</v>
      </c>
      <c r="C57" s="44" t="s">
        <v>28</v>
      </c>
      <c r="D57" s="45">
        <f>$I57+$K57+$M57+$O57</f>
        <v>0</v>
      </c>
      <c r="E57" s="46">
        <f>$J57+$L57+$N57+$P57</f>
        <v>0</v>
      </c>
      <c r="G57" s="31">
        <f>'BEGINNING BALANCES'!D58-'BEGINNING BALANCES'!E58+'Chart of Accounts'!D57-'Chart of Accounts'!E57</f>
        <v>0</v>
      </c>
      <c r="H57" s="31"/>
      <c r="I57" s="31">
        <f>SUMIF('PAYMENT RECEIPTS'!$H$9:$H$1048576,'Chart of Accounts'!B57,'PAYMENT RECEIPTS'!$J$9:$J$1048576)</f>
        <v>0</v>
      </c>
      <c r="J57" s="31">
        <f>SUMIF('PAYMENT RECEIPTS'!$H$9:$H$1048576,'Chart of Accounts'!B57,'PAYMENT RECEIPTS'!$K$9:$K$1048576)</f>
        <v>0</v>
      </c>
      <c r="K57" s="31">
        <f>SUMIF('UPON DELIVERY'!$K$131:$K$1048576,'Chart of Accounts'!B57,'UPON DELIVERY'!$M$131:$M$1048576)</f>
        <v>0</v>
      </c>
      <c r="L57" s="31">
        <f>SUMIF('UPON DELIVERY'!$K$131:$K$1048576,'Chart of Accounts'!B57,'UPON DELIVERY'!$N$131:$N$1048576)</f>
        <v>0</v>
      </c>
      <c r="M57" s="31">
        <f>SUMIF('FUEL INVENTORY'!$H$9:$H$1048576,'Chart of Accounts'!B57,'FUEL INVENTORY'!$J$9:$J$1048576)</f>
        <v>0</v>
      </c>
      <c r="N57" s="31">
        <f>SUMIF('FUEL INVENTORY'!$H$9:$H$1048576,'Chart of Accounts'!B57,'FUEL INVENTORY'!$K$9:$K$1048576)</f>
        <v>0</v>
      </c>
      <c r="O57" s="31">
        <f>SUMIF('AR-SUPPLIER'!$G$8:$G$1048576,'Chart of Accounts'!B57,'AR-SUPPLIER'!$I$8:$I$1048576)</f>
        <v>0</v>
      </c>
      <c r="P57" s="31">
        <f>SUMIF('AR-SUPPLIER'!$G$8:$G$1048576,'Chart of Accounts'!B57,'AR-SUPPLIER'!$J$8:$J$1048576)</f>
        <v>0</v>
      </c>
    </row>
    <row r="58" spans="1:16" ht="14.65" customHeight="1">
      <c r="A58" s="22"/>
      <c r="B58" s="38"/>
      <c r="C58" s="39"/>
      <c r="D58" s="45">
        <f>$I58+$K58+$M58+$O58</f>
        <v>0</v>
      </c>
      <c r="E58" s="46">
        <f>$J58+$L58+$N58+$P58</f>
        <v>0</v>
      </c>
    </row>
    <row r="59" spans="1:16" ht="14.65" customHeight="1">
      <c r="A59" s="22"/>
      <c r="B59" s="38">
        <v>4000</v>
      </c>
      <c r="C59" s="39" t="s">
        <v>29</v>
      </c>
      <c r="D59" s="45"/>
      <c r="E59" s="46"/>
    </row>
    <row r="60" spans="1:16" ht="14.65" customHeight="1">
      <c r="A60" s="22"/>
      <c r="B60" s="43">
        <v>40000</v>
      </c>
      <c r="C60" s="44" t="s">
        <v>30</v>
      </c>
      <c r="D60" s="45">
        <f>$I60+$K60+$M60+$O60</f>
        <v>0</v>
      </c>
      <c r="E60" s="46">
        <f>$J60+$L60+$N60+$P60</f>
        <v>18629490</v>
      </c>
      <c r="G60" s="31">
        <f>'BEGINNING BALANCES'!D61-'BEGINNING BALANCES'!E61+'Chart of Accounts'!D60-'Chart of Accounts'!E60</f>
        <v>-18629490</v>
      </c>
      <c r="H60" s="31"/>
      <c r="I60" s="31">
        <f>SUMIF('PAYMENT RECEIPTS'!$H$9:$H$1048576,'Chart of Accounts'!B60,'PAYMENT RECEIPTS'!$J$9:$J$1048576)</f>
        <v>0</v>
      </c>
      <c r="J60" s="31">
        <f>SUMIF('PAYMENT RECEIPTS'!$H$9:$H$1048576,'Chart of Accounts'!B60,'PAYMENT RECEIPTS'!$K$9:$K$1048576)</f>
        <v>0</v>
      </c>
      <c r="K60" s="31">
        <f>SUMIF('UPON DELIVERY'!$K$131:$K$1048576,'Chart of Accounts'!B60,'UPON DELIVERY'!$M$131:$M$1048576)</f>
        <v>0</v>
      </c>
      <c r="L60" s="31">
        <f>SUMIF('UPON DELIVERY'!$K$131:$K$1048576,'Chart of Accounts'!B60,'UPON DELIVERY'!$N$131:$N$1048576)</f>
        <v>18629490</v>
      </c>
      <c r="M60" s="31">
        <f>SUMIF('FUEL INVENTORY'!$H$9:$H$1048576,'Chart of Accounts'!B60,'FUEL INVENTORY'!$J$9:$J$1048576)</f>
        <v>0</v>
      </c>
      <c r="N60" s="31">
        <f>SUMIF('FUEL INVENTORY'!$H$9:$H$1048576,'Chart of Accounts'!B60,'FUEL INVENTORY'!$K$9:$K$1048576)</f>
        <v>0</v>
      </c>
      <c r="O60" s="31">
        <f>SUMIF('AR-SUPPLIER'!$G$8:$G$1048576,'Chart of Accounts'!B60,'AR-SUPPLIER'!$I$8:$I$1048576)</f>
        <v>0</v>
      </c>
      <c r="P60" s="31">
        <f>SUMIF('AR-SUPPLIER'!$G$8:$G$1048576,'Chart of Accounts'!B60,'AR-SUPPLIER'!$J$8:$J$1048576)</f>
        <v>0</v>
      </c>
    </row>
    <row r="61" spans="1:16" ht="14.65" customHeight="1">
      <c r="A61" s="22"/>
      <c r="B61" s="41"/>
      <c r="C61" s="42"/>
      <c r="D61" s="40"/>
      <c r="E61" s="40"/>
    </row>
    <row r="62" spans="1:16" ht="14.65" hidden="1" customHeight="1">
      <c r="A62" s="22"/>
      <c r="B62" s="38">
        <v>3000</v>
      </c>
      <c r="C62" s="39" t="s">
        <v>87</v>
      </c>
      <c r="D62" s="40"/>
      <c r="E62" s="40"/>
    </row>
    <row r="63" spans="1:16" ht="14.65" hidden="1" customHeight="1">
      <c r="A63" s="22"/>
      <c r="B63" s="41">
        <v>3100</v>
      </c>
      <c r="C63" s="42" t="s">
        <v>88</v>
      </c>
      <c r="D63" s="40"/>
      <c r="E63" s="40"/>
    </row>
    <row r="64" spans="1:16" ht="14.65" hidden="1" customHeight="1">
      <c r="A64" s="22"/>
      <c r="B64" s="41">
        <v>3200</v>
      </c>
      <c r="C64" s="42" t="s">
        <v>89</v>
      </c>
      <c r="D64" s="40"/>
      <c r="E64" s="40"/>
    </row>
    <row r="65" spans="1:16" ht="14.65" hidden="1" customHeight="1">
      <c r="A65" s="22"/>
      <c r="B65" s="41">
        <v>3300</v>
      </c>
      <c r="C65" s="42" t="s">
        <v>90</v>
      </c>
      <c r="D65" s="40"/>
      <c r="E65" s="40"/>
    </row>
    <row r="66" spans="1:16" ht="14.65" hidden="1" customHeight="1">
      <c r="A66" s="22"/>
      <c r="B66" s="41">
        <v>3400</v>
      </c>
      <c r="C66" s="42" t="s">
        <v>91</v>
      </c>
      <c r="D66" s="40"/>
      <c r="E66" s="40"/>
    </row>
    <row r="67" spans="1:16" ht="14.65" hidden="1" customHeight="1">
      <c r="A67" s="22"/>
      <c r="B67" s="41"/>
      <c r="C67" s="42"/>
      <c r="D67" s="40"/>
      <c r="E67" s="40"/>
    </row>
    <row r="68" spans="1:16" ht="14.65" hidden="1" customHeight="1">
      <c r="A68" s="22"/>
      <c r="B68" s="38">
        <v>4000</v>
      </c>
      <c r="C68" s="39" t="s">
        <v>29</v>
      </c>
      <c r="D68" s="40"/>
      <c r="E68" s="40"/>
    </row>
    <row r="69" spans="1:16" ht="14.65" hidden="1" customHeight="1">
      <c r="A69" s="22"/>
      <c r="B69" s="43">
        <v>40000</v>
      </c>
      <c r="C69" s="44" t="s">
        <v>30</v>
      </c>
      <c r="D69" s="40"/>
      <c r="E69" s="40"/>
    </row>
    <row r="70" spans="1:16" ht="14.65" hidden="1" customHeight="1">
      <c r="A70" s="22"/>
      <c r="B70" s="41">
        <v>4101</v>
      </c>
      <c r="C70" s="42" t="s">
        <v>31</v>
      </c>
      <c r="D70" s="40"/>
      <c r="E70" s="40"/>
    </row>
    <row r="71" spans="1:16" ht="14.65" customHeight="1">
      <c r="A71" s="22"/>
      <c r="B71" s="38">
        <v>5000</v>
      </c>
      <c r="C71" s="39" t="s">
        <v>42</v>
      </c>
      <c r="D71" s="40"/>
      <c r="E71" s="40"/>
    </row>
    <row r="72" spans="1:16" ht="14.65" customHeight="1">
      <c r="A72" s="22"/>
      <c r="B72" s="43">
        <v>50000</v>
      </c>
      <c r="C72" s="44" t="s">
        <v>43</v>
      </c>
      <c r="D72" s="40"/>
      <c r="E72" s="40"/>
    </row>
    <row r="73" spans="1:16" s="29" customFormat="1" ht="14.65" customHeight="1">
      <c r="A73" s="22"/>
      <c r="B73" s="43">
        <v>50020</v>
      </c>
      <c r="C73" s="44" t="s">
        <v>59</v>
      </c>
      <c r="D73" s="45">
        <f>I73+K73+M73+O73</f>
        <v>0</v>
      </c>
      <c r="E73" s="46">
        <f>J73+L73+N73+P73</f>
        <v>0</v>
      </c>
      <c r="F73" s="80"/>
      <c r="G73" s="31">
        <f>'BEGINNING BALANCES'!E58-'BEGINNING BALANCES'!D58+'Chart of Accounts'!E73-'Chart of Accounts'!D73</f>
        <v>0</v>
      </c>
      <c r="H73" s="31"/>
      <c r="I73" s="31">
        <f>SUMIF('PAYMENT RECEIPTS'!$H$9:$H$1048576,'Chart of Accounts'!B73,'PAYMENT RECEIPTS'!$J$9:$J$1048576)</f>
        <v>0</v>
      </c>
      <c r="J73" s="31">
        <f>SUMIF('PAYMENT RECEIPTS'!$H$9:$H$1048576,'Chart of Accounts'!B73,'PAYMENT RECEIPTS'!$K$9:$K$1048576)</f>
        <v>0</v>
      </c>
      <c r="K73" s="31">
        <f>SUMIF('UPON DELIVERY'!$K$131:$K$1048576,'Chart of Accounts'!B73,'UPON DELIVERY'!$M$131:$M$1048576)</f>
        <v>0</v>
      </c>
      <c r="L73" s="31">
        <f>SUMIF('UPON DELIVERY'!$K$131:$K$1048576,'Chart of Accounts'!B73,'UPON DELIVERY'!$N$131:$N$1048576)</f>
        <v>0</v>
      </c>
      <c r="M73" s="31">
        <f>SUMIF('FUEL INVENTORY'!$H$9:$H$1048576,'Chart of Accounts'!B73,'FUEL INVENTORY'!$J$9:$J$1048576)</f>
        <v>0</v>
      </c>
      <c r="N73" s="31">
        <f>SUMIF('FUEL INVENTORY'!$H$9:$H$1048576,'Chart of Accounts'!B73,'FUEL INVENTORY'!$K$9:$K$1048576)</f>
        <v>0</v>
      </c>
      <c r="O73" s="31">
        <f>SUMIF('AR-SUPPLIER'!$G$8:$G$1048576,'Chart of Accounts'!B73,'AR-SUPPLIER'!$I$8:$I$1048576)</f>
        <v>0</v>
      </c>
      <c r="P73" s="31">
        <f>SUMIF('AR-SUPPLIER'!$G$8:$G$1048576,'Chart of Accounts'!B73,'AR-SUPPLIER'!$J$8:$J$1048576)</f>
        <v>0</v>
      </c>
    </row>
    <row r="74" spans="1:16" ht="14.65" hidden="1" customHeight="1">
      <c r="A74" s="22"/>
      <c r="B74" s="38">
        <v>5000</v>
      </c>
      <c r="C74" s="39" t="s">
        <v>42</v>
      </c>
      <c r="D74" s="40"/>
      <c r="E74" s="40"/>
    </row>
    <row r="75" spans="1:16" ht="14.65" hidden="1" customHeight="1">
      <c r="A75" s="22"/>
      <c r="B75" s="43">
        <v>50000</v>
      </c>
      <c r="C75" s="44" t="s">
        <v>43</v>
      </c>
      <c r="D75" s="40"/>
      <c r="E75" s="40"/>
    </row>
    <row r="76" spans="1:16" ht="14.65" hidden="1" customHeight="1">
      <c r="A76" s="22"/>
      <c r="B76" s="43">
        <v>50020</v>
      </c>
      <c r="C76" s="44" t="s">
        <v>59</v>
      </c>
      <c r="D76" s="40"/>
      <c r="E76" s="40"/>
    </row>
    <row r="77" spans="1:16" ht="14.65" hidden="1" customHeight="1">
      <c r="A77" s="22"/>
      <c r="B77" s="38">
        <v>5000</v>
      </c>
      <c r="C77" s="39" t="s">
        <v>42</v>
      </c>
      <c r="D77" s="40"/>
      <c r="E77" s="40"/>
    </row>
    <row r="78" spans="1:16" ht="14.65" hidden="1" customHeight="1">
      <c r="A78" s="22"/>
      <c r="B78" s="43">
        <v>50000</v>
      </c>
      <c r="C78" s="44" t="s">
        <v>43</v>
      </c>
      <c r="D78" s="40"/>
      <c r="E78" s="40"/>
    </row>
    <row r="79" spans="1:16" ht="14.65" hidden="1" customHeight="1">
      <c r="A79" s="22"/>
      <c r="B79" s="43">
        <v>50020</v>
      </c>
      <c r="C79" s="44" t="s">
        <v>59</v>
      </c>
      <c r="D79" s="40"/>
      <c r="E79" s="40"/>
    </row>
    <row r="80" spans="1:16" ht="14.65" hidden="1" customHeight="1">
      <c r="A80" s="22"/>
      <c r="B80" s="38">
        <v>5000</v>
      </c>
      <c r="C80" s="39" t="s">
        <v>42</v>
      </c>
      <c r="D80" s="40"/>
      <c r="E80" s="40"/>
    </row>
    <row r="81" spans="1:16" ht="14.65" hidden="1" customHeight="1">
      <c r="A81" s="22"/>
      <c r="B81" s="43">
        <v>50000</v>
      </c>
      <c r="C81" s="44" t="s">
        <v>43</v>
      </c>
      <c r="D81" s="40"/>
      <c r="E81" s="40"/>
    </row>
    <row r="82" spans="1:16" ht="14.65" hidden="1" customHeight="1">
      <c r="A82" s="22"/>
      <c r="B82" s="43">
        <v>50020</v>
      </c>
      <c r="C82" s="44" t="s">
        <v>59</v>
      </c>
      <c r="D82" s="40"/>
      <c r="E82" s="40"/>
    </row>
    <row r="83" spans="1:16" ht="14.65" hidden="1" customHeight="1">
      <c r="A83" s="22"/>
      <c r="B83" s="38">
        <v>5000</v>
      </c>
      <c r="C83" s="39" t="s">
        <v>42</v>
      </c>
      <c r="D83" s="40"/>
      <c r="E83" s="40"/>
    </row>
    <row r="84" spans="1:16" ht="14.65" hidden="1" customHeight="1">
      <c r="A84" s="22"/>
      <c r="B84" s="43">
        <v>50000</v>
      </c>
      <c r="C84" s="44" t="s">
        <v>43</v>
      </c>
      <c r="D84" s="40"/>
      <c r="E84" s="40"/>
    </row>
    <row r="85" spans="1:16" ht="14.65" customHeight="1">
      <c r="A85" s="22"/>
      <c r="B85" s="43">
        <v>50020</v>
      </c>
      <c r="C85" s="44" t="s">
        <v>59</v>
      </c>
      <c r="D85" s="40"/>
      <c r="E85" s="40"/>
    </row>
    <row r="86" spans="1:16" ht="14.65" customHeight="1">
      <c r="A86" s="22"/>
      <c r="B86" s="125"/>
      <c r="C86" s="42"/>
      <c r="D86" s="40"/>
      <c r="E86" s="40"/>
    </row>
    <row r="87" spans="1:16" ht="14.65" customHeight="1">
      <c r="A87" s="22"/>
      <c r="B87" s="124"/>
      <c r="C87" s="39"/>
      <c r="D87" s="45">
        <f>$I87+$K87+$M87+$O87</f>
        <v>0</v>
      </c>
      <c r="E87" s="46">
        <f>J87+L87+N87+P87</f>
        <v>0</v>
      </c>
      <c r="F87" s="80"/>
      <c r="I87" s="31">
        <f>SUMIF('PAYMENT RECEIPTS'!$H$9:$H$1048576,'Chart of Accounts'!B87,'PAYMENT RECEIPTS'!$J$9:$J$1048576)</f>
        <v>0</v>
      </c>
      <c r="J87" s="31">
        <f>SUMIF('PAYMENT RECEIPTS'!$H$9:$H$1048576,'Chart of Accounts'!B87,'PAYMENT RECEIPTS'!$K$9:$K$1048576)</f>
        <v>0</v>
      </c>
      <c r="K87" s="31">
        <f>SUMIF('UPON DELIVERY'!$K$131:$K$1048576,'Chart of Accounts'!B87,'UPON DELIVERY'!$M$131:$M$1048576)</f>
        <v>0</v>
      </c>
      <c r="L87" s="31">
        <f>SUMIF('UPON DELIVERY'!$K$131:$K$1048576,'Chart of Accounts'!B87,'UPON DELIVERY'!$N$131:$N$1048576)</f>
        <v>0</v>
      </c>
      <c r="M87" s="70">
        <f>SUMIF('FUEL INVENTORY'!$H$9:$H$1048576,'Chart of Accounts'!B87,'FUEL INVENTORY'!$J$9:$J$1048576)</f>
        <v>0</v>
      </c>
      <c r="N87" s="31">
        <f>SUMIF('FUEL INVENTORY'!$H$9:$H$1048576,'Chart of Accounts'!C87,'FUEL INVENTORY'!$K$9:$K$1048576)</f>
        <v>0</v>
      </c>
      <c r="O87" s="31">
        <f>SUMIF('AR-SUPPLIER'!$G$8:$G$1048576,'Chart of Accounts'!B87,'AR-SUPPLIER'!$I$8:$I$1048576)</f>
        <v>0</v>
      </c>
      <c r="P87" s="31">
        <f>SUMIF('AR-SUPPLIER'!$G$8:$G$1048576,'Chart of Accounts'!B87,'AR-SUPPLIER'!$J$8:$J$1048576)</f>
        <v>0</v>
      </c>
    </row>
    <row r="88" spans="1:16" ht="14.65" hidden="1" customHeight="1">
      <c r="A88" s="22"/>
      <c r="B88" s="126"/>
      <c r="C88" s="44"/>
      <c r="D88" s="40"/>
      <c r="E88" s="40"/>
    </row>
    <row r="89" spans="1:16" ht="14.65" hidden="1" customHeight="1">
      <c r="A89" s="22"/>
      <c r="B89" s="41"/>
      <c r="C89" s="42"/>
      <c r="D89" s="40"/>
      <c r="E89" s="40"/>
    </row>
    <row r="90" spans="1:16" ht="14.65" hidden="1" customHeight="1">
      <c r="A90" s="22"/>
      <c r="B90" s="41"/>
      <c r="C90" s="42"/>
      <c r="D90" s="40"/>
      <c r="E90" s="40"/>
    </row>
    <row r="91" spans="1:16" ht="14.65" hidden="1" customHeight="1">
      <c r="A91" s="22"/>
      <c r="B91" s="41"/>
      <c r="C91" s="42"/>
      <c r="D91" s="40"/>
      <c r="E91" s="40"/>
    </row>
    <row r="92" spans="1:16" ht="14.65" hidden="1" customHeight="1">
      <c r="A92" s="22"/>
      <c r="B92" s="41"/>
      <c r="C92" s="42"/>
      <c r="D92" s="40"/>
      <c r="E92" s="40"/>
    </row>
    <row r="93" spans="1:16" ht="14.65" hidden="1" customHeight="1">
      <c r="A93" s="22"/>
      <c r="B93" s="41"/>
      <c r="C93" s="42"/>
      <c r="D93" s="40"/>
      <c r="E93" s="40"/>
    </row>
    <row r="94" spans="1:16" ht="14.65" hidden="1" customHeight="1">
      <c r="A94" s="22"/>
      <c r="B94" s="41"/>
      <c r="C94" s="42"/>
      <c r="D94" s="40"/>
      <c r="E94" s="40"/>
    </row>
    <row r="95" spans="1:16" ht="14.65" hidden="1" customHeight="1">
      <c r="A95" s="22"/>
      <c r="B95" s="41"/>
      <c r="C95" s="42"/>
      <c r="D95" s="40"/>
      <c r="E95" s="40"/>
    </row>
    <row r="96" spans="1:16" ht="14.65" hidden="1" customHeight="1">
      <c r="A96" s="22"/>
      <c r="B96" s="41"/>
      <c r="C96" s="42"/>
      <c r="D96" s="40"/>
      <c r="E96" s="40"/>
    </row>
    <row r="97" spans="1:5" ht="14.65" hidden="1" customHeight="1">
      <c r="A97" s="22"/>
      <c r="B97" s="41"/>
      <c r="C97" s="42"/>
      <c r="D97" s="40"/>
      <c r="E97" s="40"/>
    </row>
    <row r="98" spans="1:5" ht="14.65" hidden="1" customHeight="1">
      <c r="A98" s="22"/>
      <c r="B98" s="41"/>
      <c r="C98" s="42"/>
      <c r="D98" s="40"/>
      <c r="E98" s="40"/>
    </row>
    <row r="99" spans="1:5" ht="14.65" hidden="1" customHeight="1">
      <c r="A99" s="22"/>
      <c r="B99" s="41"/>
      <c r="C99" s="42"/>
      <c r="D99" s="40"/>
      <c r="E99" s="40"/>
    </row>
    <row r="100" spans="1:5" ht="14.65" hidden="1" customHeight="1">
      <c r="A100" s="22"/>
      <c r="B100" s="41"/>
      <c r="C100" s="42"/>
      <c r="D100" s="40"/>
      <c r="E100" s="40"/>
    </row>
    <row r="101" spans="1:5" ht="14.65" hidden="1" customHeight="1">
      <c r="A101" s="22"/>
      <c r="B101" s="41"/>
      <c r="C101" s="42"/>
      <c r="D101" s="40"/>
      <c r="E101" s="40"/>
    </row>
    <row r="102" spans="1:5" ht="14.65" hidden="1" customHeight="1">
      <c r="A102" s="22"/>
      <c r="B102" s="41"/>
      <c r="C102" s="42"/>
      <c r="D102" s="40"/>
      <c r="E102" s="40"/>
    </row>
    <row r="103" spans="1:5" ht="14.65" customHeight="1">
      <c r="A103" s="22"/>
      <c r="B103" s="41"/>
      <c r="C103" s="42"/>
      <c r="D103" s="40"/>
      <c r="E103" s="40"/>
    </row>
    <row r="104" spans="1:5" ht="14.65" hidden="1" customHeight="1">
      <c r="A104" s="22"/>
      <c r="B104" s="41"/>
      <c r="C104" s="42"/>
      <c r="D104" s="40"/>
      <c r="E104" s="40"/>
    </row>
    <row r="105" spans="1:5" ht="14.65" hidden="1" customHeight="1">
      <c r="A105" s="22"/>
      <c r="B105" s="41">
        <v>6100</v>
      </c>
      <c r="C105" s="42" t="s">
        <v>61</v>
      </c>
      <c r="D105" s="40"/>
      <c r="E105" s="40"/>
    </row>
    <row r="106" spans="1:5" ht="14.65" hidden="1" customHeight="1">
      <c r="A106" s="22"/>
      <c r="B106" s="41">
        <v>6110</v>
      </c>
      <c r="C106" s="42" t="s">
        <v>62</v>
      </c>
      <c r="D106" s="40"/>
      <c r="E106" s="40"/>
    </row>
    <row r="107" spans="1:5" ht="14.65" hidden="1" customHeight="1">
      <c r="A107" s="22"/>
      <c r="B107" s="41">
        <v>6120</v>
      </c>
      <c r="C107" s="42" t="s">
        <v>63</v>
      </c>
      <c r="D107" s="40"/>
      <c r="E107" s="40"/>
    </row>
    <row r="108" spans="1:5" ht="14.65" hidden="1" customHeight="1">
      <c r="A108" s="22"/>
      <c r="B108" s="41">
        <v>6130</v>
      </c>
      <c r="C108" s="42" t="s">
        <v>64</v>
      </c>
      <c r="D108" s="40"/>
      <c r="E108" s="40"/>
    </row>
    <row r="109" spans="1:5" ht="14.65" hidden="1" customHeight="1">
      <c r="A109" s="22"/>
      <c r="B109" s="41">
        <v>6140</v>
      </c>
      <c r="C109" s="42" t="s">
        <v>65</v>
      </c>
      <c r="D109" s="40"/>
      <c r="E109" s="40"/>
    </row>
    <row r="110" spans="1:5" ht="14.65" hidden="1" customHeight="1">
      <c r="A110" s="22"/>
      <c r="B110" s="41">
        <v>6150</v>
      </c>
      <c r="C110" s="42" t="s">
        <v>66</v>
      </c>
      <c r="D110" s="40"/>
      <c r="E110" s="40"/>
    </row>
    <row r="111" spans="1:5" ht="14.65" hidden="1" customHeight="1">
      <c r="A111" s="22"/>
      <c r="B111" s="41">
        <v>6160</v>
      </c>
      <c r="C111" s="42" t="s">
        <v>67</v>
      </c>
      <c r="D111" s="40"/>
      <c r="E111" s="40"/>
    </row>
    <row r="112" spans="1:5" ht="14.65" hidden="1" customHeight="1">
      <c r="A112" s="22"/>
      <c r="B112" s="41">
        <v>6170</v>
      </c>
      <c r="C112" s="42" t="s">
        <v>68</v>
      </c>
      <c r="D112" s="40"/>
      <c r="E112" s="40"/>
    </row>
    <row r="113" spans="1:16" ht="14.65" hidden="1" customHeight="1">
      <c r="A113" s="22"/>
      <c r="B113" s="41">
        <v>6180</v>
      </c>
      <c r="C113" s="42" t="s">
        <v>69</v>
      </c>
      <c r="D113" s="40"/>
      <c r="E113" s="40"/>
    </row>
    <row r="114" spans="1:16" ht="14.65" hidden="1" customHeight="1">
      <c r="A114" s="22"/>
      <c r="B114" s="43">
        <v>6190</v>
      </c>
      <c r="C114" s="44" t="s">
        <v>70</v>
      </c>
      <c r="D114" s="45">
        <f>I114+K114+M114+O114</f>
        <v>0</v>
      </c>
      <c r="E114" s="46">
        <f>J114+L114+N114+P114</f>
        <v>0</v>
      </c>
      <c r="F114" s="80"/>
      <c r="I114" s="31">
        <f>SUMIF('PAYMENT RECEIPTS'!$H$9:$H$1048576,'Chart of Accounts'!B114,'PAYMENT RECEIPTS'!$J$9:$J$1048576)</f>
        <v>0</v>
      </c>
      <c r="J114" s="31">
        <f>SUMIF('PAYMENT RECEIPTS'!$H$9:$H$1048576,'Chart of Accounts'!B114,'PAYMENT RECEIPTS'!$K$9:$K$1048576)</f>
        <v>0</v>
      </c>
      <c r="K114" s="31">
        <f>SUMIF('UPON DELIVERY'!$K$131:$K$1048576,'Chart of Accounts'!B114,'UPON DELIVERY'!$M$131:$M$1048576)</f>
        <v>0</v>
      </c>
      <c r="L114" s="31">
        <f>SUMIF('UPON DELIVERY'!$K$131:$K$1048576,'Chart of Accounts'!B114,'UPON DELIVERY'!$N$131:$N$1048576)</f>
        <v>0</v>
      </c>
      <c r="M114" s="31">
        <f>SUMIF('FUEL INVENTORY'!$H$9:$H$1048576,'Chart of Accounts'!B114,'FUEL INVENTORY'!$J$9:$J$1048576)</f>
        <v>0</v>
      </c>
      <c r="N114" s="31">
        <f>SUMIF('FUEL INVENTORY'!$H$9:$H$1048576,'Chart of Accounts'!B114,'FUEL INVENTORY'!$K$9:$K$1048576)</f>
        <v>0</v>
      </c>
      <c r="O114" s="31">
        <f>SUMIF('AR-SUPPLIER'!$G$8:$G$1048576,'Chart of Accounts'!B114,'AR-SUPPLIER'!$I$8:$I$1048576)</f>
        <v>0</v>
      </c>
      <c r="P114" s="31">
        <f>SUMIF('AR-SUPPLIER'!$G$8:$G$1048576,'Chart of Accounts'!B114,'AR-SUPPLIER'!$J$8:$J$1048576)</f>
        <v>0</v>
      </c>
    </row>
    <row r="115" spans="1:16" ht="14.65" hidden="1" customHeight="1">
      <c r="A115" s="22"/>
      <c r="B115" s="41"/>
      <c r="C115" s="42"/>
      <c r="D115" s="40"/>
      <c r="E115" s="40"/>
    </row>
    <row r="116" spans="1:16" ht="14.65" hidden="1" customHeight="1">
      <c r="A116" s="22"/>
      <c r="B116" s="38">
        <v>7000</v>
      </c>
      <c r="C116" s="39" t="s">
        <v>71</v>
      </c>
      <c r="D116" s="40"/>
      <c r="E116" s="40"/>
    </row>
    <row r="117" spans="1:16" ht="14.65" hidden="1" customHeight="1">
      <c r="A117" s="22"/>
      <c r="B117" s="41">
        <v>7100</v>
      </c>
      <c r="C117" s="42" t="s">
        <v>72</v>
      </c>
      <c r="D117" s="40"/>
      <c r="E117" s="40"/>
    </row>
    <row r="118" spans="1:16" ht="14.65" hidden="1" customHeight="1">
      <c r="A118" s="22"/>
      <c r="B118" s="41"/>
      <c r="C118" s="42"/>
      <c r="D118" s="40"/>
      <c r="E118" s="40"/>
    </row>
    <row r="119" spans="1:16" ht="14.65" hidden="1" customHeight="1">
      <c r="A119" s="22"/>
      <c r="B119" s="38">
        <v>8000</v>
      </c>
      <c r="C119" s="39" t="s">
        <v>73</v>
      </c>
      <c r="D119" s="40"/>
      <c r="E119" s="40"/>
    </row>
    <row r="120" spans="1:16" ht="14.65" hidden="1" customHeight="1">
      <c r="A120" s="22"/>
      <c r="B120" s="41">
        <v>8100</v>
      </c>
      <c r="C120" s="42" t="s">
        <v>74</v>
      </c>
      <c r="D120" s="40"/>
      <c r="E120" s="40"/>
    </row>
    <row r="121" spans="1:16" ht="14.65" hidden="1" customHeight="1">
      <c r="A121" s="22"/>
      <c r="B121" s="41">
        <v>8200</v>
      </c>
      <c r="C121" s="42" t="s">
        <v>75</v>
      </c>
      <c r="D121" s="40"/>
      <c r="E121" s="40"/>
    </row>
    <row r="122" spans="1:16" ht="14.45">
      <c r="A122" s="22"/>
      <c r="B122" s="30"/>
      <c r="C122" s="30"/>
    </row>
    <row r="123" spans="1:16" ht="14.45">
      <c r="A123" s="22"/>
      <c r="B123" s="30"/>
      <c r="C123" s="30"/>
    </row>
    <row r="124" spans="1:16" ht="14.65" hidden="1" customHeight="1">
      <c r="A124" s="22"/>
      <c r="B124" s="30"/>
      <c r="C124" s="30"/>
    </row>
    <row r="125" spans="1:16" ht="14.65" hidden="1" customHeight="1">
      <c r="A125" s="22"/>
      <c r="B125" s="30"/>
      <c r="C125" s="30"/>
    </row>
    <row r="126" spans="1:16" ht="14.65" hidden="1" customHeight="1">
      <c r="A126" s="22"/>
      <c r="B126" s="30"/>
      <c r="C126" s="30"/>
    </row>
    <row r="127" spans="1:16" ht="14.65" hidden="1" customHeight="1">
      <c r="A127" s="22"/>
      <c r="B127" s="30"/>
      <c r="C127" s="30"/>
    </row>
    <row r="128" spans="1:16" ht="14.65" hidden="1" customHeight="1">
      <c r="A128" s="22"/>
      <c r="B128" s="30"/>
      <c r="C128" s="30"/>
    </row>
    <row r="129" spans="1:3" ht="14.65" hidden="1" customHeight="1">
      <c r="A129" s="22"/>
      <c r="B129" s="30"/>
      <c r="C129" s="30"/>
    </row>
    <row r="130" spans="1:3" ht="14.65" hidden="1" customHeight="1">
      <c r="A130" s="22"/>
      <c r="B130" s="30"/>
      <c r="C130" s="30"/>
    </row>
    <row r="131" spans="1:3" ht="14.65" hidden="1" customHeight="1">
      <c r="A131" s="22"/>
      <c r="B131" s="30"/>
      <c r="C131" s="30"/>
    </row>
    <row r="132" spans="1:3" ht="14.65" hidden="1" customHeight="1">
      <c r="A132" s="22"/>
      <c r="B132" s="30"/>
      <c r="C132" s="30"/>
    </row>
    <row r="133" spans="1:3" ht="14.65" hidden="1" customHeight="1">
      <c r="A133" s="22"/>
      <c r="B133" s="30"/>
      <c r="C133" s="30"/>
    </row>
    <row r="134" spans="1:3" ht="14.65" hidden="1" customHeight="1">
      <c r="A134" s="22"/>
      <c r="B134" s="30"/>
      <c r="C134" s="30"/>
    </row>
    <row r="135" spans="1:3" ht="14.65" hidden="1" customHeight="1">
      <c r="A135" s="22"/>
      <c r="B135" s="30"/>
      <c r="C135" s="30"/>
    </row>
    <row r="136" spans="1:3" ht="14.45" hidden="1">
      <c r="A136" s="22"/>
      <c r="B136" s="30"/>
      <c r="C136" s="30"/>
    </row>
    <row r="137" spans="1:3" ht="14.45" hidden="1">
      <c r="A137" s="22"/>
      <c r="B137" s="30"/>
      <c r="C137" s="30"/>
    </row>
    <row r="138" spans="1:3" ht="14.45" hidden="1">
      <c r="A138" s="22"/>
      <c r="B138" s="30"/>
      <c r="C138" s="30"/>
    </row>
    <row r="139" spans="1:3" ht="14.45" hidden="1">
      <c r="A139" s="22"/>
      <c r="B139" s="30"/>
      <c r="C139" s="30"/>
    </row>
    <row r="140" spans="1:3" ht="14.45" hidden="1">
      <c r="A140" s="22"/>
      <c r="B140" s="30"/>
      <c r="C140" s="30"/>
    </row>
    <row r="141" spans="1:3" ht="14.45" hidden="1">
      <c r="A141" s="22"/>
      <c r="B141" s="30"/>
      <c r="C141" s="30"/>
    </row>
    <row r="142" spans="1:3" ht="14.45" hidden="1">
      <c r="A142" s="22"/>
      <c r="B142" s="30"/>
      <c r="C142" s="30"/>
    </row>
    <row r="143" spans="1:3" ht="14.45" hidden="1">
      <c r="A143" s="22"/>
      <c r="B143" s="30"/>
      <c r="C143" s="30"/>
    </row>
    <row r="144" spans="1:3" ht="14.45" hidden="1">
      <c r="A144" s="22"/>
      <c r="B144" s="30"/>
      <c r="C144" s="30"/>
    </row>
    <row r="145" spans="1:3" ht="14.45" hidden="1">
      <c r="A145" s="22"/>
      <c r="B145" s="30"/>
      <c r="C145" s="30"/>
    </row>
    <row r="146" spans="1:3" ht="14.45" hidden="1">
      <c r="A146" s="22"/>
      <c r="B146" s="30"/>
      <c r="C146" s="30"/>
    </row>
    <row r="147" spans="1:3" ht="14.45" hidden="1">
      <c r="A147" s="22"/>
      <c r="B147" s="30"/>
      <c r="C147" s="30"/>
    </row>
    <row r="148" spans="1:3" ht="14.45" hidden="1">
      <c r="A148" s="22"/>
      <c r="B148" s="30"/>
      <c r="C148" s="30"/>
    </row>
    <row r="149" spans="1:3" ht="14.45" hidden="1">
      <c r="A149" s="22"/>
      <c r="B149" s="30"/>
      <c r="C149" s="30"/>
    </row>
    <row r="150" spans="1:3" ht="14.45" hidden="1">
      <c r="A150" s="22"/>
      <c r="B150" s="30"/>
      <c r="C150" s="30"/>
    </row>
    <row r="151" spans="1:3" ht="14.45" hidden="1">
      <c r="A151" s="22"/>
      <c r="B151" s="30"/>
      <c r="C151" s="30"/>
    </row>
    <row r="152" spans="1:3" ht="14.45" hidden="1">
      <c r="A152" s="22"/>
      <c r="B152" s="30"/>
      <c r="C152" s="30"/>
    </row>
    <row r="153" spans="1:3" ht="14.45" hidden="1">
      <c r="A153" s="22"/>
      <c r="B153" s="30"/>
      <c r="C153" s="30"/>
    </row>
    <row r="154" spans="1:3" ht="14.45" hidden="1">
      <c r="A154" s="22"/>
      <c r="B154" s="30"/>
      <c r="C154" s="30"/>
    </row>
    <row r="155" spans="1:3" ht="14.45" hidden="1">
      <c r="A155" s="22"/>
      <c r="B155" s="30"/>
      <c r="C155" s="30"/>
    </row>
    <row r="156" spans="1:3" ht="14.45" hidden="1">
      <c r="A156" s="22"/>
      <c r="B156" s="30"/>
      <c r="C156" s="30"/>
    </row>
    <row r="157" spans="1:3" ht="14.45" hidden="1">
      <c r="A157" s="22"/>
      <c r="B157" s="30"/>
      <c r="C157" s="30"/>
    </row>
    <row r="158" spans="1:3" ht="14.45" hidden="1">
      <c r="A158" s="22"/>
      <c r="B158" s="30"/>
      <c r="C158" s="30"/>
    </row>
    <row r="159" spans="1:3" ht="14.45" hidden="1">
      <c r="A159" s="22"/>
      <c r="B159" s="30"/>
      <c r="C159" s="30"/>
    </row>
    <row r="160" spans="1:3" ht="14.45" hidden="1">
      <c r="A160" s="22"/>
      <c r="B160" s="30"/>
      <c r="C160" s="30"/>
    </row>
    <row r="161" spans="1:3" ht="14.45" hidden="1">
      <c r="A161" s="22"/>
      <c r="B161" s="30"/>
      <c r="C161" s="30"/>
    </row>
    <row r="162" spans="1:3" ht="14.45" hidden="1">
      <c r="A162" s="22"/>
      <c r="B162" s="30"/>
      <c r="C162" s="30"/>
    </row>
    <row r="163" spans="1:3" ht="14.45" hidden="1">
      <c r="A163" s="22"/>
      <c r="B163" s="30"/>
      <c r="C163" s="30"/>
    </row>
    <row r="164" spans="1:3" ht="14.45" hidden="1">
      <c r="A164" s="22"/>
      <c r="B164" s="30"/>
      <c r="C164" s="30"/>
    </row>
    <row r="165" spans="1:3" ht="14.45" hidden="1">
      <c r="A165" s="22"/>
      <c r="B165" s="30"/>
      <c r="C165" s="30"/>
    </row>
    <row r="166" spans="1:3" ht="14.45" hidden="1">
      <c r="A166" s="22"/>
      <c r="B166" s="30"/>
      <c r="C166" s="30"/>
    </row>
    <row r="167" spans="1:3" ht="14.45" hidden="1">
      <c r="A167" s="22"/>
      <c r="B167" s="30"/>
      <c r="C167" s="30"/>
    </row>
    <row r="168" spans="1:3" ht="14.45" hidden="1">
      <c r="A168" s="22"/>
      <c r="B168" s="30"/>
      <c r="C168" s="30"/>
    </row>
    <row r="169" spans="1:3" ht="14.45" hidden="1">
      <c r="A169" s="22"/>
      <c r="B169" s="30"/>
      <c r="C169" s="30"/>
    </row>
    <row r="170" spans="1:3" ht="14.45" hidden="1">
      <c r="A170" s="22"/>
      <c r="B170" s="30"/>
      <c r="C170" s="30"/>
    </row>
    <row r="171" spans="1:3" ht="14.45" hidden="1">
      <c r="A171" s="22"/>
      <c r="B171" s="30"/>
      <c r="C171" s="30"/>
    </row>
    <row r="172" spans="1:3" ht="14.45" hidden="1">
      <c r="A172" s="22"/>
      <c r="B172" s="30"/>
      <c r="C172" s="30"/>
    </row>
    <row r="173" spans="1:3" ht="14.45" hidden="1">
      <c r="A173" s="22"/>
      <c r="B173" s="30"/>
      <c r="C173" s="30"/>
    </row>
    <row r="174" spans="1:3" ht="14.45" hidden="1">
      <c r="A174" s="22"/>
      <c r="B174" s="30"/>
      <c r="C174" s="30"/>
    </row>
    <row r="175" spans="1:3" ht="14.45" hidden="1">
      <c r="A175" s="22"/>
      <c r="B175" s="30"/>
      <c r="C175" s="30"/>
    </row>
    <row r="176" spans="1:3" ht="14.45" hidden="1">
      <c r="A176" s="22"/>
      <c r="B176" s="30"/>
      <c r="C176" s="30"/>
    </row>
    <row r="177" spans="1:3" ht="14.45" hidden="1">
      <c r="A177" s="22"/>
      <c r="B177" s="30"/>
      <c r="C177" s="30"/>
    </row>
    <row r="178" spans="1:3" ht="14.45" hidden="1">
      <c r="A178" s="22"/>
      <c r="B178" s="30"/>
      <c r="C178" s="30"/>
    </row>
    <row r="179" spans="1:3" ht="14.45" hidden="1">
      <c r="A179" s="22"/>
      <c r="B179" s="30"/>
      <c r="C179" s="30"/>
    </row>
    <row r="180" spans="1:3" ht="14.45" hidden="1">
      <c r="A180" s="22"/>
      <c r="B180" s="30"/>
      <c r="C180" s="30"/>
    </row>
    <row r="181" spans="1:3" ht="14.45" hidden="1">
      <c r="A181" s="22"/>
      <c r="B181" s="30"/>
      <c r="C181" s="30"/>
    </row>
    <row r="182" spans="1:3" ht="14.45" hidden="1">
      <c r="A182" s="22"/>
      <c r="B182" s="30"/>
      <c r="C182" s="30"/>
    </row>
    <row r="183" spans="1:3" ht="14.45" hidden="1">
      <c r="A183" s="22"/>
      <c r="B183" s="30"/>
      <c r="C183" s="30"/>
    </row>
    <row r="184" spans="1:3" ht="14.45" hidden="1">
      <c r="A184" s="22"/>
      <c r="B184" s="30"/>
      <c r="C184" s="30"/>
    </row>
    <row r="185" spans="1:3" ht="14.45" hidden="1">
      <c r="A185" s="22"/>
      <c r="B185" s="30"/>
      <c r="C185" s="30"/>
    </row>
    <row r="186" spans="1:3" ht="14.45" hidden="1">
      <c r="A186" s="22"/>
      <c r="B186" s="30"/>
      <c r="C186" s="30"/>
    </row>
    <row r="187" spans="1:3" ht="14.45" hidden="1">
      <c r="A187" s="22"/>
      <c r="B187" s="30"/>
      <c r="C187" s="30"/>
    </row>
    <row r="188" spans="1:3" ht="14.45" hidden="1">
      <c r="A188" s="22"/>
      <c r="B188" s="30"/>
      <c r="C188" s="30"/>
    </row>
    <row r="189" spans="1:3" ht="14.45" hidden="1">
      <c r="A189" s="22"/>
      <c r="B189" s="30"/>
      <c r="C189" s="30"/>
    </row>
    <row r="190" spans="1:3" ht="14.45" hidden="1">
      <c r="A190" s="22"/>
      <c r="B190" s="30"/>
      <c r="C190" s="30"/>
    </row>
    <row r="191" spans="1:3" ht="14.45" hidden="1">
      <c r="A191" s="22"/>
      <c r="B191" s="30"/>
      <c r="C191" s="30"/>
    </row>
    <row r="192" spans="1:3" ht="14.45" hidden="1">
      <c r="A192" s="22"/>
      <c r="B192" s="30"/>
      <c r="C192" s="30"/>
    </row>
    <row r="193" spans="1:3" ht="14.45" hidden="1">
      <c r="A193" s="22"/>
      <c r="B193" s="30"/>
      <c r="C193" s="30"/>
    </row>
    <row r="194" spans="1:3" ht="14.45" hidden="1">
      <c r="A194" s="22"/>
      <c r="B194" s="30"/>
      <c r="C194" s="30"/>
    </row>
    <row r="195" spans="1:3" ht="14.45" hidden="1">
      <c r="A195" s="22"/>
      <c r="B195" s="30"/>
      <c r="C195" s="30"/>
    </row>
    <row r="196" spans="1:3" ht="14.45" hidden="1">
      <c r="A196" s="22"/>
      <c r="B196" s="30"/>
      <c r="C196" s="30"/>
    </row>
    <row r="197" spans="1:3" ht="14.45" hidden="1">
      <c r="A197" s="22"/>
      <c r="B197" s="30"/>
      <c r="C197" s="30"/>
    </row>
    <row r="198" spans="1:3" ht="14.45" hidden="1">
      <c r="A198" s="22"/>
      <c r="B198" s="30"/>
      <c r="C198" s="30"/>
    </row>
    <row r="199" spans="1:3" ht="14.45" hidden="1">
      <c r="A199" s="22"/>
      <c r="B199" s="30"/>
      <c r="C199" s="30"/>
    </row>
    <row r="200" spans="1:3" ht="14.45" hidden="1">
      <c r="A200" s="22"/>
      <c r="B200" s="30"/>
      <c r="C200" s="30"/>
    </row>
    <row r="201" spans="1:3" ht="14.45" hidden="1">
      <c r="A201" s="22"/>
      <c r="B201" s="30"/>
      <c r="C201" s="30"/>
    </row>
    <row r="202" spans="1:3" ht="14.45" hidden="1">
      <c r="A202" s="22"/>
      <c r="B202" s="30"/>
      <c r="C202" s="30"/>
    </row>
    <row r="203" spans="1:3" ht="14.45" hidden="1">
      <c r="A203" s="22"/>
      <c r="B203" s="30"/>
      <c r="C203" s="30"/>
    </row>
    <row r="204" spans="1:3" ht="14.45" hidden="1">
      <c r="A204" s="22"/>
    </row>
    <row r="205" spans="1:3" ht="14.45" hidden="1">
      <c r="A205" s="22"/>
    </row>
    <row r="206" spans="1:3" ht="14.45" hidden="1">
      <c r="A206" s="22"/>
    </row>
    <row r="207" spans="1:3" ht="14.45" hidden="1">
      <c r="A207" s="22"/>
    </row>
    <row r="208" spans="1:3" ht="14.45" hidden="1">
      <c r="A208" s="22"/>
    </row>
    <row r="209" spans="1:1" ht="14.45" hidden="1">
      <c r="A209" s="22"/>
    </row>
    <row r="210" spans="1:1" ht="14.45" hidden="1">
      <c r="A210" s="22"/>
    </row>
    <row r="211" spans="1:1" ht="14.45" hidden="1">
      <c r="A211" s="22"/>
    </row>
    <row r="212" spans="1:1" ht="14.45" hidden="1">
      <c r="A212" s="22"/>
    </row>
    <row r="213" spans="1:1" ht="14.45" hidden="1">
      <c r="A213" s="22"/>
    </row>
    <row r="214" spans="1:1" ht="14.45" hidden="1">
      <c r="A214" s="22"/>
    </row>
    <row r="215" spans="1:1" ht="14.45" hidden="1">
      <c r="A215" s="22"/>
    </row>
    <row r="216" spans="1:1" ht="14.45" hidden="1">
      <c r="A216" s="22"/>
    </row>
    <row r="217" spans="1:1" ht="14.45" hidden="1">
      <c r="A217" s="22"/>
    </row>
    <row r="218" spans="1:1" ht="14.45" hidden="1">
      <c r="A218" s="22"/>
    </row>
    <row r="219" spans="1:1" ht="14.45" hidden="1">
      <c r="A219" s="22"/>
    </row>
    <row r="220" spans="1:1" ht="14.45" hidden="1">
      <c r="A220" s="22"/>
    </row>
    <row r="221" spans="1:1" ht="14.45" hidden="1">
      <c r="A221" s="22"/>
    </row>
    <row r="222" spans="1:1" ht="14.45" hidden="1">
      <c r="A222" s="22"/>
    </row>
    <row r="223" spans="1:1" ht="14.45" hidden="1">
      <c r="A223" s="22"/>
    </row>
    <row r="224" spans="1:1" ht="14.45" hidden="1">
      <c r="A224" s="22"/>
    </row>
    <row r="225" ht="14.45" hidden="1"/>
    <row r="226" ht="14.45" hidden="1"/>
    <row r="227" ht="14.45" hidden="1"/>
    <row r="228" ht="14.45" hidden="1"/>
    <row r="229" ht="14.45" hidden="1"/>
    <row r="230" ht="14.45" hidden="1"/>
    <row r="231" ht="14.45" hidden="1"/>
    <row r="232" ht="14.45" hidden="1"/>
    <row r="233" ht="14.45" hidden="1"/>
    <row r="234" ht="14.45" hidden="1"/>
    <row r="235" ht="14.45" hidden="1"/>
    <row r="236" ht="14.45" hidden="1"/>
    <row r="237" ht="14.45" hidden="1"/>
    <row r="238" ht="14.45" hidden="1"/>
    <row r="239" ht="14.45" hidden="1"/>
    <row r="240" ht="14.45" hidden="1"/>
    <row r="241" ht="14.45" hidden="1"/>
    <row r="242" ht="14.45" hidden="1"/>
    <row r="243" ht="14.45" hidden="1"/>
    <row r="244" ht="14.45" hidden="1"/>
    <row r="245" ht="14.45" hidden="1"/>
    <row r="246" ht="14.45" hidden="1"/>
    <row r="247" ht="14.45" hidden="1"/>
    <row r="248" ht="14.45" hidden="1"/>
    <row r="249" ht="14.45" hidden="1"/>
    <row r="250" ht="14.45" hidden="1"/>
    <row r="251" ht="14.45" hidden="1"/>
    <row r="252" ht="14.45" hidden="1"/>
    <row r="253" ht="14.45" hidden="1"/>
    <row r="254" ht="14.45" hidden="1"/>
    <row r="255" ht="14.45" hidden="1"/>
    <row r="256" ht="14.45" hidden="1"/>
    <row r="257" ht="14.45" hidden="1"/>
    <row r="258" ht="14.45" hidden="1"/>
    <row r="259" ht="14.45" hidden="1"/>
    <row r="260" ht="14.45" hidden="1"/>
    <row r="261" ht="14.45" hidden="1"/>
    <row r="262" ht="14.45" hidden="1"/>
    <row r="263" ht="14.45" hidden="1"/>
    <row r="264" ht="14.45" hidden="1"/>
    <row r="265" ht="14.45" hidden="1"/>
    <row r="266" ht="14.45" hidden="1"/>
    <row r="267" ht="14.45" hidden="1"/>
    <row r="268" ht="14.45" hidden="1"/>
    <row r="269" ht="14.45" hidden="1"/>
    <row r="270" ht="14.45" hidden="1"/>
    <row r="271" ht="14.45" hidden="1"/>
    <row r="272" ht="14.45" hidden="1"/>
    <row r="273" ht="14.45" hidden="1"/>
    <row r="274" ht="14.45" hidden="1"/>
    <row r="275" ht="14.45" hidden="1"/>
    <row r="276" ht="14.45" hidden="1"/>
    <row r="277" ht="14.45" hidden="1"/>
    <row r="278" ht="14.45" hidden="1"/>
    <row r="279" ht="14.45" hidden="1"/>
    <row r="280" ht="14.45" hidden="1"/>
    <row r="281" ht="14.45" hidden="1"/>
    <row r="282" ht="14.45" hidden="1"/>
    <row r="283" ht="14.45" hidden="1"/>
    <row r="284" ht="14.45" hidden="1"/>
    <row r="285" ht="14.45" hidden="1"/>
    <row r="286" ht="14.45" hidden="1"/>
    <row r="287" ht="14.45" hidden="1"/>
    <row r="288" ht="14.45" hidden="1"/>
    <row r="289" ht="14.45" hidden="1"/>
    <row r="290" ht="14.45" hidden="1"/>
    <row r="291" ht="14.45" hidden="1"/>
    <row r="292" ht="14.45" hidden="1"/>
    <row r="293" ht="14.45" hidden="1"/>
    <row r="294" ht="14.45" hidden="1"/>
    <row r="295" ht="14.45" hidden="1"/>
    <row r="296" ht="14.45" hidden="1"/>
    <row r="297" ht="14.45" hidden="1"/>
    <row r="298" ht="14.45" hidden="1"/>
    <row r="299" ht="14.45" hidden="1"/>
    <row r="300" ht="14.45" hidden="1"/>
    <row r="301" ht="14.45" hidden="1"/>
    <row r="302" ht="14.45" hidden="1"/>
    <row r="303" ht="14.45" hidden="1"/>
    <row r="304" ht="14.45" hidden="1"/>
    <row r="305" ht="14.45" hidden="1"/>
    <row r="306" ht="14.45" hidden="1"/>
    <row r="307" ht="14.45" hidden="1"/>
    <row r="308" ht="14.45" hidden="1"/>
    <row r="309" ht="14.45" hidden="1"/>
    <row r="310" ht="14.45" hidden="1"/>
    <row r="311" ht="14.45" hidden="1"/>
    <row r="312" ht="14.45" hidden="1"/>
    <row r="313" ht="14.45" hidden="1"/>
    <row r="314" ht="14.45" hidden="1"/>
    <row r="315" ht="14.45" hidden="1"/>
    <row r="316" ht="14.45" hidden="1"/>
    <row r="317" ht="14.45" hidden="1"/>
    <row r="318" ht="14.45" hidden="1"/>
    <row r="319" ht="14.45" hidden="1"/>
    <row r="320" ht="14.45" hidden="1"/>
    <row r="321" ht="14.45" hidden="1"/>
    <row r="322" ht="14.45" hidden="1"/>
    <row r="323" ht="14.45" hidden="1"/>
    <row r="324" ht="14.45" hidden="1"/>
    <row r="325" ht="14.45" hidden="1"/>
    <row r="326" ht="14.45" hidden="1"/>
    <row r="327" ht="14.45" hidden="1"/>
    <row r="328" ht="14.45" hidden="1"/>
    <row r="329" ht="14.45" hidden="1"/>
    <row r="330" ht="14.45" hidden="1"/>
    <row r="331" ht="14.45" hidden="1"/>
    <row r="332" ht="14.45" hidden="1"/>
    <row r="333" ht="14.45" hidden="1"/>
    <row r="334" ht="14.45" hidden="1"/>
    <row r="335" ht="14.45" hidden="1"/>
    <row r="336" ht="14.45" hidden="1"/>
    <row r="337" ht="14.45" hidden="1"/>
    <row r="338" ht="14.45" hidden="1"/>
    <row r="339" ht="14.45" hidden="1"/>
    <row r="340" ht="14.45" hidden="1"/>
    <row r="341" ht="14.45" hidden="1"/>
    <row r="342" ht="14.45" hidden="1"/>
    <row r="343" ht="14.45" hidden="1"/>
    <row r="344" ht="14.45" hidden="1"/>
    <row r="345" ht="14.45" hidden="1"/>
    <row r="346" ht="14.45" hidden="1"/>
    <row r="347" ht="14.45" hidden="1"/>
    <row r="348" ht="14.45" hidden="1"/>
    <row r="349" ht="14.45" hidden="1"/>
    <row r="350" ht="14.45" hidden="1"/>
    <row r="351" ht="14.45" hidden="1"/>
    <row r="352" ht="14.45" hidden="1"/>
    <row r="353" ht="14.45" hidden="1"/>
    <row r="354" ht="14.45" hidden="1"/>
    <row r="355" ht="14.45" hidden="1"/>
    <row r="356" ht="14.45" hidden="1"/>
    <row r="357" ht="14.45" hidden="1"/>
    <row r="358" ht="14.45" hidden="1"/>
    <row r="359" ht="14.45" hidden="1"/>
    <row r="360" ht="14.45" hidden="1"/>
    <row r="361" ht="14.45" hidden="1"/>
    <row r="362" ht="14.45" hidden="1"/>
    <row r="363" ht="14.45" hidden="1"/>
    <row r="364" ht="14.45" hidden="1"/>
    <row r="365" ht="14.45" hidden="1"/>
    <row r="366" ht="14.45" hidden="1"/>
    <row r="367" ht="14.45" hidden="1"/>
    <row r="368" ht="14.45" hidden="1"/>
    <row r="369" ht="14.45" hidden="1"/>
    <row r="370" ht="14.45" hidden="1"/>
    <row r="371" ht="14.45" hidden="1"/>
    <row r="372" ht="14.45" hidden="1"/>
    <row r="373" ht="14.45" hidden="1"/>
    <row r="374" ht="14.45" hidden="1"/>
    <row r="375" ht="14.45" hidden="1"/>
    <row r="376" ht="14.45" hidden="1"/>
    <row r="377" ht="14.45" hidden="1"/>
    <row r="378" ht="14.45" hidden="1"/>
    <row r="379" ht="14.45" hidden="1"/>
    <row r="380" ht="14.45" hidden="1"/>
    <row r="381" ht="14.45" hidden="1"/>
    <row r="382" ht="14.45" hidden="1"/>
    <row r="383" ht="14.45" hidden="1"/>
    <row r="384" ht="14.45" hidden="1"/>
    <row r="385" ht="14.45" hidden="1"/>
    <row r="386" ht="14.45" hidden="1"/>
    <row r="387" ht="14.45" hidden="1"/>
    <row r="388" ht="14.45" hidden="1"/>
    <row r="389" ht="14.45" hidden="1"/>
    <row r="390" ht="14.45" hidden="1"/>
    <row r="391" ht="14.45" hidden="1"/>
    <row r="392" ht="14.45" hidden="1"/>
    <row r="393" ht="14.45" hidden="1"/>
    <row r="394" ht="14.45" hidden="1"/>
    <row r="395" ht="14.45" hidden="1"/>
    <row r="396" ht="14.45" hidden="1"/>
    <row r="397" ht="14.45" hidden="1"/>
    <row r="398" ht="14.45" hidden="1"/>
    <row r="399" ht="14.45" hidden="1"/>
    <row r="400" ht="14.45" hidden="1"/>
    <row r="401" ht="14.45" hidden="1"/>
    <row r="402" ht="14.45" hidden="1"/>
    <row r="403" ht="14.45" hidden="1"/>
    <row r="404" ht="14.45" hidden="1"/>
    <row r="405" ht="14.45" hidden="1"/>
    <row r="406" ht="14.45" hidden="1"/>
    <row r="407" ht="14.45" hidden="1"/>
    <row r="408" ht="14.45" hidden="1"/>
    <row r="409" ht="14.45" hidden="1"/>
    <row r="410" ht="14.45" hidden="1"/>
    <row r="411" ht="14.45" hidden="1"/>
    <row r="412" ht="14.45" hidden="1"/>
    <row r="413" ht="14.45" hidden="1"/>
    <row r="414" ht="14.45" hidden="1"/>
    <row r="415" ht="14.45" hidden="1"/>
    <row r="416" ht="14.45" hidden="1"/>
    <row r="417" ht="14.45" hidden="1"/>
    <row r="418" ht="14.45" hidden="1"/>
    <row r="419" ht="14.45" hidden="1"/>
    <row r="420" ht="14.45" hidden="1"/>
    <row r="421" ht="14.45" hidden="1"/>
    <row r="422" ht="14.45" hidden="1"/>
    <row r="423" ht="14.45" hidden="1"/>
    <row r="424" ht="14.45" hidden="1"/>
    <row r="425" ht="14.45" hidden="1"/>
    <row r="426" ht="14.45" hidden="1"/>
    <row r="427" ht="14.45" hidden="1"/>
    <row r="428" ht="14.45" hidden="1"/>
    <row r="429" ht="14.45" hidden="1"/>
    <row r="430" ht="14.45" hidden="1"/>
    <row r="431" ht="14.45" hidden="1"/>
    <row r="432" ht="14.45" hidden="1"/>
    <row r="433" ht="14.45" hidden="1"/>
    <row r="434" ht="14.45" hidden="1"/>
    <row r="435" ht="14.45" hidden="1"/>
    <row r="436" ht="14.45" hidden="1"/>
    <row r="437" ht="14.45" hidden="1"/>
    <row r="438" ht="14.45" hidden="1"/>
    <row r="439" ht="14.45" hidden="1"/>
    <row r="440" ht="14.45" hidden="1"/>
    <row r="441" ht="14.45" hidden="1"/>
    <row r="442" ht="14.45" hidden="1"/>
    <row r="443" ht="14.45" hidden="1"/>
    <row r="444" ht="14.45" hidden="1"/>
    <row r="445" ht="14.45" hidden="1"/>
    <row r="446" ht="14.45" hidden="1"/>
    <row r="447" ht="14.45" hidden="1"/>
    <row r="448" ht="14.45" hidden="1"/>
    <row r="449" ht="14.45" hidden="1"/>
    <row r="450" ht="14.45" hidden="1"/>
    <row r="451" ht="14.45" hidden="1"/>
    <row r="452" ht="14.45" hidden="1"/>
    <row r="453" ht="14.45" hidden="1"/>
    <row r="454" ht="14.45" hidden="1"/>
    <row r="455" ht="14.45" hidden="1"/>
    <row r="456" ht="14.45" hidden="1"/>
    <row r="457" ht="14.45" hidden="1"/>
    <row r="458" ht="14.45" hidden="1"/>
    <row r="459" ht="14.45" hidden="1"/>
    <row r="460" ht="14.45" hidden="1"/>
    <row r="461" ht="14.45" hidden="1"/>
    <row r="462" ht="14.45" hidden="1"/>
    <row r="463" ht="14.45" hidden="1"/>
    <row r="464" ht="14.45" hidden="1"/>
    <row r="465" ht="14.45" hidden="1"/>
    <row r="466" ht="14.45" hidden="1"/>
    <row r="467" ht="14.45" hidden="1"/>
    <row r="468" ht="14.45" hidden="1"/>
    <row r="469" ht="14.45" hidden="1"/>
    <row r="470" ht="14.45" hidden="1"/>
    <row r="471" ht="14.45" hidden="1"/>
    <row r="472" ht="14.45" hidden="1"/>
    <row r="473" ht="14.45" hidden="1"/>
    <row r="474" ht="14.45" hidden="1"/>
    <row r="475" ht="14.45" hidden="1"/>
    <row r="476" ht="14.45" hidden="1"/>
    <row r="477" ht="14.45" hidden="1"/>
    <row r="478" ht="14.45" hidden="1"/>
    <row r="479" ht="14.45" hidden="1"/>
    <row r="480" ht="14.45" hidden="1"/>
    <row r="481" ht="14.45" hidden="1"/>
    <row r="482" ht="14.45" hidden="1"/>
    <row r="483" ht="14.45" hidden="1"/>
    <row r="484" ht="14.45" hidden="1"/>
    <row r="485" ht="14.45" hidden="1"/>
    <row r="486" ht="14.45" hidden="1"/>
    <row r="487" ht="14.45" hidden="1"/>
    <row r="488" ht="14.45" hidden="1"/>
    <row r="489" ht="14.45" hidden="1"/>
    <row r="490" ht="14.45" hidden="1"/>
    <row r="491" ht="14.45" hidden="1"/>
    <row r="492" ht="14.45" hidden="1"/>
    <row r="493" ht="14.45" hidden="1"/>
    <row r="494" ht="14.45" hidden="1"/>
    <row r="495" ht="14.45" hidden="1"/>
    <row r="496" ht="14.45" hidden="1"/>
    <row r="497" ht="14.45" hidden="1"/>
    <row r="498" ht="14.45" hidden="1"/>
    <row r="499" ht="14.45" hidden="1"/>
    <row r="500" ht="14.45" hidden="1"/>
    <row r="501" ht="14.45" hidden="1"/>
    <row r="502" ht="14.45" hidden="1"/>
    <row r="503" ht="14.45" hidden="1"/>
    <row r="504" ht="14.45" hidden="1"/>
    <row r="505" ht="14.45" hidden="1"/>
    <row r="506" ht="14.45" hidden="1"/>
    <row r="507" ht="14.45" hidden="1"/>
    <row r="508" ht="14.45" hidden="1"/>
    <row r="509" ht="14.45" hidden="1"/>
    <row r="510" ht="14.45" hidden="1"/>
    <row r="511" ht="14.45" hidden="1"/>
    <row r="512" ht="14.45" hidden="1"/>
    <row r="513" ht="14.45" hidden="1"/>
    <row r="514" ht="14.45" hidden="1"/>
    <row r="515" ht="14.45" hidden="1"/>
    <row r="516" ht="14.45" hidden="1"/>
    <row r="517" ht="14.45" hidden="1"/>
    <row r="518" ht="14.45" hidden="1"/>
    <row r="519" ht="14.45" hidden="1"/>
    <row r="520" ht="14.45" hidden="1"/>
    <row r="521" ht="14.45" hidden="1"/>
    <row r="522" ht="14.45" hidden="1"/>
    <row r="523" ht="14.45" hidden="1"/>
    <row r="524" ht="14.45" hidden="1"/>
    <row r="525" ht="14.45" hidden="1"/>
    <row r="526" ht="14.45" hidden="1"/>
    <row r="527" ht="14.45" hidden="1"/>
    <row r="528" ht="14.45" hidden="1"/>
    <row r="529" ht="14.45" hidden="1"/>
    <row r="530" ht="14.45" hidden="1"/>
    <row r="531" ht="14.45" hidden="1"/>
    <row r="532" ht="14.45" hidden="1"/>
    <row r="533" ht="14.45" hidden="1"/>
    <row r="534" ht="14.45" hidden="1"/>
    <row r="535" ht="14.45" hidden="1"/>
    <row r="536" ht="14.45" hidden="1"/>
    <row r="537" ht="14.45" hidden="1"/>
    <row r="538" ht="14.45" hidden="1"/>
    <row r="539" ht="14.45" hidden="1"/>
    <row r="540" ht="14.45" hidden="1"/>
    <row r="541" ht="14.45" hidden="1"/>
    <row r="542" ht="14.45" hidden="1"/>
    <row r="543" ht="14.45" hidden="1"/>
    <row r="544" ht="14.45" hidden="1"/>
    <row r="545" ht="14.45" hidden="1"/>
    <row r="546" ht="14.45" hidden="1"/>
    <row r="547" ht="14.45" hidden="1"/>
    <row r="548" ht="14.45" hidden="1"/>
    <row r="549" ht="14.45" hidden="1"/>
    <row r="550" ht="14.45" hidden="1"/>
    <row r="551" ht="14.45" hidden="1"/>
    <row r="552" ht="14.45" hidden="1"/>
    <row r="553" ht="14.45" hidden="1"/>
    <row r="554" ht="14.45" hidden="1"/>
    <row r="555" ht="14.45" hidden="1"/>
    <row r="556" ht="14.45" hidden="1"/>
    <row r="557" ht="14.45" hidden="1"/>
    <row r="558" ht="14.45" hidden="1"/>
    <row r="559" ht="14.45" hidden="1"/>
    <row r="560" ht="14.45" hidden="1"/>
    <row r="561" ht="14.45" hidden="1"/>
    <row r="562" ht="14.45" hidden="1"/>
    <row r="563" ht="14.45" hidden="1"/>
    <row r="564" ht="14.45" hidden="1"/>
    <row r="565" ht="14.45" hidden="1"/>
    <row r="566" ht="14.45" hidden="1"/>
    <row r="567" ht="14.45" hidden="1"/>
    <row r="568" ht="14.45" hidden="1"/>
    <row r="569" ht="14.45" hidden="1"/>
    <row r="570" ht="14.45" hidden="1"/>
    <row r="571" ht="14.45" hidden="1"/>
    <row r="572" ht="14.45" hidden="1"/>
    <row r="573" ht="14.45" hidden="1"/>
    <row r="574" ht="14.45" hidden="1"/>
    <row r="575" ht="14.45" hidden="1"/>
    <row r="576" ht="14.45" hidden="1"/>
    <row r="577" ht="14.45" hidden="1"/>
    <row r="578" ht="14.45" hidden="1"/>
    <row r="579" ht="14.45" hidden="1"/>
    <row r="580" ht="14.45" hidden="1"/>
    <row r="581" ht="14.45" hidden="1"/>
    <row r="582" ht="14.45" hidden="1"/>
    <row r="583" ht="14.45" hidden="1"/>
    <row r="584" ht="14.45" hidden="1"/>
    <row r="585" ht="14.45" hidden="1"/>
    <row r="586" ht="14.45" hidden="1"/>
    <row r="587" ht="14.45" hidden="1"/>
    <row r="588" ht="14.45" hidden="1"/>
    <row r="589" ht="14.45" hidden="1"/>
    <row r="590" ht="14.45" hidden="1"/>
    <row r="591" ht="14.45" hidden="1"/>
    <row r="592" ht="14.45" hidden="1"/>
    <row r="593" ht="14.45" hidden="1"/>
    <row r="594" ht="14.45" hidden="1"/>
    <row r="595" ht="14.45" hidden="1"/>
    <row r="596" ht="14.45" hidden="1"/>
    <row r="597" ht="14.45" hidden="1"/>
    <row r="598" ht="14.45" hidden="1"/>
    <row r="599" ht="14.45" hidden="1"/>
    <row r="600" ht="14.45" hidden="1"/>
    <row r="601" ht="14.45" hidden="1"/>
    <row r="602" ht="14.45" hidden="1"/>
    <row r="603" ht="14.45" hidden="1"/>
    <row r="604" ht="14.45" hidden="1"/>
    <row r="605" ht="14.45" hidden="1"/>
    <row r="606" ht="14.45" hidden="1"/>
    <row r="607" ht="14.45" hidden="1"/>
    <row r="608" ht="14.45" hidden="1"/>
    <row r="609" ht="14.45" hidden="1"/>
    <row r="610" ht="14.45" hidden="1"/>
    <row r="611" ht="14.45" hidden="1"/>
    <row r="612" ht="14.45" hidden="1"/>
    <row r="613" ht="14.45" hidden="1"/>
    <row r="614" ht="14.45" hidden="1"/>
    <row r="615" ht="14.45" hidden="1"/>
    <row r="616" ht="14.45" hidden="1"/>
    <row r="617" ht="14.45" hidden="1"/>
    <row r="618" ht="14.45" hidden="1"/>
    <row r="619" ht="14.45" hidden="1"/>
    <row r="620" ht="14.45" hidden="1"/>
    <row r="621" ht="14.45" hidden="1"/>
    <row r="622" ht="14.45" hidden="1"/>
    <row r="623" ht="14.45" hidden="1"/>
    <row r="624" ht="14.45" hidden="1"/>
    <row r="625" ht="14.45" hidden="1"/>
    <row r="626" ht="14.45" hidden="1"/>
    <row r="627" ht="14.45" hidden="1"/>
    <row r="628" ht="14.45" hidden="1"/>
    <row r="629" ht="14.45" hidden="1"/>
    <row r="630" ht="14.45" hidden="1"/>
    <row r="631" ht="14.45" hidden="1"/>
    <row r="632" ht="14.45" hidden="1"/>
    <row r="633" ht="14.45" hidden="1"/>
    <row r="634" ht="14.45" hidden="1"/>
    <row r="635" ht="14.45" hidden="1"/>
    <row r="636" ht="14.45" hidden="1"/>
    <row r="637" ht="14.45" hidden="1"/>
    <row r="638" ht="14.45" hidden="1"/>
    <row r="639" ht="14.45" hidden="1"/>
    <row r="640" ht="14.45" hidden="1"/>
    <row r="641" ht="14.45" hidden="1"/>
    <row r="642" ht="14.45" hidden="1"/>
    <row r="643" ht="14.45" hidden="1"/>
    <row r="644" ht="14.45" hidden="1"/>
    <row r="645" ht="14.45" hidden="1"/>
    <row r="646" ht="14.45" hidden="1"/>
    <row r="647" ht="14.45" hidden="1"/>
    <row r="648" ht="14.45" hidden="1"/>
    <row r="649" ht="14.45" hidden="1"/>
    <row r="650" ht="14.45" hidden="1"/>
    <row r="651" ht="14.45" hidden="1"/>
    <row r="652" ht="14.45" hidden="1"/>
    <row r="653" ht="14.45" hidden="1"/>
    <row r="654" ht="14.45" hidden="1"/>
    <row r="655" ht="14.45" hidden="1"/>
    <row r="656" ht="14.45" hidden="1"/>
    <row r="657" ht="14.45" hidden="1"/>
    <row r="658" ht="14.45" hidden="1"/>
    <row r="659" ht="14.45" hidden="1"/>
    <row r="660" ht="14.45" hidden="1"/>
    <row r="661" ht="14.45" hidden="1"/>
    <row r="662" ht="14.45" hidden="1"/>
    <row r="663" ht="14.45" hidden="1"/>
    <row r="664" ht="14.45" hidden="1"/>
    <row r="665" ht="14.45" hidden="1"/>
    <row r="666" ht="14.45" hidden="1"/>
    <row r="667" ht="14.45" hidden="1"/>
    <row r="668" ht="14.45" hidden="1"/>
    <row r="669" ht="14.45" hidden="1"/>
    <row r="670" ht="14.45" hidden="1"/>
    <row r="671" ht="14.45" hidden="1"/>
    <row r="672" ht="14.45" hidden="1"/>
    <row r="673" ht="14.45" hidden="1"/>
    <row r="674" ht="14.45" hidden="1"/>
    <row r="675" ht="14.45" hidden="1"/>
    <row r="676" ht="14.45" hidden="1"/>
    <row r="677" ht="14.45" hidden="1"/>
    <row r="678" ht="14.45" hidden="1"/>
    <row r="679" ht="14.45" hidden="1"/>
    <row r="680" ht="14.45" hidden="1"/>
    <row r="681" ht="14.45" hidden="1"/>
    <row r="682" ht="14.45" hidden="1"/>
    <row r="683" ht="14.45" hidden="1"/>
    <row r="684" ht="14.45" hidden="1"/>
    <row r="685" ht="14.45" hidden="1"/>
    <row r="686" ht="14.45" hidden="1"/>
    <row r="687" ht="14.45" hidden="1"/>
    <row r="688" ht="14.45" hidden="1"/>
    <row r="689" ht="14.45" hidden="1"/>
    <row r="690" ht="14.45" hidden="1"/>
    <row r="691" ht="14.45" hidden="1"/>
    <row r="692" ht="14.45" hidden="1"/>
    <row r="693" ht="14.45" hidden="1"/>
    <row r="694" ht="14.45" hidden="1"/>
    <row r="695" ht="14.45" hidden="1"/>
    <row r="696" ht="14.45" hidden="1"/>
    <row r="697" ht="14.45" hidden="1"/>
    <row r="698" ht="14.45" hidden="1"/>
    <row r="699" ht="14.45" hidden="1"/>
    <row r="700" ht="14.45" hidden="1"/>
    <row r="701" ht="14.45" hidden="1"/>
    <row r="702" ht="14.45" hidden="1"/>
    <row r="703" ht="14.45" hidden="1"/>
    <row r="704" ht="14.45" hidden="1"/>
    <row r="705" ht="14.45" hidden="1"/>
    <row r="706" ht="14.45" hidden="1"/>
    <row r="707" ht="14.45" hidden="1"/>
    <row r="708" ht="14.45" hidden="1"/>
    <row r="709" ht="14.45" hidden="1"/>
    <row r="710" ht="14.45" hidden="1"/>
    <row r="711" ht="14.45" hidden="1"/>
    <row r="712" ht="14.45" hidden="1"/>
    <row r="713" ht="14.45" hidden="1"/>
    <row r="714" ht="14.45" hidden="1"/>
    <row r="715" ht="14.45" hidden="1"/>
    <row r="716" ht="14.45" hidden="1"/>
    <row r="717" ht="14.45" hidden="1"/>
    <row r="718" ht="14.45" hidden="1"/>
    <row r="719" ht="14.45" hidden="1"/>
    <row r="720" ht="14.45" hidden="1"/>
    <row r="721" ht="14.45" hidden="1"/>
    <row r="722" ht="14.45" hidden="1"/>
    <row r="723" ht="14.45" hidden="1"/>
    <row r="724" ht="14.45" hidden="1"/>
    <row r="725" ht="14.45" hidden="1"/>
    <row r="726" ht="14.45" hidden="1"/>
    <row r="727" ht="14.45" hidden="1"/>
    <row r="728" ht="14.45" hidden="1"/>
    <row r="729" ht="14.45" hidden="1"/>
    <row r="730" ht="14.45" hidden="1"/>
    <row r="731" ht="14.45" hidden="1"/>
    <row r="732" ht="14.45" hidden="1"/>
    <row r="733" ht="14.45" hidden="1"/>
    <row r="734" ht="14.45" hidden="1"/>
    <row r="735" ht="14.45" hidden="1"/>
    <row r="736" ht="14.45" hidden="1"/>
    <row r="737" ht="14.45" hidden="1"/>
    <row r="738" ht="14.45" hidden="1"/>
    <row r="739" ht="14.45" hidden="1"/>
    <row r="740" ht="14.45" hidden="1"/>
    <row r="741" ht="14.45" hidden="1"/>
    <row r="742" ht="14.45" hidden="1"/>
    <row r="743" ht="14.45" hidden="1"/>
    <row r="744" ht="14.45" hidden="1"/>
    <row r="745" ht="14.45" hidden="1"/>
    <row r="746" ht="14.45" hidden="1"/>
    <row r="747" ht="14.45" hidden="1"/>
    <row r="748" ht="14.45" hidden="1"/>
    <row r="749" ht="14.45" hidden="1"/>
    <row r="750" ht="14.45" hidden="1"/>
    <row r="751" ht="14.45" hidden="1"/>
    <row r="752" ht="14.45" hidden="1"/>
    <row r="753" ht="14.45" hidden="1"/>
    <row r="754" ht="14.45" hidden="1"/>
    <row r="755" ht="14.45" hidden="1"/>
    <row r="756" ht="14.45" hidden="1"/>
    <row r="757" ht="14.45" hidden="1"/>
    <row r="758" ht="14.45" hidden="1"/>
    <row r="759" ht="14.45" hidden="1"/>
    <row r="760" ht="14.45" hidden="1"/>
    <row r="761" ht="14.45" hidden="1"/>
    <row r="762" ht="14.45" hidden="1"/>
    <row r="763" ht="14.45" hidden="1"/>
    <row r="764" ht="14.45" hidden="1"/>
    <row r="765" ht="14.45" hidden="1"/>
    <row r="766" ht="14.45" hidden="1"/>
    <row r="767" ht="14.45" hidden="1"/>
    <row r="768" ht="14.45" hidden="1"/>
    <row r="769" ht="14.45" hidden="1"/>
    <row r="770" ht="14.45" hidden="1"/>
    <row r="771" ht="14.45" hidden="1"/>
    <row r="772" ht="14.45" hidden="1"/>
    <row r="773" ht="14.45" hidden="1"/>
    <row r="774" ht="14.45" hidden="1"/>
    <row r="775" ht="14.45" hidden="1"/>
    <row r="776" ht="14.45" hidden="1"/>
    <row r="777" ht="14.45" hidden="1"/>
    <row r="778" ht="14.45" hidden="1"/>
    <row r="779" ht="14.45" hidden="1"/>
    <row r="780" ht="14.45" hidden="1"/>
    <row r="781" ht="14.45" hidden="1"/>
    <row r="782" ht="14.45" hidden="1"/>
    <row r="783" ht="14.45" hidden="1"/>
    <row r="784" ht="14.45" hidden="1"/>
    <row r="785" ht="14.45" hidden="1"/>
    <row r="786" ht="14.45" hidden="1"/>
    <row r="787" ht="14.45" hidden="1"/>
    <row r="788" ht="14.45" hidden="1"/>
    <row r="789" ht="14.45" hidden="1"/>
    <row r="790" ht="14.45" hidden="1"/>
    <row r="791" ht="14.45" hidden="1"/>
    <row r="792" ht="14.45" hidden="1"/>
    <row r="793" ht="14.45" hidden="1"/>
    <row r="794" ht="14.45" hidden="1"/>
    <row r="795" ht="14.45" hidden="1"/>
    <row r="796" ht="14.45" hidden="1"/>
    <row r="797" ht="14.45" hidden="1"/>
    <row r="798" ht="14.45" hidden="1"/>
    <row r="799" ht="14.45" hidden="1"/>
    <row r="800" ht="14.45" hidden="1"/>
    <row r="801" ht="14.45" hidden="1"/>
    <row r="802" ht="14.45" hidden="1"/>
    <row r="803" ht="14.45" hidden="1"/>
    <row r="804" ht="14.45" hidden="1"/>
    <row r="805" ht="14.45" hidden="1"/>
    <row r="806" ht="14.45" hidden="1"/>
    <row r="807" ht="14.45" hidden="1"/>
    <row r="808" ht="14.45" hidden="1"/>
    <row r="809" ht="14.45" hidden="1"/>
    <row r="810" ht="14.45" hidden="1"/>
    <row r="811" ht="14.45" hidden="1"/>
    <row r="812" ht="14.45" hidden="1"/>
    <row r="813" ht="14.45" hidden="1"/>
    <row r="814" ht="14.45" hidden="1"/>
    <row r="815" ht="14.45" hidden="1"/>
    <row r="816" ht="14.45" hidden="1"/>
    <row r="817" ht="14.45" hidden="1"/>
    <row r="818" ht="14.45" hidden="1"/>
    <row r="819" ht="14.45" hidden="1"/>
    <row r="820" ht="14.45" hidden="1"/>
    <row r="821" ht="14.45" hidden="1"/>
    <row r="822" ht="14.45" hidden="1"/>
    <row r="823" ht="14.45" hidden="1"/>
    <row r="824" ht="14.45" hidden="1"/>
    <row r="825" ht="14.45" hidden="1"/>
    <row r="826" ht="14.45" hidden="1"/>
    <row r="827" ht="14.45" hidden="1"/>
    <row r="828" ht="14.45" hidden="1"/>
    <row r="829" ht="14.45" hidden="1"/>
    <row r="830" ht="14.45" hidden="1"/>
    <row r="831" ht="14.45" hidden="1"/>
    <row r="832" ht="14.45" hidden="1"/>
    <row r="833" ht="14.45" hidden="1"/>
    <row r="834" ht="14.45" hidden="1"/>
    <row r="835" ht="14.45" hidden="1"/>
    <row r="836" ht="14.45" hidden="1"/>
    <row r="837" ht="14.45" hidden="1"/>
    <row r="838" ht="14.45" hidden="1"/>
    <row r="839" ht="14.45" hidden="1"/>
    <row r="840" ht="14.45" hidden="1"/>
    <row r="841" ht="14.45" hidden="1"/>
    <row r="842" ht="14.45" hidden="1"/>
    <row r="843" ht="14.45" hidden="1"/>
    <row r="844" ht="14.45" hidden="1"/>
    <row r="845" ht="14.45" hidden="1"/>
    <row r="846" ht="14.45" hidden="1"/>
    <row r="847" ht="14.45" hidden="1"/>
    <row r="848" ht="14.45" hidden="1"/>
    <row r="849" ht="14.45" hidden="1"/>
    <row r="850" ht="14.45" hidden="1"/>
    <row r="851" ht="14.45" hidden="1"/>
    <row r="852" ht="14.45" hidden="1"/>
    <row r="853" ht="14.45" hidden="1"/>
    <row r="854" ht="14.45" hidden="1"/>
    <row r="855" ht="14.45" hidden="1"/>
    <row r="856" ht="14.45" hidden="1"/>
    <row r="857" ht="14.45" hidden="1"/>
    <row r="858" ht="14.45" hidden="1"/>
    <row r="859" ht="14.45" hidden="1"/>
    <row r="860" ht="14.45" hidden="1"/>
    <row r="861" ht="14.45" hidden="1"/>
    <row r="862" ht="14.45" hidden="1"/>
    <row r="863" ht="14.45" hidden="1"/>
    <row r="864" ht="14.45" hidden="1"/>
    <row r="865" ht="14.45" hidden="1"/>
    <row r="866" ht="14.45" hidden="1"/>
    <row r="867" ht="14.45" hidden="1"/>
    <row r="868" ht="14.45" hidden="1"/>
    <row r="869" ht="14.45" hidden="1"/>
    <row r="870" ht="14.45" hidden="1"/>
    <row r="871" ht="14.45" hidden="1"/>
    <row r="872" ht="14.45" hidden="1"/>
    <row r="873" ht="14.45" hidden="1"/>
    <row r="874" ht="14.45" hidden="1"/>
    <row r="875" ht="14.45" hidden="1"/>
    <row r="876" ht="14.45" hidden="1"/>
    <row r="877" ht="14.45" hidden="1"/>
    <row r="878" ht="14.45" hidden="1"/>
    <row r="879" ht="14.45" hidden="1"/>
    <row r="880" ht="14.45" hidden="1"/>
    <row r="881" ht="14.45" hidden="1"/>
    <row r="882" ht="14.45" hidden="1"/>
    <row r="883" ht="14.45" hidden="1"/>
    <row r="884" ht="14.45" hidden="1"/>
    <row r="885" ht="14.45" hidden="1"/>
    <row r="886" ht="14.45" hidden="1"/>
    <row r="887" ht="14.45" hidden="1"/>
    <row r="888" ht="14.45" hidden="1"/>
    <row r="889" ht="14.45" hidden="1"/>
    <row r="890" ht="14.45" hidden="1"/>
    <row r="891" ht="14.45" hidden="1"/>
    <row r="892" ht="14.45" hidden="1"/>
    <row r="893" ht="14.45" hidden="1"/>
    <row r="894" ht="14.45" hidden="1"/>
    <row r="895" ht="14.45" hidden="1"/>
    <row r="896" ht="14.45" hidden="1"/>
    <row r="897" ht="14.45" hidden="1"/>
    <row r="898" ht="14.45" hidden="1"/>
    <row r="899" ht="14.45" hidden="1"/>
    <row r="900" ht="14.45" hidden="1"/>
    <row r="901" ht="14.45" hidden="1"/>
    <row r="902" ht="14.45" hidden="1"/>
    <row r="903" ht="14.45" hidden="1"/>
    <row r="904" ht="14.45" hidden="1"/>
    <row r="905" ht="14.45" hidden="1"/>
    <row r="906" ht="14.45" hidden="1"/>
    <row r="907" ht="14.45" hidden="1"/>
    <row r="908" ht="14.45" hidden="1"/>
    <row r="909" ht="14.45" hidden="1"/>
    <row r="910" ht="14.45" hidden="1"/>
    <row r="911" ht="14.45" hidden="1"/>
    <row r="912" ht="14.45" hidden="1"/>
    <row r="913" ht="14.45" hidden="1"/>
    <row r="914" ht="14.45" hidden="1"/>
    <row r="915" ht="14.45" hidden="1"/>
    <row r="916" ht="14.45" hidden="1"/>
    <row r="917" ht="14.45" hidden="1"/>
    <row r="918" ht="14.45" hidden="1"/>
    <row r="919" ht="14.45" hidden="1"/>
    <row r="920" ht="14.45" hidden="1"/>
    <row r="921" ht="14.45" hidden="1"/>
    <row r="922" ht="14.45" hidden="1"/>
    <row r="923" ht="14.45" hidden="1"/>
    <row r="924" ht="14.45" hidden="1"/>
    <row r="925" ht="14.45" hidden="1"/>
    <row r="926" ht="14.45" hidden="1"/>
    <row r="927" ht="14.45" hidden="1"/>
    <row r="928" ht="14.45" hidden="1"/>
    <row r="929" ht="14.45" hidden="1"/>
    <row r="930" ht="14.45" hidden="1"/>
    <row r="931" ht="14.45" hidden="1"/>
    <row r="932" ht="14.45" hidden="1"/>
    <row r="933" ht="14.45" hidden="1"/>
    <row r="934" ht="14.45" hidden="1"/>
    <row r="935" ht="14.45" hidden="1"/>
    <row r="936" ht="14.45" hidden="1"/>
    <row r="937" ht="14.45" hidden="1"/>
    <row r="938" ht="14.45" hidden="1"/>
    <row r="939" ht="14.45" hidden="1"/>
    <row r="940" ht="14.45" hidden="1"/>
    <row r="941" ht="14.45" hidden="1"/>
    <row r="942" ht="14.45" hidden="1"/>
    <row r="943" ht="14.45" hidden="1"/>
    <row r="944" ht="14.45" hidden="1"/>
    <row r="945" ht="14.45" hidden="1"/>
    <row r="946" ht="14.45" hidden="1"/>
    <row r="947" ht="14.45" hidden="1"/>
    <row r="948" ht="14.45" hidden="1"/>
    <row r="949" ht="14.45" hidden="1"/>
    <row r="950" ht="14.45" hidden="1"/>
    <row r="951" ht="14.45" hidden="1"/>
    <row r="952" ht="14.45" hidden="1"/>
    <row r="953" ht="14.45" hidden="1"/>
    <row r="954" ht="14.45" hidden="1"/>
    <row r="955" ht="14.45" hidden="1"/>
    <row r="956" ht="14.45" hidden="1"/>
    <row r="957" ht="14.45" hidden="1"/>
    <row r="958" ht="14.45" hidden="1"/>
    <row r="959" ht="14.45" hidden="1"/>
    <row r="960" ht="14.45" hidden="1"/>
    <row r="961" ht="14.45" hidden="1"/>
    <row r="962" ht="14.45" hidden="1"/>
    <row r="963" ht="14.45" hidden="1"/>
    <row r="964" ht="14.45" hidden="1"/>
    <row r="965" ht="14.45" hidden="1"/>
    <row r="966" ht="14.45" hidden="1"/>
    <row r="967" ht="14.45" hidden="1"/>
    <row r="968" ht="14.45" hidden="1"/>
    <row r="969" ht="14.45" hidden="1"/>
    <row r="970" ht="14.45" hidden="1"/>
    <row r="971" ht="14.45" hidden="1"/>
    <row r="972" ht="14.45" hidden="1"/>
    <row r="973" ht="14.45" hidden="1"/>
    <row r="974" ht="14.45" hidden="1"/>
    <row r="975" ht="14.45" hidden="1"/>
    <row r="976" ht="14.45" hidden="1"/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R195"/>
  <sheetViews>
    <sheetView showGridLines="0" zoomScale="70" zoomScaleNormal="70" workbookViewId="0">
      <pane ySplit="7" topLeftCell="A17" activePane="bottomLeft" state="frozen"/>
      <selection pane="bottomLeft" activeCell="K68" sqref="K68"/>
    </sheetView>
  </sheetViews>
  <sheetFormatPr defaultColWidth="0" defaultRowHeight="15" customHeight="1"/>
  <cols>
    <col min="1" max="1" width="5.75" style="7" customWidth="1"/>
    <col min="2" max="2" width="12" style="8" customWidth="1"/>
    <col min="3" max="3" width="18.5" style="9" customWidth="1"/>
    <col min="4" max="4" width="21.375" style="61" customWidth="1"/>
    <col min="5" max="5" width="35.875" style="61" customWidth="1"/>
    <col min="6" max="6" width="11.625" style="61" customWidth="1"/>
    <col min="7" max="7" width="78.25" customWidth="1"/>
    <col min="8" max="8" width="14.375" style="9" customWidth="1"/>
    <col min="9" max="9" width="40.75" customWidth="1"/>
    <col min="10" max="11" width="16.75" style="10" customWidth="1"/>
    <col min="12" max="12" width="10.75" style="6" customWidth="1"/>
    <col min="13" max="13" width="10.75" style="6" hidden="1" customWidth="1"/>
    <col min="14" max="18" width="0" hidden="1" customWidth="1"/>
    <col min="19" max="16384" width="8.75" hidden="1"/>
  </cols>
  <sheetData>
    <row r="1" spans="1:13" ht="15" customHeight="1">
      <c r="A1" s="174" t="s">
        <v>92</v>
      </c>
      <c r="B1" s="210" t="s">
        <v>93</v>
      </c>
      <c r="F1" s="9"/>
    </row>
    <row r="2" spans="1:13" s="6" customFormat="1" ht="14.65" customHeight="1">
      <c r="A2" s="7"/>
      <c r="B2" s="11" t="str">
        <f>'Chart of Accounts'!B2</f>
        <v>DISTRIBUTION AND HAULING OF PETROLEUM PRODUCTS</v>
      </c>
      <c r="C2" s="12"/>
      <c r="D2" s="12"/>
      <c r="E2" s="12"/>
      <c r="F2" s="12"/>
      <c r="H2" s="12"/>
      <c r="J2" s="24"/>
      <c r="K2" s="24"/>
    </row>
    <row r="3" spans="1:13" ht="18.399999999999999" customHeight="1">
      <c r="A3" s="13"/>
      <c r="B3" s="14" t="s">
        <v>94</v>
      </c>
      <c r="C3" s="15"/>
      <c r="D3" s="16"/>
      <c r="E3" s="16"/>
      <c r="F3" s="15"/>
      <c r="G3" s="16"/>
      <c r="H3" s="16"/>
      <c r="I3" s="16"/>
      <c r="J3" s="16"/>
      <c r="K3" s="16"/>
      <c r="L3" s="13"/>
      <c r="M3" s="13"/>
    </row>
    <row r="4" spans="1:13" s="6" customFormat="1" ht="10.5" customHeight="1">
      <c r="A4" s="7"/>
      <c r="B4" s="11"/>
      <c r="C4" s="12"/>
      <c r="D4" s="12"/>
      <c r="E4" s="12"/>
      <c r="F4" s="12"/>
      <c r="H4" s="12"/>
      <c r="J4" s="24"/>
      <c r="K4" s="24"/>
    </row>
    <row r="5" spans="1:13" ht="14.65" customHeight="1">
      <c r="B5" s="11" t="s">
        <v>95</v>
      </c>
      <c r="C5" s="12"/>
      <c r="D5" s="65"/>
      <c r="E5" s="65"/>
      <c r="F5" s="12"/>
      <c r="G5" s="12"/>
      <c r="H5" s="12"/>
      <c r="I5" s="27"/>
      <c r="J5" s="24"/>
      <c r="K5" s="24">
        <f>J6-K6</f>
        <v>0</v>
      </c>
    </row>
    <row r="6" spans="1:13" s="6" customFormat="1" ht="14.65" customHeight="1">
      <c r="A6" s="7"/>
      <c r="B6" s="11"/>
      <c r="C6" s="12"/>
      <c r="D6" s="12"/>
      <c r="E6" s="12"/>
      <c r="F6" s="75"/>
      <c r="G6" s="75"/>
      <c r="H6" s="12"/>
      <c r="I6" s="27"/>
      <c r="J6" s="24">
        <f>SUBTOTAL(9,J9:J19768)</f>
        <v>38056985</v>
      </c>
      <c r="K6" s="24">
        <f>SUBTOTAL(9,K9:K19768)</f>
        <v>38056985</v>
      </c>
    </row>
    <row r="7" spans="1:13" ht="14.65" customHeight="1">
      <c r="B7" s="427" t="s">
        <v>96</v>
      </c>
      <c r="C7" s="429" t="s">
        <v>97</v>
      </c>
      <c r="D7" s="429" t="s">
        <v>98</v>
      </c>
      <c r="E7" s="429" t="s">
        <v>99</v>
      </c>
      <c r="F7" s="429" t="s">
        <v>100</v>
      </c>
      <c r="G7" s="429" t="s">
        <v>101</v>
      </c>
      <c r="H7" s="429" t="s">
        <v>102</v>
      </c>
      <c r="I7" s="429" t="s">
        <v>3</v>
      </c>
      <c r="J7" s="136" t="s">
        <v>103</v>
      </c>
      <c r="K7" s="136" t="s">
        <v>104</v>
      </c>
    </row>
    <row r="8" spans="1:13" ht="14.65" customHeight="1">
      <c r="A8" s="18"/>
      <c r="B8" s="428"/>
      <c r="C8" s="430"/>
      <c r="D8" s="430"/>
      <c r="E8" s="430"/>
      <c r="F8" s="430"/>
      <c r="G8" s="430"/>
      <c r="H8" s="430"/>
      <c r="I8" s="430"/>
      <c r="J8" s="426" t="str">
        <f>IF(SUM(J9:J39)=SUM(K9:K39),"Balance","Not Balance")</f>
        <v>Not Balance</v>
      </c>
      <c r="K8" s="426"/>
    </row>
    <row r="9" spans="1:13" ht="13.5" customHeight="1">
      <c r="A9" s="169"/>
      <c r="B9" s="170"/>
      <c r="C9" s="244" t="s">
        <v>105</v>
      </c>
      <c r="D9" s="50"/>
      <c r="E9" s="50" t="s">
        <v>106</v>
      </c>
      <c r="F9" s="245"/>
      <c r="G9" s="246" t="s">
        <v>107</v>
      </c>
      <c r="H9" s="172">
        <v>10040</v>
      </c>
      <c r="I9" s="155" t="str">
        <f t="shared" ref="I9:I55" si="0">IF(H9&lt;&gt;"",VLOOKUP(H9,ChartofAccountsTable,2,FALSE),"")</f>
        <v>Cash in Bank_PNB-DHPP</v>
      </c>
      <c r="J9" s="173">
        <v>541975</v>
      </c>
      <c r="K9" s="173"/>
      <c r="L9"/>
      <c r="M9"/>
    </row>
    <row r="10" spans="1:13" ht="14.65" customHeight="1">
      <c r="A10" s="169"/>
      <c r="B10" s="170"/>
      <c r="C10" s="244" t="s">
        <v>105</v>
      </c>
      <c r="D10" s="50"/>
      <c r="E10" s="50" t="s">
        <v>106</v>
      </c>
      <c r="F10" s="171"/>
      <c r="G10" s="246" t="s">
        <v>108</v>
      </c>
      <c r="H10" s="172">
        <v>10080</v>
      </c>
      <c r="I10" s="155" t="str">
        <f t="shared" si="0"/>
        <v>Cash in Bank_MBTC-DHPP</v>
      </c>
      <c r="J10" s="173">
        <v>406973</v>
      </c>
      <c r="K10" s="173"/>
      <c r="L10"/>
      <c r="M10"/>
    </row>
    <row r="11" spans="1:13" ht="14.65" customHeight="1">
      <c r="A11" s="169"/>
      <c r="B11" s="170"/>
      <c r="C11" s="244" t="s">
        <v>105</v>
      </c>
      <c r="D11" s="50"/>
      <c r="E11" s="50" t="s">
        <v>106</v>
      </c>
      <c r="F11" s="171"/>
      <c r="G11" s="246" t="s">
        <v>109</v>
      </c>
      <c r="H11" s="172">
        <v>10070</v>
      </c>
      <c r="I11" s="155" t="str">
        <f t="shared" si="0"/>
        <v>Cash in Bank_BDO Unibank-DHPP</v>
      </c>
      <c r="J11" s="173">
        <v>93550</v>
      </c>
      <c r="K11" s="173"/>
      <c r="L11"/>
      <c r="M11"/>
    </row>
    <row r="12" spans="1:13" ht="14.65" customHeight="1">
      <c r="A12" s="169"/>
      <c r="B12" s="170"/>
      <c r="C12" s="244" t="s">
        <v>105</v>
      </c>
      <c r="D12" s="50"/>
      <c r="E12" s="50" t="s">
        <v>106</v>
      </c>
      <c r="F12" s="171"/>
      <c r="G12" s="246" t="s">
        <v>110</v>
      </c>
      <c r="H12" s="172">
        <v>15500</v>
      </c>
      <c r="I12" s="155" t="str">
        <f t="shared" si="0"/>
        <v>Due from Other Cos. - DHPP</v>
      </c>
      <c r="J12" s="173">
        <v>223952</v>
      </c>
      <c r="K12" s="173"/>
      <c r="L12"/>
      <c r="M12"/>
    </row>
    <row r="13" spans="1:13" ht="14.65" customHeight="1">
      <c r="A13" s="169"/>
      <c r="B13" s="170"/>
      <c r="C13" s="244" t="s">
        <v>105</v>
      </c>
      <c r="D13" s="50"/>
      <c r="E13" s="50" t="s">
        <v>106</v>
      </c>
      <c r="F13" s="171"/>
      <c r="G13" s="246" t="s">
        <v>111</v>
      </c>
      <c r="H13" s="172">
        <v>10030</v>
      </c>
      <c r="I13" s="155" t="str">
        <f t="shared" si="0"/>
        <v>Cash in Bank_1VB-DHPP</v>
      </c>
      <c r="J13" s="173">
        <v>441150</v>
      </c>
      <c r="K13" s="173"/>
      <c r="L13"/>
      <c r="M13"/>
    </row>
    <row r="14" spans="1:13" ht="14.65" customHeight="1">
      <c r="A14" s="169"/>
      <c r="B14" s="170"/>
      <c r="C14" s="244" t="s">
        <v>105</v>
      </c>
      <c r="D14" s="50"/>
      <c r="E14" s="50" t="s">
        <v>106</v>
      </c>
      <c r="F14" s="171"/>
      <c r="G14" s="246" t="s">
        <v>112</v>
      </c>
      <c r="H14" s="172">
        <v>10060</v>
      </c>
      <c r="I14" s="155" t="str">
        <f t="shared" si="0"/>
        <v>Cash in Bank_KB-DHPP</v>
      </c>
      <c r="J14" s="173">
        <v>50000</v>
      </c>
      <c r="K14" s="173"/>
      <c r="L14"/>
      <c r="M14"/>
    </row>
    <row r="15" spans="1:13" ht="15" customHeight="1">
      <c r="A15" s="91"/>
      <c r="B15" s="137"/>
      <c r="C15" s="244" t="s">
        <v>105</v>
      </c>
      <c r="D15" s="52"/>
      <c r="E15" s="50" t="s">
        <v>106</v>
      </c>
      <c r="F15" s="142"/>
      <c r="G15" s="246" t="s">
        <v>113</v>
      </c>
      <c r="H15" s="108">
        <v>10110</v>
      </c>
      <c r="I15" s="155" t="str">
        <f t="shared" si="0"/>
        <v>Cash in Bank_PSBC CHECKING-DHPP</v>
      </c>
      <c r="J15" s="138">
        <v>0</v>
      </c>
      <c r="K15" s="138"/>
      <c r="L15" s="76"/>
    </row>
    <row r="16" spans="1:13" ht="15" customHeight="1">
      <c r="A16" s="91"/>
      <c r="B16" s="137"/>
      <c r="C16" s="244" t="s">
        <v>105</v>
      </c>
      <c r="D16" s="52"/>
      <c r="E16" s="50" t="s">
        <v>106</v>
      </c>
      <c r="F16" s="142"/>
      <c r="G16" s="119" t="s">
        <v>114</v>
      </c>
      <c r="H16" s="108">
        <v>12020</v>
      </c>
      <c r="I16" s="155" t="str">
        <f t="shared" si="0"/>
        <v>A/Receivables - Other Current -DHPP</v>
      </c>
      <c r="J16" s="138">
        <v>1500</v>
      </c>
      <c r="K16" s="138"/>
      <c r="L16" s="76"/>
    </row>
    <row r="17" spans="1:12" ht="15" customHeight="1">
      <c r="A17" s="91"/>
      <c r="B17" s="137"/>
      <c r="C17" s="244" t="s">
        <v>105</v>
      </c>
      <c r="D17" s="52"/>
      <c r="E17" s="50" t="s">
        <v>106</v>
      </c>
      <c r="F17" s="142"/>
      <c r="G17" s="246" t="s">
        <v>115</v>
      </c>
      <c r="H17" s="108">
        <v>10010</v>
      </c>
      <c r="I17" s="155" t="str">
        <f t="shared" si="0"/>
        <v>Cash on Hand-DHPP</v>
      </c>
      <c r="J17" s="138">
        <v>92725</v>
      </c>
      <c r="K17" s="138"/>
      <c r="L17" s="76"/>
    </row>
    <row r="18" spans="1:12" ht="15" customHeight="1">
      <c r="A18" s="91"/>
      <c r="B18" s="137"/>
      <c r="C18" s="244" t="s">
        <v>105</v>
      </c>
      <c r="D18" s="52"/>
      <c r="E18" s="50" t="s">
        <v>106</v>
      </c>
      <c r="F18" s="142"/>
      <c r="G18" s="246" t="s">
        <v>116</v>
      </c>
      <c r="H18" s="108">
        <v>12030</v>
      </c>
      <c r="I18" s="155" t="str">
        <f t="shared" si="0"/>
        <v>A/Receivables - Fuel Clients</v>
      </c>
      <c r="J18" s="138"/>
      <c r="K18" s="138">
        <v>286200</v>
      </c>
      <c r="L18" s="76"/>
    </row>
    <row r="19" spans="1:12" ht="15" customHeight="1">
      <c r="A19" s="90"/>
      <c r="B19" s="137"/>
      <c r="C19" s="244" t="s">
        <v>105</v>
      </c>
      <c r="D19" s="52"/>
      <c r="E19" s="50" t="s">
        <v>106</v>
      </c>
      <c r="F19" s="142"/>
      <c r="G19" s="119" t="s">
        <v>117</v>
      </c>
      <c r="H19" s="108">
        <v>21000</v>
      </c>
      <c r="I19" s="155" t="str">
        <f t="shared" si="0"/>
        <v>Unearned Revenue - DHPP</v>
      </c>
      <c r="J19" s="138"/>
      <c r="K19" s="138">
        <v>1565625</v>
      </c>
      <c r="L19" s="76"/>
    </row>
    <row r="20" spans="1:12" ht="15" customHeight="1">
      <c r="A20" s="90"/>
      <c r="B20" s="137"/>
      <c r="C20" s="247"/>
      <c r="D20" s="52"/>
      <c r="E20" s="52"/>
      <c r="F20" s="142"/>
      <c r="G20" s="119"/>
      <c r="H20" s="108"/>
      <c r="I20" s="155" t="str">
        <f t="shared" si="0"/>
        <v/>
      </c>
      <c r="J20" s="138"/>
      <c r="K20" s="138"/>
      <c r="L20" s="76"/>
    </row>
    <row r="21" spans="1:12" ht="15" customHeight="1">
      <c r="A21" s="91"/>
      <c r="B21" s="137"/>
      <c r="C21" s="247" t="s">
        <v>118</v>
      </c>
      <c r="D21" s="52"/>
      <c r="E21" s="50" t="s">
        <v>106</v>
      </c>
      <c r="F21" s="142"/>
      <c r="G21" s="246" t="s">
        <v>107</v>
      </c>
      <c r="H21" s="172">
        <v>10040</v>
      </c>
      <c r="I21" s="155" t="str">
        <f t="shared" si="0"/>
        <v>Cash in Bank_PNB-DHPP</v>
      </c>
      <c r="J21" s="138">
        <v>1544900</v>
      </c>
      <c r="K21" s="138"/>
      <c r="L21" s="76"/>
    </row>
    <row r="22" spans="1:12" ht="15" customHeight="1">
      <c r="A22" s="91"/>
      <c r="B22" s="137"/>
      <c r="C22" s="247" t="s">
        <v>118</v>
      </c>
      <c r="D22" s="52"/>
      <c r="E22" s="50" t="s">
        <v>106</v>
      </c>
      <c r="F22" s="142"/>
      <c r="G22" s="246" t="s">
        <v>108</v>
      </c>
      <c r="H22" s="172">
        <v>10080</v>
      </c>
      <c r="I22" s="155" t="str">
        <f t="shared" si="0"/>
        <v>Cash in Bank_MBTC-DHPP</v>
      </c>
      <c r="J22" s="138">
        <v>1881800</v>
      </c>
      <c r="K22" s="138"/>
      <c r="L22" s="76"/>
    </row>
    <row r="23" spans="1:12" ht="15" customHeight="1">
      <c r="A23" s="91"/>
      <c r="B23" s="137"/>
      <c r="C23" s="247" t="s">
        <v>118</v>
      </c>
      <c r="D23" s="50"/>
      <c r="E23" s="50" t="s">
        <v>106</v>
      </c>
      <c r="F23" s="245"/>
      <c r="G23" s="246" t="s">
        <v>109</v>
      </c>
      <c r="H23" s="172">
        <v>10070</v>
      </c>
      <c r="I23" s="155" t="str">
        <f t="shared" si="0"/>
        <v>Cash in Bank_BDO Unibank-DHPP</v>
      </c>
      <c r="J23" s="173">
        <v>492190</v>
      </c>
      <c r="K23" s="173"/>
      <c r="L23" s="76"/>
    </row>
    <row r="24" spans="1:12" ht="15" customHeight="1">
      <c r="A24" s="91"/>
      <c r="B24" s="137"/>
      <c r="C24" s="247" t="s">
        <v>118</v>
      </c>
      <c r="D24" s="50"/>
      <c r="E24" s="50" t="s">
        <v>106</v>
      </c>
      <c r="F24" s="171"/>
      <c r="G24" s="246" t="s">
        <v>110</v>
      </c>
      <c r="H24" s="172">
        <v>15500</v>
      </c>
      <c r="I24" s="155" t="str">
        <f t="shared" si="0"/>
        <v>Due from Other Cos. - DHPP</v>
      </c>
      <c r="J24" s="173">
        <v>481000</v>
      </c>
      <c r="K24" s="173"/>
      <c r="L24" s="76"/>
    </row>
    <row r="25" spans="1:12" ht="15" customHeight="1">
      <c r="A25" s="91"/>
      <c r="B25" s="137"/>
      <c r="C25" s="247" t="s">
        <v>118</v>
      </c>
      <c r="D25" s="50"/>
      <c r="E25" s="50" t="s">
        <v>106</v>
      </c>
      <c r="F25" s="171"/>
      <c r="G25" s="246" t="s">
        <v>111</v>
      </c>
      <c r="H25" s="172">
        <v>10030</v>
      </c>
      <c r="I25" s="155" t="str">
        <f t="shared" si="0"/>
        <v>Cash in Bank_1VB-DHPP</v>
      </c>
      <c r="J25" s="173">
        <v>3349950</v>
      </c>
      <c r="K25" s="173"/>
      <c r="L25" s="76"/>
    </row>
    <row r="26" spans="1:12" ht="15" customHeight="1">
      <c r="A26" s="91"/>
      <c r="B26" s="137"/>
      <c r="C26" s="247" t="s">
        <v>118</v>
      </c>
      <c r="D26" s="50"/>
      <c r="E26" s="50" t="s">
        <v>106</v>
      </c>
      <c r="F26" s="171"/>
      <c r="G26" s="246" t="s">
        <v>112</v>
      </c>
      <c r="H26" s="172">
        <v>10060</v>
      </c>
      <c r="I26" s="155" t="str">
        <f t="shared" si="0"/>
        <v>Cash in Bank_KB-DHPP</v>
      </c>
      <c r="J26" s="173">
        <v>156900</v>
      </c>
      <c r="K26" s="173"/>
      <c r="L26" s="76"/>
    </row>
    <row r="27" spans="1:12" ht="15" customHeight="1">
      <c r="A27" s="91"/>
      <c r="B27" s="137"/>
      <c r="C27" s="247" t="s">
        <v>118</v>
      </c>
      <c r="D27" s="50"/>
      <c r="E27" s="50" t="s">
        <v>106</v>
      </c>
      <c r="F27" s="171"/>
      <c r="G27" s="246" t="s">
        <v>113</v>
      </c>
      <c r="H27" s="108">
        <v>10110</v>
      </c>
      <c r="I27" s="155" t="str">
        <f t="shared" si="0"/>
        <v>Cash in Bank_PSBC CHECKING-DHPP</v>
      </c>
      <c r="J27" s="173">
        <v>599325</v>
      </c>
      <c r="K27" s="173"/>
      <c r="L27" s="76"/>
    </row>
    <row r="28" spans="1:12" ht="15" customHeight="1">
      <c r="A28" s="91"/>
      <c r="B28" s="137"/>
      <c r="C28" s="247" t="s">
        <v>118</v>
      </c>
      <c r="D28" s="50"/>
      <c r="E28" s="50" t="s">
        <v>106</v>
      </c>
      <c r="F28" s="171"/>
      <c r="G28" s="119" t="s">
        <v>114</v>
      </c>
      <c r="H28" s="108">
        <v>12020</v>
      </c>
      <c r="I28" s="155" t="str">
        <f t="shared" si="0"/>
        <v>A/Receivables - Other Current -DHPP</v>
      </c>
      <c r="J28" s="173">
        <v>38000</v>
      </c>
      <c r="K28" s="173"/>
      <c r="L28" s="76"/>
    </row>
    <row r="29" spans="1:12" ht="15" customHeight="1">
      <c r="A29" s="91"/>
      <c r="B29" s="137"/>
      <c r="C29" s="247" t="s">
        <v>118</v>
      </c>
      <c r="D29" s="52"/>
      <c r="E29" s="50" t="s">
        <v>106</v>
      </c>
      <c r="F29" s="142"/>
      <c r="G29" s="246" t="s">
        <v>115</v>
      </c>
      <c r="H29" s="108">
        <v>10010</v>
      </c>
      <c r="I29" s="155" t="str">
        <f t="shared" si="0"/>
        <v>Cash on Hand-DHPP</v>
      </c>
      <c r="J29" s="138">
        <v>48075</v>
      </c>
      <c r="K29" s="138"/>
      <c r="L29" s="76"/>
    </row>
    <row r="30" spans="1:12" ht="15" customHeight="1">
      <c r="A30" s="91"/>
      <c r="B30" s="137"/>
      <c r="C30" s="247" t="s">
        <v>118</v>
      </c>
      <c r="D30" s="52"/>
      <c r="E30" s="50" t="s">
        <v>106</v>
      </c>
      <c r="F30" s="142"/>
      <c r="G30" s="246" t="s">
        <v>116</v>
      </c>
      <c r="H30" s="108">
        <v>12030</v>
      </c>
      <c r="I30" s="155" t="str">
        <f t="shared" si="0"/>
        <v>A/Receivables - Fuel Clients</v>
      </c>
      <c r="J30" s="138"/>
      <c r="K30" s="138">
        <v>828575</v>
      </c>
      <c r="L30" s="76"/>
    </row>
    <row r="31" spans="1:12" ht="14.45">
      <c r="A31" s="91"/>
      <c r="B31" s="137"/>
      <c r="C31" s="247" t="s">
        <v>118</v>
      </c>
      <c r="D31" s="52"/>
      <c r="E31" s="50" t="s">
        <v>106</v>
      </c>
      <c r="F31" s="142"/>
      <c r="G31" s="119" t="s">
        <v>117</v>
      </c>
      <c r="H31" s="108">
        <v>21000</v>
      </c>
      <c r="I31" s="155" t="str">
        <f t="shared" si="0"/>
        <v>Unearned Revenue - DHPP</v>
      </c>
      <c r="J31" s="138"/>
      <c r="K31" s="138">
        <v>7763565</v>
      </c>
      <c r="L31" s="76"/>
    </row>
    <row r="32" spans="1:12" ht="14.45">
      <c r="A32" s="91"/>
      <c r="B32" s="137"/>
      <c r="C32" s="244"/>
      <c r="D32" s="52"/>
      <c r="E32" s="50"/>
      <c r="F32" s="142"/>
      <c r="G32" s="246"/>
      <c r="H32" s="108"/>
      <c r="I32" s="155" t="str">
        <f t="shared" si="0"/>
        <v/>
      </c>
      <c r="J32" s="138"/>
      <c r="K32" s="138"/>
      <c r="L32" s="76"/>
    </row>
    <row r="33" spans="1:12" s="76" customFormat="1" ht="14.65" customHeight="1">
      <c r="A33" s="91"/>
      <c r="B33" s="137"/>
      <c r="C33" s="244" t="s">
        <v>119</v>
      </c>
      <c r="D33" s="52"/>
      <c r="E33" s="50" t="s">
        <v>106</v>
      </c>
      <c r="F33" s="142"/>
      <c r="G33" s="246" t="s">
        <v>107</v>
      </c>
      <c r="H33" s="172">
        <v>10040</v>
      </c>
      <c r="I33" s="155" t="str">
        <f t="shared" si="0"/>
        <v>Cash in Bank_PNB-DHPP</v>
      </c>
      <c r="J33" s="138">
        <v>2745400</v>
      </c>
      <c r="K33" s="138"/>
    </row>
    <row r="34" spans="1:12" s="76" customFormat="1" ht="14.65" customHeight="1">
      <c r="A34" s="91"/>
      <c r="B34" s="137"/>
      <c r="C34" s="244" t="s">
        <v>119</v>
      </c>
      <c r="D34" s="52"/>
      <c r="E34" s="50" t="s">
        <v>106</v>
      </c>
      <c r="F34" s="142"/>
      <c r="G34" s="246" t="s">
        <v>108</v>
      </c>
      <c r="H34" s="172">
        <v>10080</v>
      </c>
      <c r="I34" s="155" t="str">
        <f t="shared" si="0"/>
        <v>Cash in Bank_MBTC-DHPP</v>
      </c>
      <c r="J34" s="138">
        <v>1591350</v>
      </c>
      <c r="K34" s="138"/>
    </row>
    <row r="35" spans="1:12" ht="14.45">
      <c r="A35" s="91"/>
      <c r="B35" s="137"/>
      <c r="C35" s="244" t="s">
        <v>119</v>
      </c>
      <c r="D35" s="52"/>
      <c r="E35" s="50" t="s">
        <v>106</v>
      </c>
      <c r="F35" s="142"/>
      <c r="G35" s="246" t="s">
        <v>109</v>
      </c>
      <c r="H35" s="172">
        <v>10070</v>
      </c>
      <c r="I35" s="155" t="str">
        <f t="shared" si="0"/>
        <v>Cash in Bank_BDO Unibank-DHPP</v>
      </c>
      <c r="J35" s="138">
        <v>429250</v>
      </c>
      <c r="K35" s="138"/>
      <c r="L35" s="76"/>
    </row>
    <row r="36" spans="1:12" ht="14.45">
      <c r="A36" s="91"/>
      <c r="B36" s="137"/>
      <c r="C36" s="244" t="s">
        <v>119</v>
      </c>
      <c r="D36" s="52"/>
      <c r="E36" s="50" t="s">
        <v>106</v>
      </c>
      <c r="F36" s="142"/>
      <c r="G36" s="246" t="s">
        <v>110</v>
      </c>
      <c r="H36" s="172">
        <v>15500</v>
      </c>
      <c r="I36" s="155" t="str">
        <f t="shared" si="0"/>
        <v>Due from Other Cos. - DHPP</v>
      </c>
      <c r="J36" s="138">
        <v>560750</v>
      </c>
      <c r="K36" s="138"/>
      <c r="L36" s="76"/>
    </row>
    <row r="37" spans="1:12" ht="14.45">
      <c r="A37" s="91"/>
      <c r="B37" s="137"/>
      <c r="C37" s="244" t="s">
        <v>119</v>
      </c>
      <c r="D37" s="50"/>
      <c r="E37" s="50" t="s">
        <v>106</v>
      </c>
      <c r="F37" s="245"/>
      <c r="G37" s="246" t="s">
        <v>111</v>
      </c>
      <c r="H37" s="172">
        <v>10030</v>
      </c>
      <c r="I37" s="155" t="str">
        <f t="shared" si="0"/>
        <v>Cash in Bank_1VB-DHPP</v>
      </c>
      <c r="J37" s="173">
        <v>3505395</v>
      </c>
      <c r="K37" s="173"/>
      <c r="L37" s="76"/>
    </row>
    <row r="38" spans="1:12" ht="15" customHeight="1">
      <c r="A38" s="91"/>
      <c r="B38" s="137"/>
      <c r="C38" s="244" t="s">
        <v>119</v>
      </c>
      <c r="D38" s="50"/>
      <c r="E38" s="50" t="s">
        <v>106</v>
      </c>
      <c r="F38" s="171"/>
      <c r="G38" s="246" t="s">
        <v>112</v>
      </c>
      <c r="H38" s="172">
        <v>10060</v>
      </c>
      <c r="I38" s="155" t="str">
        <f t="shared" si="0"/>
        <v>Cash in Bank_KB-DHPP</v>
      </c>
      <c r="J38" s="173">
        <v>105300</v>
      </c>
      <c r="K38" s="173"/>
      <c r="L38" s="76"/>
    </row>
    <row r="39" spans="1:12" ht="15" customHeight="1">
      <c r="A39" s="91"/>
      <c r="B39" s="137"/>
      <c r="C39" s="244" t="s">
        <v>119</v>
      </c>
      <c r="D39" s="50"/>
      <c r="E39" s="50" t="s">
        <v>106</v>
      </c>
      <c r="F39" s="171"/>
      <c r="G39" s="246" t="s">
        <v>113</v>
      </c>
      <c r="H39" s="108">
        <v>10110</v>
      </c>
      <c r="I39" s="155" t="str">
        <f t="shared" si="0"/>
        <v>Cash in Bank_PSBC CHECKING-DHPP</v>
      </c>
      <c r="J39" s="173">
        <v>407000</v>
      </c>
      <c r="K39" s="173"/>
      <c r="L39" s="76"/>
    </row>
    <row r="40" spans="1:12" ht="15" customHeight="1">
      <c r="A40" s="91"/>
      <c r="B40" s="137"/>
      <c r="C40" s="244" t="s">
        <v>119</v>
      </c>
      <c r="D40" s="50"/>
      <c r="E40" s="50" t="s">
        <v>106</v>
      </c>
      <c r="F40" s="171"/>
      <c r="G40" s="119" t="s">
        <v>114</v>
      </c>
      <c r="H40" s="108">
        <v>12020</v>
      </c>
      <c r="I40" s="155" t="str">
        <f t="shared" si="0"/>
        <v>A/Receivables - Other Current -DHPP</v>
      </c>
      <c r="J40" s="173">
        <v>46025</v>
      </c>
      <c r="K40" s="173"/>
      <c r="L40" s="76"/>
    </row>
    <row r="41" spans="1:12" ht="15" customHeight="1">
      <c r="A41" s="91"/>
      <c r="B41" s="137"/>
      <c r="C41" s="244" t="s">
        <v>119</v>
      </c>
      <c r="D41" s="50"/>
      <c r="E41" s="50" t="s">
        <v>106</v>
      </c>
      <c r="F41" s="171"/>
      <c r="G41" s="246" t="s">
        <v>115</v>
      </c>
      <c r="H41" s="108">
        <v>10010</v>
      </c>
      <c r="I41" s="155" t="str">
        <f t="shared" si="0"/>
        <v>Cash on Hand-DHPP</v>
      </c>
      <c r="J41" s="173"/>
      <c r="K41" s="173">
        <v>86675</v>
      </c>
      <c r="L41" s="76"/>
    </row>
    <row r="42" spans="1:12" ht="15" customHeight="1">
      <c r="B42" s="137"/>
      <c r="C42" s="244" t="s">
        <v>119</v>
      </c>
      <c r="D42" s="50"/>
      <c r="E42" s="50" t="s">
        <v>106</v>
      </c>
      <c r="F42" s="171"/>
      <c r="G42" s="246" t="s">
        <v>116</v>
      </c>
      <c r="H42" s="108">
        <v>12030</v>
      </c>
      <c r="I42" s="155" t="str">
        <f t="shared" si="0"/>
        <v>A/Receivables - Fuel Clients</v>
      </c>
      <c r="J42" s="173"/>
      <c r="K42" s="173">
        <v>669800</v>
      </c>
    </row>
    <row r="43" spans="1:12" ht="15" customHeight="1">
      <c r="B43" s="137"/>
      <c r="C43" s="244" t="s">
        <v>119</v>
      </c>
      <c r="D43" s="52"/>
      <c r="E43" s="50" t="s">
        <v>106</v>
      </c>
      <c r="F43" s="142"/>
      <c r="G43" s="119" t="s">
        <v>117</v>
      </c>
      <c r="H43" s="108">
        <v>21000</v>
      </c>
      <c r="I43" s="155" t="str">
        <f t="shared" si="0"/>
        <v>Unearned Revenue - DHPP</v>
      </c>
      <c r="J43" s="138"/>
      <c r="K43" s="138">
        <v>8633995</v>
      </c>
    </row>
    <row r="44" spans="1:12" ht="15" customHeight="1">
      <c r="B44" s="137"/>
      <c r="C44" s="244"/>
      <c r="D44" s="52"/>
      <c r="E44" s="50"/>
      <c r="F44" s="142"/>
      <c r="G44" s="119"/>
      <c r="H44" s="108"/>
      <c r="I44" s="155" t="str">
        <f>IF(H44&lt;&gt;"",VLOOKUP(H44,ChartofAccountsTable,2,FALSE),"")</f>
        <v/>
      </c>
      <c r="J44" s="138"/>
      <c r="K44" s="138"/>
    </row>
    <row r="45" spans="1:12" s="76" customFormat="1" ht="15" customHeight="1">
      <c r="A45" s="105"/>
      <c r="B45" s="137"/>
      <c r="C45" s="244" t="s">
        <v>120</v>
      </c>
      <c r="D45" s="52"/>
      <c r="E45" s="50" t="s">
        <v>106</v>
      </c>
      <c r="F45" s="142"/>
      <c r="G45" s="246" t="s">
        <v>107</v>
      </c>
      <c r="H45" s="172">
        <v>10040</v>
      </c>
      <c r="I45" s="155" t="str">
        <f t="shared" si="0"/>
        <v>Cash in Bank_PNB-DHPP</v>
      </c>
      <c r="J45" s="138">
        <v>2120025</v>
      </c>
      <c r="K45" s="138"/>
    </row>
    <row r="46" spans="1:12" s="76" customFormat="1" ht="15" customHeight="1">
      <c r="A46" s="105"/>
      <c r="B46" s="137"/>
      <c r="C46" s="244" t="s">
        <v>120</v>
      </c>
      <c r="D46" s="52"/>
      <c r="E46" s="50" t="s">
        <v>106</v>
      </c>
      <c r="F46" s="142"/>
      <c r="G46" s="246" t="s">
        <v>108</v>
      </c>
      <c r="H46" s="172">
        <v>10080</v>
      </c>
      <c r="I46" s="155" t="str">
        <f t="shared" si="0"/>
        <v>Cash in Bank_MBTC-DHPP</v>
      </c>
      <c r="J46" s="138">
        <v>1044475</v>
      </c>
      <c r="K46" s="138"/>
    </row>
    <row r="47" spans="1:12" ht="15" customHeight="1">
      <c r="A47" s="107"/>
      <c r="B47" s="137"/>
      <c r="C47" s="244" t="s">
        <v>120</v>
      </c>
      <c r="D47" s="52"/>
      <c r="E47" s="50" t="s">
        <v>106</v>
      </c>
      <c r="F47" s="142"/>
      <c r="G47" s="246" t="s">
        <v>109</v>
      </c>
      <c r="H47" s="172">
        <v>10070</v>
      </c>
      <c r="I47" s="155" t="str">
        <f t="shared" si="0"/>
        <v>Cash in Bank_BDO Unibank-DHPP</v>
      </c>
      <c r="J47" s="138">
        <v>698100</v>
      </c>
      <c r="K47" s="138"/>
    </row>
    <row r="48" spans="1:12" ht="15" customHeight="1">
      <c r="A48" s="107"/>
      <c r="B48" s="137"/>
      <c r="C48" s="244" t="s">
        <v>120</v>
      </c>
      <c r="D48" s="52"/>
      <c r="E48" s="50" t="s">
        <v>106</v>
      </c>
      <c r="F48" s="142"/>
      <c r="G48" s="246" t="s">
        <v>110</v>
      </c>
      <c r="H48" s="172">
        <v>15500</v>
      </c>
      <c r="I48" s="155" t="str">
        <f t="shared" si="0"/>
        <v>Due from Other Cos. - DHPP</v>
      </c>
      <c r="J48" s="10">
        <v>487450</v>
      </c>
      <c r="K48" s="138"/>
    </row>
    <row r="49" spans="1:12" ht="15" customHeight="1">
      <c r="A49" s="107"/>
      <c r="B49" s="137"/>
      <c r="C49" s="244" t="s">
        <v>120</v>
      </c>
      <c r="D49" s="52"/>
      <c r="E49" s="50" t="s">
        <v>106</v>
      </c>
      <c r="F49" s="142"/>
      <c r="G49" s="246" t="s">
        <v>111</v>
      </c>
      <c r="H49" s="172">
        <v>10030</v>
      </c>
      <c r="I49" s="155" t="str">
        <f t="shared" si="0"/>
        <v>Cash in Bank_1VB-DHPP</v>
      </c>
      <c r="J49" s="138">
        <v>3336750</v>
      </c>
      <c r="K49" s="138"/>
    </row>
    <row r="50" spans="1:12" ht="15" customHeight="1">
      <c r="B50" s="137"/>
      <c r="C50" s="244" t="s">
        <v>120</v>
      </c>
      <c r="D50" s="52"/>
      <c r="E50" s="50" t="s">
        <v>106</v>
      </c>
      <c r="F50" s="142"/>
      <c r="G50" s="246" t="s">
        <v>112</v>
      </c>
      <c r="H50" s="172">
        <v>10060</v>
      </c>
      <c r="I50" s="155" t="str">
        <f t="shared" si="0"/>
        <v>Cash in Bank_KB-DHPP</v>
      </c>
      <c r="J50" s="138">
        <v>149400</v>
      </c>
      <c r="K50" s="138"/>
    </row>
    <row r="51" spans="1:12" ht="15" customHeight="1">
      <c r="B51" s="137"/>
      <c r="C51" s="244" t="s">
        <v>120</v>
      </c>
      <c r="D51" s="50"/>
      <c r="E51" s="50" t="s">
        <v>106</v>
      </c>
      <c r="F51" s="245"/>
      <c r="G51" s="246" t="s">
        <v>113</v>
      </c>
      <c r="H51" s="108">
        <v>10110</v>
      </c>
      <c r="I51" s="155" t="str">
        <f t="shared" si="0"/>
        <v>Cash in Bank_PSBC CHECKING-DHPP</v>
      </c>
      <c r="J51" s="173">
        <v>759000</v>
      </c>
      <c r="K51" s="173"/>
    </row>
    <row r="52" spans="1:12" ht="15" customHeight="1">
      <c r="B52" s="137"/>
      <c r="C52" s="244" t="s">
        <v>120</v>
      </c>
      <c r="D52" s="50"/>
      <c r="E52" s="50" t="s">
        <v>106</v>
      </c>
      <c r="F52" s="171"/>
      <c r="G52" s="119" t="s">
        <v>114</v>
      </c>
      <c r="H52" s="108">
        <v>12020</v>
      </c>
      <c r="I52" s="155" t="str">
        <f t="shared" si="0"/>
        <v>A/Receivables - Other Current -DHPP</v>
      </c>
      <c r="J52" s="173">
        <v>1600</v>
      </c>
      <c r="K52" s="173"/>
    </row>
    <row r="53" spans="1:12" ht="15" customHeight="1">
      <c r="B53" s="137"/>
      <c r="C53" s="244" t="s">
        <v>120</v>
      </c>
      <c r="D53" s="50"/>
      <c r="E53" s="50" t="s">
        <v>106</v>
      </c>
      <c r="F53" s="171"/>
      <c r="G53" s="246" t="s">
        <v>115</v>
      </c>
      <c r="H53" s="108">
        <v>10010</v>
      </c>
      <c r="I53" s="155" t="str">
        <f t="shared" si="0"/>
        <v>Cash on Hand-DHPP</v>
      </c>
      <c r="J53" s="173">
        <v>108400</v>
      </c>
      <c r="K53" s="173"/>
    </row>
    <row r="54" spans="1:12" ht="15" customHeight="1">
      <c r="B54" s="137"/>
      <c r="C54" s="244" t="s">
        <v>120</v>
      </c>
      <c r="D54" s="50"/>
      <c r="E54" s="50" t="s">
        <v>106</v>
      </c>
      <c r="F54" s="171"/>
      <c r="G54" s="246" t="s">
        <v>116</v>
      </c>
      <c r="H54" s="108">
        <v>12030</v>
      </c>
      <c r="I54" s="155" t="str">
        <f t="shared" si="0"/>
        <v>A/Receivables - Fuel Clients</v>
      </c>
      <c r="J54" s="173"/>
      <c r="K54" s="173">
        <v>400975</v>
      </c>
    </row>
    <row r="55" spans="1:12" ht="15" customHeight="1">
      <c r="B55" s="137"/>
      <c r="C55" s="244" t="s">
        <v>120</v>
      </c>
      <c r="D55" s="50"/>
      <c r="E55" s="50" t="s">
        <v>106</v>
      </c>
      <c r="F55" s="171"/>
      <c r="G55" s="119" t="s">
        <v>117</v>
      </c>
      <c r="H55" s="108">
        <v>21000</v>
      </c>
      <c r="I55" s="155" t="str">
        <f t="shared" si="0"/>
        <v>Unearned Revenue - DHPP</v>
      </c>
      <c r="J55" s="173"/>
      <c r="K55" s="173">
        <v>8304225</v>
      </c>
    </row>
    <row r="56" spans="1:12" ht="15" customHeight="1">
      <c r="B56" s="137"/>
      <c r="C56" s="244"/>
      <c r="D56" s="50"/>
      <c r="E56" s="50"/>
      <c r="F56" s="171"/>
      <c r="G56" s="246"/>
      <c r="H56" s="172"/>
      <c r="I56" s="155"/>
      <c r="J56" s="173"/>
      <c r="K56" s="173"/>
    </row>
    <row r="57" spans="1:12" ht="15" customHeight="1">
      <c r="A57" s="90"/>
      <c r="B57" s="231"/>
      <c r="C57" s="247" t="s">
        <v>121</v>
      </c>
      <c r="D57" s="52"/>
      <c r="E57" s="50" t="s">
        <v>106</v>
      </c>
      <c r="F57" s="142"/>
      <c r="G57" s="246" t="s">
        <v>107</v>
      </c>
      <c r="H57" s="172">
        <v>10040</v>
      </c>
      <c r="I57" s="155" t="str">
        <f>IF(H57&lt;&gt;"",VLOOKUP(H57,ChartofAccountsTable,2,FALSE),"")</f>
        <v>Cash in Bank_PNB-DHPP</v>
      </c>
      <c r="J57" s="138">
        <v>2326250</v>
      </c>
      <c r="K57" s="138"/>
      <c r="L57" s="76"/>
    </row>
    <row r="58" spans="1:12" s="186" customFormat="1" ht="15" customHeight="1">
      <c r="A58" s="90"/>
      <c r="B58" s="231"/>
      <c r="C58" s="247" t="s">
        <v>121</v>
      </c>
      <c r="D58" s="52"/>
      <c r="E58" s="50" t="s">
        <v>106</v>
      </c>
      <c r="F58" s="142"/>
      <c r="G58" s="246" t="s">
        <v>108</v>
      </c>
      <c r="H58" s="172">
        <v>10080</v>
      </c>
      <c r="I58" s="155" t="str">
        <f t="shared" ref="I57:I68" si="1">IF(H58&lt;&gt;"",VLOOKUP(H58,ChartofAccountsTable,2,FALSE),"")</f>
        <v>Cash in Bank_MBTC-DHPP</v>
      </c>
      <c r="J58" s="138">
        <v>1649350</v>
      </c>
      <c r="K58" s="138"/>
      <c r="L58" s="76"/>
    </row>
    <row r="59" spans="1:12" ht="15" customHeight="1">
      <c r="A59" s="90"/>
      <c r="B59" s="231"/>
      <c r="C59" s="247" t="s">
        <v>121</v>
      </c>
      <c r="D59" s="52"/>
      <c r="E59" s="50" t="s">
        <v>106</v>
      </c>
      <c r="F59" s="142"/>
      <c r="G59" s="246" t="s">
        <v>109</v>
      </c>
      <c r="H59" s="172">
        <v>10070</v>
      </c>
      <c r="I59" s="155" t="str">
        <f t="shared" si="1"/>
        <v>Cash in Bank_BDO Unibank-DHPP</v>
      </c>
      <c r="J59" s="138">
        <v>423750</v>
      </c>
      <c r="K59" s="138"/>
      <c r="L59" s="76"/>
    </row>
    <row r="60" spans="1:12" ht="15" customHeight="1">
      <c r="A60" s="90"/>
      <c r="B60" s="231"/>
      <c r="C60" s="247" t="s">
        <v>121</v>
      </c>
      <c r="D60" s="52"/>
      <c r="E60" s="50" t="s">
        <v>106</v>
      </c>
      <c r="F60" s="142"/>
      <c r="G60" s="246" t="s">
        <v>110</v>
      </c>
      <c r="H60" s="172">
        <v>15500</v>
      </c>
      <c r="I60" s="155" t="str">
        <f t="shared" si="1"/>
        <v>Due from Other Cos. - DHPP</v>
      </c>
      <c r="J60" s="138">
        <v>488200</v>
      </c>
      <c r="K60" s="138"/>
      <c r="L60" s="76"/>
    </row>
    <row r="61" spans="1:12" ht="15" customHeight="1">
      <c r="A61" s="90"/>
      <c r="B61" s="231"/>
      <c r="C61" s="247" t="s">
        <v>121</v>
      </c>
      <c r="D61" s="52"/>
      <c r="E61" s="50" t="s">
        <v>106</v>
      </c>
      <c r="F61" s="142"/>
      <c r="G61" s="246" t="s">
        <v>111</v>
      </c>
      <c r="H61" s="172">
        <v>10030</v>
      </c>
      <c r="I61" s="155" t="str">
        <f t="shared" si="1"/>
        <v>Cash in Bank_1VB-DHPP</v>
      </c>
      <c r="J61" s="138">
        <v>3183000</v>
      </c>
      <c r="K61" s="138"/>
      <c r="L61" s="76"/>
    </row>
    <row r="62" spans="1:12" ht="15" customHeight="1">
      <c r="A62" s="90"/>
      <c r="B62" s="231"/>
      <c r="C62" s="247" t="s">
        <v>121</v>
      </c>
      <c r="D62" s="52"/>
      <c r="E62" s="50" t="s">
        <v>106</v>
      </c>
      <c r="F62" s="142"/>
      <c r="G62" s="246" t="s">
        <v>112</v>
      </c>
      <c r="H62" s="172">
        <v>10060</v>
      </c>
      <c r="I62" s="155" t="str">
        <f t="shared" si="1"/>
        <v>Cash in Bank_KB-DHPP</v>
      </c>
      <c r="J62" s="138">
        <v>433850</v>
      </c>
      <c r="K62" s="138"/>
      <c r="L62" s="76"/>
    </row>
    <row r="63" spans="1:12" ht="15" customHeight="1">
      <c r="A63" s="90"/>
      <c r="B63" s="231"/>
      <c r="C63" s="247" t="s">
        <v>121</v>
      </c>
      <c r="D63" s="52"/>
      <c r="E63" s="50" t="s">
        <v>106</v>
      </c>
      <c r="F63" s="245"/>
      <c r="G63" s="246" t="s">
        <v>113</v>
      </c>
      <c r="H63" s="108">
        <v>10110</v>
      </c>
      <c r="I63" s="155" t="str">
        <f t="shared" si="1"/>
        <v>Cash in Bank_PSBC CHECKING-DHPP</v>
      </c>
      <c r="J63" s="138">
        <v>973250</v>
      </c>
      <c r="K63" s="138"/>
      <c r="L63" s="76"/>
    </row>
    <row r="64" spans="1:12" ht="15" customHeight="1">
      <c r="A64" s="90"/>
      <c r="B64" s="231"/>
      <c r="C64" s="247" t="s">
        <v>121</v>
      </c>
      <c r="D64" s="52"/>
      <c r="E64" s="50" t="s">
        <v>106</v>
      </c>
      <c r="F64" s="171"/>
      <c r="G64" s="119" t="s">
        <v>114</v>
      </c>
      <c r="H64" s="108">
        <v>12020</v>
      </c>
      <c r="I64" s="155" t="str">
        <f t="shared" si="1"/>
        <v>A/Receivables - Other Current -DHPP</v>
      </c>
      <c r="J64" s="138">
        <v>39700</v>
      </c>
      <c r="K64" s="138"/>
      <c r="L64" s="76"/>
    </row>
    <row r="65" spans="1:13" ht="15" customHeight="1">
      <c r="A65" s="90"/>
      <c r="B65" s="234"/>
      <c r="C65" s="247" t="s">
        <v>121</v>
      </c>
      <c r="D65" s="52"/>
      <c r="E65" s="50" t="s">
        <v>106</v>
      </c>
      <c r="F65" s="171"/>
      <c r="G65" s="246" t="s">
        <v>115</v>
      </c>
      <c r="H65" s="108">
        <v>10010</v>
      </c>
      <c r="I65" s="155" t="str">
        <f t="shared" si="1"/>
        <v>Cash on Hand-DHPP</v>
      </c>
      <c r="J65" s="138"/>
      <c r="K65" s="138">
        <v>55600</v>
      </c>
      <c r="L65" s="76"/>
    </row>
    <row r="66" spans="1:13" ht="15" customHeight="1">
      <c r="A66" s="90"/>
      <c r="B66" s="234"/>
      <c r="C66" s="247" t="s">
        <v>121</v>
      </c>
      <c r="D66" s="52"/>
      <c r="E66" s="50" t="s">
        <v>106</v>
      </c>
      <c r="F66" s="171"/>
      <c r="G66" s="246" t="s">
        <v>116</v>
      </c>
      <c r="H66" s="108">
        <v>12030</v>
      </c>
      <c r="I66" s="155" t="str">
        <f t="shared" si="1"/>
        <v>A/Receivables - Fuel Clients</v>
      </c>
      <c r="J66" s="138"/>
      <c r="K66" s="138">
        <v>456500</v>
      </c>
      <c r="L66" s="76"/>
    </row>
    <row r="67" spans="1:13" ht="15" customHeight="1">
      <c r="A67" s="90"/>
      <c r="B67" s="234"/>
      <c r="C67" s="247" t="s">
        <v>121</v>
      </c>
      <c r="D67" s="52"/>
      <c r="E67" s="50" t="s">
        <v>106</v>
      </c>
      <c r="F67" s="171"/>
      <c r="G67" s="119" t="s">
        <v>117</v>
      </c>
      <c r="H67" s="108">
        <v>21000</v>
      </c>
      <c r="I67" s="155" t="str">
        <f t="shared" si="1"/>
        <v>Unearned Revenue - DHPP</v>
      </c>
      <c r="J67" s="138"/>
      <c r="K67" s="138">
        <v>9005250</v>
      </c>
      <c r="L67" s="76"/>
    </row>
    <row r="68" spans="1:13" ht="15" customHeight="1">
      <c r="A68" s="90"/>
      <c r="B68" s="234"/>
      <c r="C68" s="247"/>
      <c r="D68" s="52"/>
      <c r="E68" s="50"/>
      <c r="F68" s="171"/>
      <c r="G68" s="246"/>
      <c r="H68" s="172"/>
      <c r="I68" s="155"/>
      <c r="J68" s="138"/>
      <c r="K68" s="138"/>
      <c r="L68" s="76"/>
    </row>
    <row r="69" spans="1:13" ht="15" customHeight="1">
      <c r="A69" s="90"/>
      <c r="B69" s="234"/>
      <c r="C69" s="247"/>
      <c r="D69" s="52"/>
      <c r="E69" s="119"/>
      <c r="F69" s="142"/>
      <c r="G69" s="119"/>
      <c r="H69" s="140"/>
      <c r="I69" s="106"/>
      <c r="J69" s="138"/>
      <c r="K69" s="138"/>
      <c r="L69" s="76"/>
    </row>
    <row r="70" spans="1:13" ht="15" customHeight="1">
      <c r="A70" s="90"/>
      <c r="B70" s="235"/>
      <c r="C70" s="247"/>
      <c r="D70" s="52"/>
      <c r="E70" s="119"/>
      <c r="F70" s="142"/>
      <c r="G70" s="119"/>
      <c r="H70" s="140"/>
      <c r="I70" s="106"/>
      <c r="J70" s="138"/>
      <c r="K70" s="138"/>
      <c r="L70" s="76"/>
    </row>
    <row r="71" spans="1:13" ht="15" customHeight="1">
      <c r="A71" s="90"/>
      <c r="B71" s="235"/>
      <c r="C71" s="247"/>
      <c r="D71" s="52"/>
      <c r="E71" s="119"/>
      <c r="F71" s="142"/>
      <c r="G71" s="119"/>
      <c r="H71" s="140"/>
      <c r="I71" s="106"/>
      <c r="J71" s="138"/>
      <c r="K71" s="138"/>
      <c r="L71" s="76"/>
    </row>
    <row r="72" spans="1:13" s="186" customFormat="1" ht="15" customHeight="1">
      <c r="A72" s="90"/>
      <c r="B72" s="235"/>
      <c r="C72" s="247"/>
      <c r="D72" s="52"/>
      <c r="E72" s="119"/>
      <c r="F72" s="142"/>
      <c r="G72" s="232"/>
      <c r="H72" s="236"/>
      <c r="I72" s="233"/>
      <c r="J72" s="138"/>
      <c r="K72" s="138"/>
      <c r="L72" s="76"/>
    </row>
    <row r="73" spans="1:13" ht="15" customHeight="1">
      <c r="A73" s="90"/>
      <c r="B73" s="235"/>
      <c r="C73" s="247"/>
      <c r="D73" s="52"/>
      <c r="E73" s="119"/>
      <c r="F73" s="142"/>
      <c r="G73" s="119"/>
      <c r="H73" s="236"/>
      <c r="I73" s="106"/>
      <c r="J73" s="138"/>
      <c r="K73" s="138"/>
      <c r="L73" s="76"/>
    </row>
    <row r="74" spans="1:13" ht="15" customHeight="1">
      <c r="A74" s="90"/>
      <c r="B74" s="235"/>
      <c r="C74" s="247"/>
      <c r="D74" s="52"/>
      <c r="E74" s="119"/>
      <c r="F74" s="142"/>
      <c r="G74" s="119"/>
      <c r="H74" s="140"/>
      <c r="I74" s="106"/>
      <c r="J74" s="138"/>
      <c r="K74" s="138"/>
      <c r="L74" s="76"/>
    </row>
    <row r="75" spans="1:13" ht="15" customHeight="1">
      <c r="B75" s="175"/>
      <c r="C75" s="244"/>
      <c r="D75" s="52"/>
      <c r="E75" s="42"/>
      <c r="F75" s="142"/>
      <c r="G75" s="119"/>
      <c r="H75" s="108"/>
      <c r="I75" s="106"/>
      <c r="J75" s="138"/>
      <c r="K75" s="138"/>
    </row>
    <row r="76" spans="1:13" ht="15" customHeight="1">
      <c r="B76" s="137"/>
      <c r="C76" s="247"/>
      <c r="D76" s="52"/>
      <c r="E76" s="52"/>
      <c r="F76" s="142"/>
      <c r="G76" s="119"/>
      <c r="H76" s="108"/>
      <c r="I76" s="106"/>
      <c r="J76" s="138"/>
      <c r="K76" s="138"/>
    </row>
    <row r="77" spans="1:13" ht="15" customHeight="1">
      <c r="B77" s="137"/>
      <c r="C77" s="247"/>
      <c r="D77" s="52"/>
      <c r="E77" s="52"/>
      <c r="F77" s="142"/>
      <c r="G77" s="119"/>
      <c r="H77" s="108"/>
      <c r="I77" s="106"/>
      <c r="J77" s="138"/>
      <c r="K77" s="138"/>
    </row>
    <row r="78" spans="1:13" s="103" customFormat="1" ht="15" customHeight="1">
      <c r="A78" s="102"/>
      <c r="B78" s="137"/>
      <c r="C78" s="247"/>
      <c r="D78" s="52"/>
      <c r="E78" s="52"/>
      <c r="F78" s="142"/>
      <c r="G78" s="119"/>
      <c r="H78" s="108"/>
      <c r="I78" s="106" t="str">
        <f t="shared" ref="I78:I87" si="2">IF(H78&lt;&gt;"",VLOOKUP(H78,ChartofAccountsTable,2,FALSE),"")</f>
        <v/>
      </c>
      <c r="J78" s="138"/>
      <c r="K78" s="138"/>
      <c r="L78" s="104"/>
      <c r="M78" s="104"/>
    </row>
    <row r="79" spans="1:13" s="76" customFormat="1" ht="15" customHeight="1">
      <c r="A79" s="90"/>
      <c r="B79" s="137"/>
      <c r="C79" s="247"/>
      <c r="D79" s="52"/>
      <c r="E79" s="52"/>
      <c r="F79" s="142"/>
      <c r="G79" s="119"/>
      <c r="H79" s="108"/>
      <c r="I79" s="106" t="str">
        <f t="shared" si="2"/>
        <v/>
      </c>
      <c r="J79" s="138"/>
      <c r="K79" s="138"/>
    </row>
    <row r="80" spans="1:13" s="76" customFormat="1" ht="15" customHeight="1">
      <c r="A80" s="90"/>
      <c r="B80" s="137"/>
      <c r="C80" s="247"/>
      <c r="D80" s="52"/>
      <c r="E80" s="52"/>
      <c r="F80" s="142"/>
      <c r="G80" s="119"/>
      <c r="H80" s="108"/>
      <c r="I80" s="106" t="str">
        <f t="shared" si="2"/>
        <v/>
      </c>
      <c r="J80" s="138"/>
      <c r="K80" s="138"/>
    </row>
    <row r="81" spans="1:11" s="76" customFormat="1" ht="15" customHeight="1">
      <c r="A81" s="90"/>
      <c r="B81" s="137"/>
      <c r="C81" s="247"/>
      <c r="D81" s="52"/>
      <c r="E81" s="52"/>
      <c r="F81" s="142"/>
      <c r="G81" s="119"/>
      <c r="H81" s="108"/>
      <c r="I81" s="106" t="str">
        <f t="shared" si="2"/>
        <v/>
      </c>
      <c r="J81" s="138"/>
      <c r="K81" s="138"/>
    </row>
    <row r="82" spans="1:11" s="76" customFormat="1" ht="15" customHeight="1">
      <c r="A82" s="90"/>
      <c r="B82" s="137"/>
      <c r="C82" s="247"/>
      <c r="D82" s="52"/>
      <c r="E82" s="52"/>
      <c r="F82" s="142"/>
      <c r="G82" s="119"/>
      <c r="H82" s="108"/>
      <c r="I82" s="106" t="str">
        <f t="shared" si="2"/>
        <v/>
      </c>
      <c r="J82" s="138"/>
      <c r="K82" s="138"/>
    </row>
    <row r="83" spans="1:11" s="76" customFormat="1" ht="15" customHeight="1">
      <c r="A83" s="90"/>
      <c r="B83" s="137"/>
      <c r="C83" s="247"/>
      <c r="D83" s="52"/>
      <c r="E83" s="52"/>
      <c r="F83" s="142"/>
      <c r="G83" s="119"/>
      <c r="H83" s="108"/>
      <c r="I83" s="106" t="str">
        <f t="shared" si="2"/>
        <v/>
      </c>
      <c r="J83" s="138"/>
      <c r="K83" s="138"/>
    </row>
    <row r="84" spans="1:11" s="76" customFormat="1" ht="15" customHeight="1">
      <c r="A84" s="90"/>
      <c r="B84" s="137"/>
      <c r="C84" s="247"/>
      <c r="D84" s="52"/>
      <c r="E84" s="52"/>
      <c r="F84" s="142"/>
      <c r="G84" s="119"/>
      <c r="H84" s="108"/>
      <c r="I84" s="106" t="str">
        <f t="shared" si="2"/>
        <v/>
      </c>
      <c r="J84" s="138"/>
      <c r="K84" s="138"/>
    </row>
    <row r="85" spans="1:11" s="76" customFormat="1" ht="15" customHeight="1">
      <c r="A85" s="90"/>
      <c r="B85" s="137"/>
      <c r="C85" s="247"/>
      <c r="D85" s="52"/>
      <c r="E85" s="52"/>
      <c r="F85" s="142"/>
      <c r="G85" s="119"/>
      <c r="H85" s="108"/>
      <c r="I85" s="106" t="str">
        <f t="shared" si="2"/>
        <v/>
      </c>
      <c r="J85" s="138"/>
      <c r="K85" s="138"/>
    </row>
    <row r="86" spans="1:11" s="76" customFormat="1" ht="15" customHeight="1">
      <c r="A86" s="90"/>
      <c r="B86" s="137"/>
      <c r="C86" s="247"/>
      <c r="D86" s="52"/>
      <c r="E86" s="52"/>
      <c r="F86" s="142"/>
      <c r="G86" s="119"/>
      <c r="H86" s="108"/>
      <c r="I86" s="106" t="str">
        <f t="shared" si="2"/>
        <v/>
      </c>
      <c r="J86" s="138"/>
      <c r="K86" s="138"/>
    </row>
    <row r="87" spans="1:11" ht="15" customHeight="1">
      <c r="B87" s="137"/>
      <c r="C87" s="247"/>
      <c r="D87" s="52"/>
      <c r="E87" s="52"/>
      <c r="F87" s="142"/>
      <c r="G87" s="119"/>
      <c r="H87" s="108"/>
      <c r="I87" s="106" t="str">
        <f t="shared" si="2"/>
        <v/>
      </c>
      <c r="J87" s="138"/>
      <c r="K87" s="138"/>
    </row>
    <row r="88" spans="1:11" ht="15" customHeight="1">
      <c r="B88" s="137"/>
      <c r="C88" s="247"/>
      <c r="D88" s="52"/>
      <c r="E88" s="52"/>
      <c r="F88" s="142"/>
      <c r="G88" s="119"/>
      <c r="H88" s="108"/>
      <c r="I88" s="106" t="str">
        <f t="shared" ref="I88:I151" si="3">IF(H88&lt;&gt;"",VLOOKUP(H88,ChartofAccountsTable,2,FALSE),"")</f>
        <v/>
      </c>
      <c r="J88" s="138"/>
      <c r="K88" s="138"/>
    </row>
    <row r="89" spans="1:11" ht="15" customHeight="1">
      <c r="B89" s="137"/>
      <c r="C89" s="247"/>
      <c r="D89" s="52"/>
      <c r="E89" s="52"/>
      <c r="F89" s="142"/>
      <c r="G89" s="119"/>
      <c r="H89" s="108"/>
      <c r="I89" s="106" t="str">
        <f t="shared" si="3"/>
        <v/>
      </c>
      <c r="J89" s="138"/>
      <c r="K89" s="138"/>
    </row>
    <row r="90" spans="1:11" ht="15" customHeight="1">
      <c r="B90" s="137"/>
      <c r="C90" s="247"/>
      <c r="D90" s="52"/>
      <c r="E90" s="52"/>
      <c r="F90" s="142"/>
      <c r="G90" s="119"/>
      <c r="H90" s="108"/>
      <c r="I90" s="106" t="str">
        <f t="shared" si="3"/>
        <v/>
      </c>
      <c r="J90" s="138"/>
      <c r="K90" s="138"/>
    </row>
    <row r="91" spans="1:11" ht="15" customHeight="1">
      <c r="B91" s="137"/>
      <c r="C91" s="247"/>
      <c r="D91" s="52"/>
      <c r="E91" s="52"/>
      <c r="F91" s="142"/>
      <c r="G91" s="119"/>
      <c r="H91" s="108"/>
      <c r="I91" s="106" t="str">
        <f t="shared" si="3"/>
        <v/>
      </c>
      <c r="J91" s="138"/>
      <c r="K91" s="138"/>
    </row>
    <row r="92" spans="1:11" ht="15" customHeight="1">
      <c r="B92" s="137"/>
      <c r="C92" s="247"/>
      <c r="D92" s="52"/>
      <c r="E92" s="52"/>
      <c r="F92" s="142"/>
      <c r="G92" s="119"/>
      <c r="H92" s="108"/>
      <c r="I92" s="106" t="str">
        <f t="shared" si="3"/>
        <v/>
      </c>
      <c r="J92" s="138"/>
      <c r="K92" s="138"/>
    </row>
    <row r="93" spans="1:11" ht="15" customHeight="1">
      <c r="B93" s="137"/>
      <c r="C93" s="247"/>
      <c r="D93" s="52"/>
      <c r="E93" s="52"/>
      <c r="F93" s="142"/>
      <c r="G93" s="119"/>
      <c r="H93" s="108"/>
      <c r="I93" s="106" t="str">
        <f t="shared" si="3"/>
        <v/>
      </c>
      <c r="J93" s="138"/>
      <c r="K93" s="138"/>
    </row>
    <row r="94" spans="1:11" ht="15" customHeight="1">
      <c r="B94" s="137"/>
      <c r="C94" s="247"/>
      <c r="D94" s="52"/>
      <c r="E94" s="52"/>
      <c r="F94" s="142"/>
      <c r="G94" s="119"/>
      <c r="H94" s="108"/>
      <c r="I94" s="106" t="str">
        <f t="shared" si="3"/>
        <v/>
      </c>
      <c r="J94" s="138"/>
      <c r="K94" s="138"/>
    </row>
    <row r="95" spans="1:11" ht="15" customHeight="1">
      <c r="B95" s="137"/>
      <c r="C95" s="247"/>
      <c r="D95" s="52"/>
      <c r="E95" s="52"/>
      <c r="F95" s="142"/>
      <c r="G95" s="119"/>
      <c r="H95" s="108"/>
      <c r="I95" s="106" t="str">
        <f t="shared" si="3"/>
        <v/>
      </c>
      <c r="J95" s="138"/>
      <c r="K95" s="138"/>
    </row>
    <row r="96" spans="1:11" ht="15" customHeight="1">
      <c r="B96" s="137"/>
      <c r="C96" s="247"/>
      <c r="D96" s="52"/>
      <c r="E96" s="52"/>
      <c r="F96" s="142"/>
      <c r="G96" s="119"/>
      <c r="H96" s="108"/>
      <c r="I96" s="106" t="str">
        <f t="shared" si="3"/>
        <v/>
      </c>
      <c r="J96" s="138"/>
      <c r="K96" s="138"/>
    </row>
    <row r="97" spans="2:11" ht="15" customHeight="1">
      <c r="B97" s="137"/>
      <c r="C97" s="247"/>
      <c r="D97" s="52"/>
      <c r="E97" s="52"/>
      <c r="F97" s="142"/>
      <c r="G97" s="119"/>
      <c r="H97" s="108"/>
      <c r="I97" s="106" t="str">
        <f t="shared" si="3"/>
        <v/>
      </c>
      <c r="J97" s="138"/>
      <c r="K97" s="138"/>
    </row>
    <row r="98" spans="2:11" ht="15" customHeight="1">
      <c r="B98" s="137"/>
      <c r="C98" s="247"/>
      <c r="D98" s="52"/>
      <c r="E98" s="52"/>
      <c r="F98" s="142"/>
      <c r="G98" s="119"/>
      <c r="H98" s="108"/>
      <c r="I98" s="106" t="str">
        <f t="shared" si="3"/>
        <v/>
      </c>
      <c r="J98" s="138"/>
      <c r="K98" s="138"/>
    </row>
    <row r="99" spans="2:11" ht="15" customHeight="1">
      <c r="B99" s="137"/>
      <c r="C99" s="247"/>
      <c r="D99" s="52"/>
      <c r="E99" s="52"/>
      <c r="F99" s="142"/>
      <c r="G99" s="119"/>
      <c r="H99" s="108"/>
      <c r="I99" s="106" t="str">
        <f t="shared" si="3"/>
        <v/>
      </c>
      <c r="J99" s="138"/>
      <c r="K99" s="138"/>
    </row>
    <row r="100" spans="2:11" ht="15" customHeight="1">
      <c r="B100" s="137"/>
      <c r="C100" s="247"/>
      <c r="D100" s="52"/>
      <c r="E100" s="52"/>
      <c r="F100" s="142"/>
      <c r="G100" s="119"/>
      <c r="H100" s="108"/>
      <c r="I100" s="106" t="str">
        <f t="shared" si="3"/>
        <v/>
      </c>
      <c r="J100" s="138"/>
      <c r="K100" s="138"/>
    </row>
    <row r="101" spans="2:11" ht="15" customHeight="1">
      <c r="B101" s="137"/>
      <c r="C101" s="247"/>
      <c r="D101" s="52"/>
      <c r="E101" s="52"/>
      <c r="F101" s="142"/>
      <c r="G101" s="119"/>
      <c r="H101" s="108"/>
      <c r="I101" s="106" t="str">
        <f t="shared" si="3"/>
        <v/>
      </c>
      <c r="J101" s="138"/>
      <c r="K101" s="138"/>
    </row>
    <row r="102" spans="2:11" ht="15" customHeight="1">
      <c r="B102" s="137"/>
      <c r="C102" s="247"/>
      <c r="D102" s="52"/>
      <c r="E102" s="52"/>
      <c r="F102" s="142"/>
      <c r="G102" s="119"/>
      <c r="H102" s="108"/>
      <c r="I102" s="106" t="str">
        <f t="shared" si="3"/>
        <v/>
      </c>
      <c r="J102" s="138"/>
      <c r="K102" s="138"/>
    </row>
    <row r="103" spans="2:11" ht="15" customHeight="1">
      <c r="B103" s="137"/>
      <c r="C103" s="247"/>
      <c r="D103" s="52"/>
      <c r="E103" s="52"/>
      <c r="F103" s="142"/>
      <c r="G103" s="119"/>
      <c r="H103" s="108"/>
      <c r="I103" s="106" t="str">
        <f t="shared" si="3"/>
        <v/>
      </c>
      <c r="J103" s="138"/>
      <c r="K103" s="138"/>
    </row>
    <row r="104" spans="2:11" ht="15" customHeight="1">
      <c r="B104" s="137"/>
      <c r="C104" s="247"/>
      <c r="D104" s="52"/>
      <c r="E104" s="52"/>
      <c r="F104" s="142"/>
      <c r="G104" s="119"/>
      <c r="H104" s="108"/>
      <c r="I104" s="106" t="str">
        <f t="shared" si="3"/>
        <v/>
      </c>
      <c r="J104" s="138"/>
      <c r="K104" s="138"/>
    </row>
    <row r="105" spans="2:11" ht="15" customHeight="1">
      <c r="B105" s="137"/>
      <c r="C105" s="247"/>
      <c r="D105" s="52"/>
      <c r="E105" s="52"/>
      <c r="F105" s="142"/>
      <c r="G105" s="119"/>
      <c r="H105" s="108"/>
      <c r="I105" s="106" t="str">
        <f t="shared" si="3"/>
        <v/>
      </c>
      <c r="J105" s="138"/>
      <c r="K105" s="138"/>
    </row>
    <row r="106" spans="2:11" ht="15" customHeight="1">
      <c r="B106" s="137"/>
      <c r="C106" s="247"/>
      <c r="D106" s="52"/>
      <c r="E106" s="52"/>
      <c r="F106" s="142"/>
      <c r="G106" s="119"/>
      <c r="H106" s="108"/>
      <c r="I106" s="106" t="str">
        <f t="shared" si="3"/>
        <v/>
      </c>
      <c r="J106" s="138"/>
      <c r="K106" s="138"/>
    </row>
    <row r="107" spans="2:11" ht="15" customHeight="1">
      <c r="B107" s="137"/>
      <c r="C107" s="247"/>
      <c r="D107" s="52"/>
      <c r="E107" s="52"/>
      <c r="F107" s="142"/>
      <c r="G107" s="119"/>
      <c r="H107" s="108"/>
      <c r="I107" s="106" t="str">
        <f t="shared" si="3"/>
        <v/>
      </c>
      <c r="J107" s="138"/>
      <c r="K107" s="138"/>
    </row>
    <row r="108" spans="2:11" ht="15" customHeight="1">
      <c r="B108" s="137"/>
      <c r="C108" s="247"/>
      <c r="D108" s="52"/>
      <c r="E108" s="52"/>
      <c r="F108" s="142"/>
      <c r="G108" s="119"/>
      <c r="H108" s="108"/>
      <c r="I108" s="106" t="str">
        <f t="shared" si="3"/>
        <v/>
      </c>
      <c r="J108" s="138"/>
      <c r="K108" s="138"/>
    </row>
    <row r="109" spans="2:11" ht="15" customHeight="1">
      <c r="B109" s="137"/>
      <c r="C109" s="247"/>
      <c r="D109" s="52"/>
      <c r="E109" s="52"/>
      <c r="F109" s="142"/>
      <c r="G109" s="119"/>
      <c r="H109" s="108"/>
      <c r="I109" s="106" t="str">
        <f t="shared" si="3"/>
        <v/>
      </c>
      <c r="J109" s="138"/>
      <c r="K109" s="138"/>
    </row>
    <row r="110" spans="2:11" ht="15" customHeight="1">
      <c r="B110" s="137"/>
      <c r="C110" s="247"/>
      <c r="D110" s="52"/>
      <c r="E110" s="52"/>
      <c r="F110" s="142"/>
      <c r="G110" s="119"/>
      <c r="H110" s="108"/>
      <c r="I110" s="106" t="str">
        <f t="shared" si="3"/>
        <v/>
      </c>
      <c r="J110" s="138"/>
      <c r="K110" s="138"/>
    </row>
    <row r="111" spans="2:11" ht="15" customHeight="1">
      <c r="B111" s="137"/>
      <c r="C111" s="247"/>
      <c r="D111" s="52"/>
      <c r="E111" s="52"/>
      <c r="F111" s="142"/>
      <c r="G111" s="119"/>
      <c r="H111" s="108"/>
      <c r="I111" s="106" t="str">
        <f t="shared" si="3"/>
        <v/>
      </c>
      <c r="J111" s="138"/>
      <c r="K111" s="138"/>
    </row>
    <row r="112" spans="2:11" ht="15" customHeight="1">
      <c r="B112" s="137"/>
      <c r="C112" s="247"/>
      <c r="D112" s="52"/>
      <c r="E112" s="52"/>
      <c r="F112" s="142"/>
      <c r="G112" s="119"/>
      <c r="H112" s="108"/>
      <c r="I112" s="106" t="str">
        <f t="shared" si="3"/>
        <v/>
      </c>
      <c r="J112" s="138"/>
      <c r="K112" s="138"/>
    </row>
    <row r="113" spans="2:11" ht="15" customHeight="1">
      <c r="B113" s="137"/>
      <c r="C113" s="247"/>
      <c r="D113" s="52"/>
      <c r="E113" s="52"/>
      <c r="F113" s="142"/>
      <c r="G113" s="119"/>
      <c r="H113" s="108"/>
      <c r="I113" s="106" t="str">
        <f t="shared" si="3"/>
        <v/>
      </c>
      <c r="J113" s="138"/>
      <c r="K113" s="138"/>
    </row>
    <row r="114" spans="2:11" ht="15" customHeight="1">
      <c r="B114" s="137"/>
      <c r="C114" s="247"/>
      <c r="D114" s="52"/>
      <c r="E114" s="52"/>
      <c r="F114" s="142"/>
      <c r="G114" s="119"/>
      <c r="H114" s="108"/>
      <c r="I114" s="106" t="str">
        <f t="shared" si="3"/>
        <v/>
      </c>
      <c r="J114" s="138"/>
      <c r="K114" s="138"/>
    </row>
    <row r="115" spans="2:11" ht="15" customHeight="1">
      <c r="B115" s="137"/>
      <c r="C115" s="247"/>
      <c r="D115" s="52"/>
      <c r="E115" s="52"/>
      <c r="F115" s="142"/>
      <c r="G115" s="119"/>
      <c r="H115" s="108"/>
      <c r="I115" s="106" t="str">
        <f t="shared" si="3"/>
        <v/>
      </c>
      <c r="J115" s="138"/>
      <c r="K115" s="138"/>
    </row>
    <row r="116" spans="2:11" ht="15" customHeight="1">
      <c r="B116" s="137"/>
      <c r="C116" s="247"/>
      <c r="D116" s="52"/>
      <c r="E116" s="52"/>
      <c r="F116" s="142"/>
      <c r="G116" s="119"/>
      <c r="H116" s="108"/>
      <c r="I116" s="106" t="str">
        <f t="shared" si="3"/>
        <v/>
      </c>
      <c r="J116" s="138"/>
      <c r="K116" s="138"/>
    </row>
    <row r="117" spans="2:11" ht="15" customHeight="1">
      <c r="B117" s="137"/>
      <c r="C117" s="247"/>
      <c r="D117" s="52"/>
      <c r="E117" s="52"/>
      <c r="F117" s="142"/>
      <c r="G117" s="119"/>
      <c r="H117" s="108"/>
      <c r="I117" s="106" t="str">
        <f t="shared" si="3"/>
        <v/>
      </c>
      <c r="J117" s="138"/>
      <c r="K117" s="138"/>
    </row>
    <row r="118" spans="2:11" ht="15" customHeight="1">
      <c r="B118" s="137"/>
      <c r="C118" s="247"/>
      <c r="D118" s="52"/>
      <c r="E118" s="52"/>
      <c r="F118" s="142"/>
      <c r="G118" s="119"/>
      <c r="H118" s="108"/>
      <c r="I118" s="106" t="str">
        <f t="shared" si="3"/>
        <v/>
      </c>
      <c r="J118" s="138"/>
      <c r="K118" s="138"/>
    </row>
    <row r="119" spans="2:11" ht="15" customHeight="1">
      <c r="B119" s="137"/>
      <c r="C119" s="247"/>
      <c r="D119" s="52"/>
      <c r="E119" s="52"/>
      <c r="F119" s="142"/>
      <c r="G119" s="119"/>
      <c r="H119" s="108"/>
      <c r="I119" s="106" t="str">
        <f t="shared" si="3"/>
        <v/>
      </c>
      <c r="J119" s="138"/>
      <c r="K119" s="138"/>
    </row>
    <row r="120" spans="2:11" ht="15" customHeight="1">
      <c r="B120" s="137"/>
      <c r="C120" s="247"/>
      <c r="D120" s="52"/>
      <c r="E120" s="52"/>
      <c r="F120" s="142"/>
      <c r="G120" s="119"/>
      <c r="H120" s="108"/>
      <c r="I120" s="106" t="str">
        <f t="shared" si="3"/>
        <v/>
      </c>
      <c r="J120" s="138"/>
      <c r="K120" s="138"/>
    </row>
    <row r="121" spans="2:11" ht="15" customHeight="1">
      <c r="B121" s="137"/>
      <c r="C121" s="247"/>
      <c r="D121" s="52"/>
      <c r="E121" s="52"/>
      <c r="F121" s="142"/>
      <c r="G121" s="119"/>
      <c r="H121" s="108"/>
      <c r="I121" s="106" t="str">
        <f t="shared" si="3"/>
        <v/>
      </c>
      <c r="J121" s="138"/>
      <c r="K121" s="138"/>
    </row>
    <row r="122" spans="2:11" ht="15" customHeight="1">
      <c r="B122" s="137"/>
      <c r="C122" s="247"/>
      <c r="D122" s="52"/>
      <c r="E122" s="52"/>
      <c r="F122" s="142"/>
      <c r="G122" s="119"/>
      <c r="H122" s="108"/>
      <c r="I122" s="106" t="str">
        <f t="shared" si="3"/>
        <v/>
      </c>
      <c r="J122" s="138"/>
      <c r="K122" s="138"/>
    </row>
    <row r="123" spans="2:11" ht="15" customHeight="1">
      <c r="B123" s="137"/>
      <c r="C123" s="247"/>
      <c r="D123" s="52"/>
      <c r="E123" s="52"/>
      <c r="F123" s="142"/>
      <c r="G123" s="119"/>
      <c r="H123" s="108"/>
      <c r="I123" s="106" t="str">
        <f t="shared" si="3"/>
        <v/>
      </c>
      <c r="J123" s="138"/>
      <c r="K123" s="138"/>
    </row>
    <row r="124" spans="2:11" ht="15" customHeight="1">
      <c r="B124" s="137"/>
      <c r="C124" s="247"/>
      <c r="D124" s="52"/>
      <c r="E124" s="52"/>
      <c r="F124" s="142"/>
      <c r="G124" s="119"/>
      <c r="H124" s="108"/>
      <c r="I124" s="106" t="str">
        <f t="shared" si="3"/>
        <v/>
      </c>
      <c r="J124" s="138"/>
      <c r="K124" s="138"/>
    </row>
    <row r="125" spans="2:11" ht="15" customHeight="1">
      <c r="B125" s="137"/>
      <c r="C125" s="247"/>
      <c r="D125" s="52"/>
      <c r="E125" s="52"/>
      <c r="F125" s="142"/>
      <c r="G125" s="119"/>
      <c r="H125" s="108"/>
      <c r="I125" s="106" t="str">
        <f t="shared" si="3"/>
        <v/>
      </c>
      <c r="J125" s="138"/>
      <c r="K125" s="138"/>
    </row>
    <row r="126" spans="2:11" ht="15" customHeight="1">
      <c r="B126" s="137"/>
      <c r="C126" s="247"/>
      <c r="D126" s="52"/>
      <c r="E126" s="52"/>
      <c r="F126" s="142"/>
      <c r="G126" s="119"/>
      <c r="H126" s="108"/>
      <c r="I126" s="106" t="str">
        <f t="shared" si="3"/>
        <v/>
      </c>
      <c r="J126" s="138"/>
      <c r="K126" s="138"/>
    </row>
    <row r="127" spans="2:11" ht="15" customHeight="1">
      <c r="B127" s="137"/>
      <c r="C127" s="247"/>
      <c r="D127" s="52"/>
      <c r="E127" s="52"/>
      <c r="F127" s="142"/>
      <c r="G127" s="119"/>
      <c r="H127" s="108"/>
      <c r="I127" s="106" t="str">
        <f t="shared" si="3"/>
        <v/>
      </c>
      <c r="J127" s="138"/>
      <c r="K127" s="138"/>
    </row>
    <row r="128" spans="2:11" ht="15" customHeight="1">
      <c r="B128" s="137"/>
      <c r="C128" s="247"/>
      <c r="D128" s="52"/>
      <c r="E128" s="52"/>
      <c r="F128" s="142"/>
      <c r="G128" s="119"/>
      <c r="H128" s="108"/>
      <c r="I128" s="106" t="str">
        <f t="shared" si="3"/>
        <v/>
      </c>
      <c r="J128" s="138"/>
      <c r="K128" s="138"/>
    </row>
    <row r="129" spans="2:11" ht="15" customHeight="1">
      <c r="B129" s="137"/>
      <c r="C129" s="247"/>
      <c r="D129" s="52"/>
      <c r="E129" s="52"/>
      <c r="F129" s="142"/>
      <c r="G129" s="119"/>
      <c r="H129" s="108"/>
      <c r="I129" s="106" t="str">
        <f t="shared" si="3"/>
        <v/>
      </c>
      <c r="J129" s="138"/>
      <c r="K129" s="138"/>
    </row>
    <row r="130" spans="2:11" ht="15" customHeight="1">
      <c r="B130" s="137"/>
      <c r="C130" s="247"/>
      <c r="D130" s="52"/>
      <c r="E130" s="52"/>
      <c r="F130" s="142"/>
      <c r="G130" s="119"/>
      <c r="H130" s="108"/>
      <c r="I130" s="106" t="str">
        <f t="shared" si="3"/>
        <v/>
      </c>
      <c r="J130" s="138"/>
      <c r="K130" s="138"/>
    </row>
    <row r="131" spans="2:11" ht="15" customHeight="1">
      <c r="B131" s="137"/>
      <c r="C131" s="247"/>
      <c r="D131" s="52"/>
      <c r="E131" s="52"/>
      <c r="F131" s="142"/>
      <c r="G131" s="119"/>
      <c r="H131" s="108"/>
      <c r="I131" s="106" t="str">
        <f t="shared" si="3"/>
        <v/>
      </c>
      <c r="J131" s="138"/>
      <c r="K131" s="138"/>
    </row>
    <row r="132" spans="2:11" ht="15" customHeight="1">
      <c r="B132" s="137"/>
      <c r="C132" s="247"/>
      <c r="D132" s="52"/>
      <c r="E132" s="52"/>
      <c r="F132" s="142"/>
      <c r="G132" s="119"/>
      <c r="H132" s="108"/>
      <c r="I132" s="106" t="str">
        <f t="shared" si="3"/>
        <v/>
      </c>
      <c r="J132" s="138"/>
      <c r="K132" s="138"/>
    </row>
    <row r="133" spans="2:11" ht="15" customHeight="1">
      <c r="B133" s="137"/>
      <c r="C133" s="247"/>
      <c r="D133" s="52"/>
      <c r="E133" s="52"/>
      <c r="F133" s="142"/>
      <c r="G133" s="119"/>
      <c r="H133" s="108"/>
      <c r="I133" s="106" t="str">
        <f t="shared" si="3"/>
        <v/>
      </c>
      <c r="J133" s="138"/>
      <c r="K133" s="138"/>
    </row>
    <row r="134" spans="2:11" ht="15" customHeight="1">
      <c r="B134" s="137"/>
      <c r="C134" s="247"/>
      <c r="D134" s="52"/>
      <c r="E134" s="52"/>
      <c r="F134" s="142"/>
      <c r="G134" s="119"/>
      <c r="H134" s="108"/>
      <c r="I134" s="106" t="str">
        <f t="shared" si="3"/>
        <v/>
      </c>
      <c r="J134" s="138"/>
      <c r="K134" s="138"/>
    </row>
    <row r="135" spans="2:11" ht="15" customHeight="1">
      <c r="B135" s="137"/>
      <c r="C135" s="247"/>
      <c r="D135" s="52"/>
      <c r="E135" s="52"/>
      <c r="F135" s="142"/>
      <c r="G135" s="119"/>
      <c r="H135" s="108"/>
      <c r="I135" s="106" t="str">
        <f t="shared" si="3"/>
        <v/>
      </c>
      <c r="J135" s="138"/>
      <c r="K135" s="138"/>
    </row>
    <row r="136" spans="2:11" ht="15" customHeight="1">
      <c r="B136" s="137"/>
      <c r="C136" s="247"/>
      <c r="D136" s="52"/>
      <c r="E136" s="52"/>
      <c r="F136" s="142"/>
      <c r="G136" s="119"/>
      <c r="H136" s="108"/>
      <c r="I136" s="106" t="str">
        <f t="shared" si="3"/>
        <v/>
      </c>
      <c r="J136" s="138"/>
      <c r="K136" s="138"/>
    </row>
    <row r="137" spans="2:11" ht="15" customHeight="1">
      <c r="B137" s="137"/>
      <c r="C137" s="247"/>
      <c r="D137" s="52"/>
      <c r="E137" s="52"/>
      <c r="F137" s="142"/>
      <c r="G137" s="119"/>
      <c r="H137" s="108"/>
      <c r="I137" s="106" t="str">
        <f t="shared" si="3"/>
        <v/>
      </c>
      <c r="J137" s="138"/>
      <c r="K137" s="138"/>
    </row>
    <row r="138" spans="2:11" ht="15" customHeight="1">
      <c r="B138" s="137"/>
      <c r="C138" s="247"/>
      <c r="D138" s="52"/>
      <c r="E138" s="52"/>
      <c r="F138" s="142"/>
      <c r="G138" s="119"/>
      <c r="H138" s="108"/>
      <c r="I138" s="106" t="str">
        <f t="shared" si="3"/>
        <v/>
      </c>
      <c r="J138" s="138"/>
      <c r="K138" s="138"/>
    </row>
    <row r="139" spans="2:11" ht="15" customHeight="1">
      <c r="B139" s="137"/>
      <c r="C139" s="247"/>
      <c r="D139" s="52"/>
      <c r="E139" s="52"/>
      <c r="F139" s="142"/>
      <c r="G139" s="119"/>
      <c r="H139" s="108"/>
      <c r="I139" s="106" t="str">
        <f t="shared" si="3"/>
        <v/>
      </c>
      <c r="J139" s="138"/>
      <c r="K139" s="138"/>
    </row>
    <row r="140" spans="2:11" ht="15" customHeight="1">
      <c r="B140" s="137"/>
      <c r="C140" s="247"/>
      <c r="D140" s="52"/>
      <c r="E140" s="52"/>
      <c r="F140" s="142"/>
      <c r="G140" s="119"/>
      <c r="H140" s="108"/>
      <c r="I140" s="106" t="str">
        <f t="shared" si="3"/>
        <v/>
      </c>
      <c r="J140" s="138"/>
      <c r="K140" s="138"/>
    </row>
    <row r="141" spans="2:11" ht="15" customHeight="1">
      <c r="B141" s="137"/>
      <c r="C141" s="247"/>
      <c r="D141" s="52"/>
      <c r="E141" s="52"/>
      <c r="F141" s="142"/>
      <c r="G141" s="119"/>
      <c r="H141" s="108"/>
      <c r="I141" s="106" t="str">
        <f t="shared" si="3"/>
        <v/>
      </c>
      <c r="J141" s="138"/>
      <c r="K141" s="138"/>
    </row>
    <row r="142" spans="2:11" ht="15" customHeight="1">
      <c r="B142" s="137"/>
      <c r="C142" s="247"/>
      <c r="D142" s="52"/>
      <c r="E142" s="52"/>
      <c r="F142" s="142"/>
      <c r="G142" s="119"/>
      <c r="H142" s="108"/>
      <c r="I142" s="106" t="str">
        <f t="shared" si="3"/>
        <v/>
      </c>
      <c r="J142" s="138"/>
      <c r="K142" s="138"/>
    </row>
    <row r="143" spans="2:11" ht="15" customHeight="1">
      <c r="B143" s="137"/>
      <c r="C143" s="247"/>
      <c r="D143" s="52"/>
      <c r="E143" s="52"/>
      <c r="F143" s="142"/>
      <c r="G143" s="119"/>
      <c r="H143" s="108"/>
      <c r="I143" s="106" t="str">
        <f t="shared" si="3"/>
        <v/>
      </c>
      <c r="J143" s="138"/>
      <c r="K143" s="138"/>
    </row>
    <row r="144" spans="2:11" ht="15" customHeight="1">
      <c r="B144" s="137"/>
      <c r="C144" s="247"/>
      <c r="D144" s="52"/>
      <c r="E144" s="52"/>
      <c r="F144" s="142"/>
      <c r="G144" s="119"/>
      <c r="H144" s="108"/>
      <c r="I144" s="106" t="str">
        <f t="shared" si="3"/>
        <v/>
      </c>
      <c r="J144" s="138"/>
      <c r="K144" s="138"/>
    </row>
    <row r="145" spans="2:11" ht="15" customHeight="1">
      <c r="B145" s="137"/>
      <c r="C145" s="247"/>
      <c r="D145" s="52"/>
      <c r="E145" s="52"/>
      <c r="F145" s="142"/>
      <c r="G145" s="119"/>
      <c r="H145" s="108"/>
      <c r="I145" s="106" t="str">
        <f t="shared" si="3"/>
        <v/>
      </c>
      <c r="J145" s="138"/>
      <c r="K145" s="138"/>
    </row>
    <row r="146" spans="2:11" ht="15" customHeight="1">
      <c r="B146" s="137"/>
      <c r="C146" s="247"/>
      <c r="D146" s="52"/>
      <c r="E146" s="52"/>
      <c r="F146" s="142"/>
      <c r="G146" s="119"/>
      <c r="H146" s="108"/>
      <c r="I146" s="106" t="str">
        <f t="shared" si="3"/>
        <v/>
      </c>
      <c r="J146" s="138"/>
      <c r="K146" s="138"/>
    </row>
    <row r="147" spans="2:11" ht="15" customHeight="1">
      <c r="B147" s="137"/>
      <c r="C147" s="247"/>
      <c r="D147" s="52"/>
      <c r="E147" s="52"/>
      <c r="F147" s="142"/>
      <c r="G147" s="119"/>
      <c r="H147" s="108"/>
      <c r="I147" s="106" t="str">
        <f t="shared" si="3"/>
        <v/>
      </c>
      <c r="J147" s="138"/>
      <c r="K147" s="138"/>
    </row>
    <row r="148" spans="2:11" ht="15" customHeight="1">
      <c r="B148" s="137"/>
      <c r="C148" s="247"/>
      <c r="D148" s="52"/>
      <c r="E148" s="52"/>
      <c r="F148" s="142"/>
      <c r="G148" s="119"/>
      <c r="H148" s="108"/>
      <c r="I148" s="106" t="str">
        <f t="shared" si="3"/>
        <v/>
      </c>
      <c r="J148" s="138"/>
      <c r="K148" s="138"/>
    </row>
    <row r="149" spans="2:11" ht="15" customHeight="1">
      <c r="B149" s="137"/>
      <c r="C149" s="247"/>
      <c r="D149" s="52"/>
      <c r="E149" s="52"/>
      <c r="F149" s="142"/>
      <c r="G149" s="119"/>
      <c r="H149" s="108"/>
      <c r="I149" s="106" t="str">
        <f t="shared" si="3"/>
        <v/>
      </c>
      <c r="J149" s="138"/>
      <c r="K149" s="138"/>
    </row>
    <row r="150" spans="2:11" ht="15" customHeight="1">
      <c r="B150" s="137"/>
      <c r="C150" s="247"/>
      <c r="D150" s="52"/>
      <c r="E150" s="52"/>
      <c r="F150" s="142"/>
      <c r="G150" s="119"/>
      <c r="H150" s="108"/>
      <c r="I150" s="106" t="str">
        <f t="shared" si="3"/>
        <v/>
      </c>
      <c r="J150" s="138"/>
      <c r="K150" s="138"/>
    </row>
    <row r="151" spans="2:11" ht="15" customHeight="1">
      <c r="B151" s="137"/>
      <c r="C151" s="247"/>
      <c r="D151" s="52"/>
      <c r="E151" s="52"/>
      <c r="F151" s="142"/>
      <c r="G151" s="119"/>
      <c r="H151" s="108"/>
      <c r="I151" s="106" t="str">
        <f t="shared" si="3"/>
        <v/>
      </c>
      <c r="J151" s="138"/>
      <c r="K151" s="138"/>
    </row>
    <row r="152" spans="2:11" ht="15" customHeight="1">
      <c r="B152" s="137"/>
      <c r="C152" s="247"/>
      <c r="D152" s="52"/>
      <c r="E152" s="52"/>
      <c r="F152" s="142"/>
      <c r="G152" s="119"/>
      <c r="H152" s="108"/>
      <c r="I152" s="106" t="str">
        <f t="shared" ref="I152:I195" si="4">IF(H152&lt;&gt;"",VLOOKUP(H152,ChartofAccountsTable,2,FALSE),"")</f>
        <v/>
      </c>
      <c r="J152" s="138"/>
      <c r="K152" s="138"/>
    </row>
    <row r="153" spans="2:11" ht="15" customHeight="1">
      <c r="B153" s="137"/>
      <c r="C153" s="247"/>
      <c r="D153" s="52"/>
      <c r="E153" s="52"/>
      <c r="F153" s="142"/>
      <c r="G153" s="119"/>
      <c r="H153" s="108"/>
      <c r="I153" s="106" t="str">
        <f t="shared" si="4"/>
        <v/>
      </c>
      <c r="J153" s="138"/>
      <c r="K153" s="138"/>
    </row>
    <row r="154" spans="2:11" ht="15" customHeight="1">
      <c r="B154" s="137"/>
      <c r="C154" s="247"/>
      <c r="D154" s="52"/>
      <c r="E154" s="52"/>
      <c r="F154" s="142"/>
      <c r="G154" s="119"/>
      <c r="H154" s="108"/>
      <c r="I154" s="106" t="str">
        <f t="shared" si="4"/>
        <v/>
      </c>
      <c r="J154" s="138"/>
      <c r="K154" s="138"/>
    </row>
    <row r="155" spans="2:11" ht="15" customHeight="1">
      <c r="B155" s="137"/>
      <c r="C155" s="247"/>
      <c r="D155" s="52"/>
      <c r="E155" s="52"/>
      <c r="F155" s="142"/>
      <c r="G155" s="119"/>
      <c r="H155" s="108"/>
      <c r="I155" s="106" t="str">
        <f t="shared" si="4"/>
        <v/>
      </c>
      <c r="J155" s="138"/>
      <c r="K155" s="138"/>
    </row>
    <row r="156" spans="2:11" ht="15" customHeight="1">
      <c r="B156" s="137"/>
      <c r="C156" s="247"/>
      <c r="D156" s="52"/>
      <c r="E156" s="52"/>
      <c r="F156" s="142"/>
      <c r="G156" s="119"/>
      <c r="H156" s="108"/>
      <c r="I156" s="106" t="str">
        <f t="shared" si="4"/>
        <v/>
      </c>
      <c r="J156" s="138"/>
      <c r="K156" s="138"/>
    </row>
    <row r="157" spans="2:11" ht="15" customHeight="1">
      <c r="B157" s="137"/>
      <c r="C157" s="247"/>
      <c r="D157" s="52"/>
      <c r="E157" s="52"/>
      <c r="F157" s="142"/>
      <c r="G157" s="119"/>
      <c r="H157" s="108"/>
      <c r="I157" s="106" t="str">
        <f t="shared" si="4"/>
        <v/>
      </c>
      <c r="J157" s="138"/>
      <c r="K157" s="138"/>
    </row>
    <row r="158" spans="2:11" ht="15" customHeight="1">
      <c r="B158" s="137"/>
      <c r="C158" s="247"/>
      <c r="D158" s="52"/>
      <c r="E158" s="52"/>
      <c r="F158" s="142"/>
      <c r="G158" s="119"/>
      <c r="H158" s="108"/>
      <c r="I158" s="106" t="str">
        <f t="shared" si="4"/>
        <v/>
      </c>
      <c r="J158" s="138"/>
      <c r="K158" s="138"/>
    </row>
    <row r="159" spans="2:11" ht="15" customHeight="1">
      <c r="B159" s="137"/>
      <c r="C159" s="247"/>
      <c r="D159" s="52"/>
      <c r="E159" s="52"/>
      <c r="F159" s="142"/>
      <c r="G159" s="119"/>
      <c r="H159" s="108"/>
      <c r="I159" s="106" t="str">
        <f t="shared" si="4"/>
        <v/>
      </c>
      <c r="J159" s="138"/>
      <c r="K159" s="138"/>
    </row>
    <row r="160" spans="2:11" ht="15" customHeight="1">
      <c r="B160" s="137"/>
      <c r="C160" s="247"/>
      <c r="D160" s="52"/>
      <c r="E160" s="52"/>
      <c r="F160" s="142"/>
      <c r="G160" s="119"/>
      <c r="H160" s="108"/>
      <c r="I160" s="106" t="str">
        <f t="shared" si="4"/>
        <v/>
      </c>
      <c r="J160" s="138"/>
      <c r="K160" s="138"/>
    </row>
    <row r="161" spans="2:11" ht="15" customHeight="1">
      <c r="B161" s="137"/>
      <c r="C161" s="247"/>
      <c r="D161" s="52"/>
      <c r="E161" s="52"/>
      <c r="F161" s="142"/>
      <c r="G161" s="119"/>
      <c r="H161" s="108"/>
      <c r="I161" s="106" t="str">
        <f t="shared" si="4"/>
        <v/>
      </c>
      <c r="J161" s="138"/>
      <c r="K161" s="138"/>
    </row>
    <row r="162" spans="2:11" ht="15" customHeight="1">
      <c r="B162" s="137"/>
      <c r="C162" s="247"/>
      <c r="D162" s="52"/>
      <c r="E162" s="52"/>
      <c r="F162" s="142"/>
      <c r="G162" s="119"/>
      <c r="H162" s="108"/>
      <c r="I162" s="106" t="str">
        <f t="shared" si="4"/>
        <v/>
      </c>
      <c r="J162" s="138"/>
      <c r="K162" s="138"/>
    </row>
    <row r="163" spans="2:11" ht="15" customHeight="1">
      <c r="B163" s="137"/>
      <c r="C163" s="247"/>
      <c r="D163" s="52"/>
      <c r="E163" s="52"/>
      <c r="F163" s="142"/>
      <c r="G163" s="119"/>
      <c r="H163" s="108"/>
      <c r="I163" s="106" t="str">
        <f t="shared" si="4"/>
        <v/>
      </c>
      <c r="J163" s="138"/>
      <c r="K163" s="138"/>
    </row>
    <row r="164" spans="2:11" ht="15" customHeight="1">
      <c r="B164" s="137"/>
      <c r="C164" s="247"/>
      <c r="D164" s="52"/>
      <c r="E164" s="52"/>
      <c r="F164" s="142"/>
      <c r="G164" s="119"/>
      <c r="H164" s="108"/>
      <c r="I164" s="106" t="str">
        <f t="shared" si="4"/>
        <v/>
      </c>
      <c r="J164" s="138"/>
      <c r="K164" s="138"/>
    </row>
    <row r="165" spans="2:11" ht="15" customHeight="1">
      <c r="B165" s="137"/>
      <c r="C165" s="247"/>
      <c r="D165" s="52"/>
      <c r="E165" s="52"/>
      <c r="F165" s="142"/>
      <c r="G165" s="119"/>
      <c r="H165" s="108"/>
      <c r="I165" s="106" t="str">
        <f t="shared" si="4"/>
        <v/>
      </c>
      <c r="J165" s="138"/>
      <c r="K165" s="138"/>
    </row>
    <row r="166" spans="2:11" ht="15" customHeight="1">
      <c r="B166" s="137"/>
      <c r="C166" s="247"/>
      <c r="D166" s="52"/>
      <c r="E166" s="52"/>
      <c r="F166" s="142"/>
      <c r="G166" s="119"/>
      <c r="H166" s="108"/>
      <c r="I166" s="106" t="str">
        <f t="shared" si="4"/>
        <v/>
      </c>
      <c r="J166" s="138"/>
      <c r="K166" s="138"/>
    </row>
    <row r="167" spans="2:11" ht="15" customHeight="1">
      <c r="B167" s="137"/>
      <c r="C167" s="247"/>
      <c r="D167" s="52"/>
      <c r="E167" s="52"/>
      <c r="F167" s="142"/>
      <c r="G167" s="119"/>
      <c r="H167" s="108"/>
      <c r="I167" s="106" t="str">
        <f t="shared" si="4"/>
        <v/>
      </c>
      <c r="J167" s="138"/>
      <c r="K167" s="138"/>
    </row>
    <row r="168" spans="2:11" ht="15" customHeight="1">
      <c r="B168" s="137"/>
      <c r="C168" s="247"/>
      <c r="D168" s="52"/>
      <c r="E168" s="52"/>
      <c r="F168" s="142"/>
      <c r="G168" s="119"/>
      <c r="H168" s="108"/>
      <c r="I168" s="106" t="str">
        <f t="shared" si="4"/>
        <v/>
      </c>
      <c r="J168" s="138"/>
      <c r="K168" s="138"/>
    </row>
    <row r="169" spans="2:11" ht="15" customHeight="1">
      <c r="B169" s="137"/>
      <c r="C169" s="247"/>
      <c r="D169" s="52"/>
      <c r="E169" s="52"/>
      <c r="F169" s="142"/>
      <c r="G169" s="119"/>
      <c r="H169" s="108"/>
      <c r="I169" s="106" t="str">
        <f t="shared" si="4"/>
        <v/>
      </c>
      <c r="J169" s="138"/>
      <c r="K169" s="138"/>
    </row>
    <row r="170" spans="2:11" ht="15" customHeight="1">
      <c r="B170" s="137"/>
      <c r="C170" s="247"/>
      <c r="D170" s="52"/>
      <c r="E170" s="52"/>
      <c r="F170" s="142"/>
      <c r="G170" s="119"/>
      <c r="H170" s="108"/>
      <c r="I170" s="106" t="str">
        <f t="shared" si="4"/>
        <v/>
      </c>
      <c r="J170" s="138"/>
      <c r="K170" s="138"/>
    </row>
    <row r="171" spans="2:11" ht="15" customHeight="1">
      <c r="B171" s="137"/>
      <c r="C171" s="247"/>
      <c r="D171" s="52"/>
      <c r="E171" s="52"/>
      <c r="F171" s="142"/>
      <c r="G171" s="119"/>
      <c r="H171" s="108"/>
      <c r="I171" s="106" t="str">
        <f t="shared" si="4"/>
        <v/>
      </c>
      <c r="J171" s="138"/>
      <c r="K171" s="138"/>
    </row>
    <row r="172" spans="2:11" ht="15" customHeight="1">
      <c r="B172" s="137"/>
      <c r="C172" s="247"/>
      <c r="D172" s="52"/>
      <c r="E172" s="52"/>
      <c r="F172" s="142"/>
      <c r="G172" s="119"/>
      <c r="H172" s="108"/>
      <c r="I172" s="106" t="str">
        <f t="shared" si="4"/>
        <v/>
      </c>
      <c r="J172" s="138"/>
      <c r="K172" s="138"/>
    </row>
    <row r="173" spans="2:11" ht="15" customHeight="1">
      <c r="B173" s="137"/>
      <c r="C173" s="247"/>
      <c r="D173" s="52"/>
      <c r="E173" s="52"/>
      <c r="F173" s="142"/>
      <c r="G173" s="119"/>
      <c r="H173" s="108"/>
      <c r="I173" s="106" t="str">
        <f t="shared" si="4"/>
        <v/>
      </c>
      <c r="J173" s="138"/>
      <c r="K173" s="138"/>
    </row>
    <row r="174" spans="2:11" ht="15" customHeight="1">
      <c r="B174" s="137"/>
      <c r="C174" s="247"/>
      <c r="D174" s="52"/>
      <c r="E174" s="52"/>
      <c r="F174" s="142"/>
      <c r="G174" s="119"/>
      <c r="H174" s="108"/>
      <c r="I174" s="106" t="str">
        <f t="shared" si="4"/>
        <v/>
      </c>
      <c r="J174" s="138"/>
      <c r="K174" s="138"/>
    </row>
    <row r="175" spans="2:11" ht="15" customHeight="1">
      <c r="B175" s="137"/>
      <c r="C175" s="247"/>
      <c r="D175" s="52"/>
      <c r="E175" s="52"/>
      <c r="F175" s="142"/>
      <c r="G175" s="119"/>
      <c r="H175" s="108"/>
      <c r="I175" s="106" t="str">
        <f t="shared" si="4"/>
        <v/>
      </c>
      <c r="J175" s="138"/>
      <c r="K175" s="138"/>
    </row>
    <row r="176" spans="2:11" ht="15" customHeight="1">
      <c r="B176" s="137"/>
      <c r="C176" s="247"/>
      <c r="D176" s="52"/>
      <c r="E176" s="52"/>
      <c r="F176" s="142"/>
      <c r="G176" s="119"/>
      <c r="H176" s="108"/>
      <c r="I176" s="106" t="str">
        <f t="shared" si="4"/>
        <v/>
      </c>
      <c r="J176" s="138"/>
      <c r="K176" s="138"/>
    </row>
    <row r="177" spans="2:11" ht="15" customHeight="1">
      <c r="B177" s="137"/>
      <c r="C177" s="247"/>
      <c r="D177" s="52"/>
      <c r="E177" s="52"/>
      <c r="F177" s="142"/>
      <c r="G177" s="119"/>
      <c r="H177" s="108"/>
      <c r="I177" s="106" t="str">
        <f t="shared" si="4"/>
        <v/>
      </c>
      <c r="J177" s="138"/>
      <c r="K177" s="138"/>
    </row>
    <row r="178" spans="2:11" ht="15" customHeight="1">
      <c r="B178" s="137"/>
      <c r="C178" s="247"/>
      <c r="D178" s="52"/>
      <c r="E178" s="52"/>
      <c r="F178" s="142"/>
      <c r="G178" s="119"/>
      <c r="H178" s="108"/>
      <c r="I178" s="106" t="str">
        <f t="shared" si="4"/>
        <v/>
      </c>
      <c r="J178" s="138"/>
      <c r="K178" s="138"/>
    </row>
    <row r="179" spans="2:11" ht="15" customHeight="1">
      <c r="B179" s="137"/>
      <c r="C179" s="247"/>
      <c r="D179" s="52"/>
      <c r="E179" s="52"/>
      <c r="F179" s="142"/>
      <c r="G179" s="119"/>
      <c r="H179" s="108"/>
      <c r="I179" s="106" t="str">
        <f t="shared" si="4"/>
        <v/>
      </c>
      <c r="J179" s="138"/>
      <c r="K179" s="138"/>
    </row>
    <row r="180" spans="2:11" ht="15" customHeight="1">
      <c r="B180" s="137"/>
      <c r="C180" s="247"/>
      <c r="D180" s="52"/>
      <c r="E180" s="52"/>
      <c r="F180" s="142"/>
      <c r="G180" s="119"/>
      <c r="H180" s="108"/>
      <c r="I180" s="106" t="str">
        <f t="shared" si="4"/>
        <v/>
      </c>
      <c r="J180" s="138"/>
      <c r="K180" s="138"/>
    </row>
    <row r="181" spans="2:11" ht="15" customHeight="1">
      <c r="B181" s="137"/>
      <c r="C181" s="247"/>
      <c r="D181" s="52"/>
      <c r="E181" s="52"/>
      <c r="F181" s="142"/>
      <c r="G181" s="119"/>
      <c r="H181" s="108"/>
      <c r="I181" s="106" t="str">
        <f t="shared" si="4"/>
        <v/>
      </c>
      <c r="J181" s="138"/>
      <c r="K181" s="138"/>
    </row>
    <row r="182" spans="2:11" ht="15" customHeight="1">
      <c r="B182" s="137"/>
      <c r="C182" s="247"/>
      <c r="D182" s="52"/>
      <c r="E182" s="52"/>
      <c r="F182" s="142"/>
      <c r="G182" s="119"/>
      <c r="H182" s="108"/>
      <c r="I182" s="106" t="str">
        <f t="shared" si="4"/>
        <v/>
      </c>
      <c r="J182" s="138"/>
      <c r="K182" s="138"/>
    </row>
    <row r="183" spans="2:11" ht="15" customHeight="1">
      <c r="B183" s="137"/>
      <c r="C183" s="247"/>
      <c r="D183" s="52"/>
      <c r="E183" s="52"/>
      <c r="F183" s="142"/>
      <c r="G183" s="119"/>
      <c r="H183" s="108"/>
      <c r="I183" s="106" t="str">
        <f t="shared" si="4"/>
        <v/>
      </c>
      <c r="J183" s="138"/>
      <c r="K183" s="138"/>
    </row>
    <row r="184" spans="2:11" ht="15" customHeight="1">
      <c r="B184" s="137"/>
      <c r="C184" s="247"/>
      <c r="D184" s="52"/>
      <c r="E184" s="52"/>
      <c r="F184" s="142"/>
      <c r="G184" s="119"/>
      <c r="H184" s="108"/>
      <c r="I184" s="106" t="str">
        <f t="shared" si="4"/>
        <v/>
      </c>
      <c r="J184" s="138"/>
      <c r="K184" s="138"/>
    </row>
    <row r="185" spans="2:11" ht="15" customHeight="1">
      <c r="B185" s="137"/>
      <c r="C185" s="247"/>
      <c r="D185" s="52"/>
      <c r="E185" s="52"/>
      <c r="F185" s="142"/>
      <c r="G185" s="119"/>
      <c r="H185" s="108"/>
      <c r="I185" s="106" t="str">
        <f t="shared" si="4"/>
        <v/>
      </c>
      <c r="J185" s="138"/>
      <c r="K185" s="138"/>
    </row>
    <row r="186" spans="2:11" ht="15" customHeight="1">
      <c r="B186" s="137"/>
      <c r="C186" s="247"/>
      <c r="D186" s="52"/>
      <c r="E186" s="52"/>
      <c r="F186" s="142"/>
      <c r="G186" s="119"/>
      <c r="H186" s="108"/>
      <c r="I186" s="106" t="str">
        <f t="shared" si="4"/>
        <v/>
      </c>
      <c r="J186" s="138"/>
      <c r="K186" s="138"/>
    </row>
    <row r="187" spans="2:11" ht="15" customHeight="1">
      <c r="B187" s="137"/>
      <c r="C187" s="247"/>
      <c r="D187" s="52"/>
      <c r="E187" s="52"/>
      <c r="F187" s="142"/>
      <c r="G187" s="119"/>
      <c r="H187" s="108"/>
      <c r="I187" s="106" t="str">
        <f t="shared" si="4"/>
        <v/>
      </c>
      <c r="J187" s="138"/>
      <c r="K187" s="138"/>
    </row>
    <row r="188" spans="2:11" ht="15" customHeight="1">
      <c r="B188" s="137"/>
      <c r="C188" s="247"/>
      <c r="D188" s="52"/>
      <c r="E188" s="52"/>
      <c r="F188" s="142"/>
      <c r="G188" s="119"/>
      <c r="H188" s="108"/>
      <c r="I188" s="106" t="str">
        <f t="shared" si="4"/>
        <v/>
      </c>
      <c r="J188" s="138"/>
      <c r="K188" s="138"/>
    </row>
    <row r="189" spans="2:11" ht="15" customHeight="1">
      <c r="B189" s="137"/>
      <c r="C189" s="247"/>
      <c r="D189" s="52"/>
      <c r="E189" s="52"/>
      <c r="F189" s="142"/>
      <c r="G189" s="119"/>
      <c r="H189" s="108"/>
      <c r="I189" s="106" t="str">
        <f t="shared" si="4"/>
        <v/>
      </c>
      <c r="J189" s="138"/>
      <c r="K189" s="138"/>
    </row>
    <row r="190" spans="2:11" ht="15" customHeight="1">
      <c r="B190" s="137"/>
      <c r="C190" s="247"/>
      <c r="D190" s="52"/>
      <c r="E190" s="52"/>
      <c r="F190" s="142"/>
      <c r="G190" s="119"/>
      <c r="H190" s="108"/>
      <c r="I190" s="106" t="str">
        <f t="shared" si="4"/>
        <v/>
      </c>
      <c r="J190" s="138"/>
      <c r="K190" s="138"/>
    </row>
    <row r="191" spans="2:11" ht="15" customHeight="1">
      <c r="B191" s="137"/>
      <c r="C191" s="247"/>
      <c r="D191" s="52"/>
      <c r="E191" s="52"/>
      <c r="F191" s="142"/>
      <c r="G191" s="119"/>
      <c r="H191" s="108"/>
      <c r="I191" s="106" t="str">
        <f t="shared" si="4"/>
        <v/>
      </c>
      <c r="J191" s="138"/>
      <c r="K191" s="138"/>
    </row>
    <row r="192" spans="2:11" ht="15" customHeight="1">
      <c r="B192" s="137"/>
      <c r="C192" s="247"/>
      <c r="D192" s="52"/>
      <c r="E192" s="52"/>
      <c r="F192" s="142"/>
      <c r="G192" s="119"/>
      <c r="H192" s="108"/>
      <c r="I192" s="106" t="str">
        <f t="shared" si="4"/>
        <v/>
      </c>
      <c r="J192" s="138"/>
      <c r="K192" s="138"/>
    </row>
    <row r="193" spans="2:11" ht="15" customHeight="1">
      <c r="B193" s="137"/>
      <c r="C193" s="247"/>
      <c r="D193" s="52"/>
      <c r="E193" s="52"/>
      <c r="F193" s="142"/>
      <c r="G193" s="119"/>
      <c r="H193" s="108"/>
      <c r="I193" s="106" t="str">
        <f t="shared" si="4"/>
        <v/>
      </c>
      <c r="J193" s="138"/>
      <c r="K193" s="138"/>
    </row>
    <row r="194" spans="2:11" ht="15" customHeight="1">
      <c r="B194" s="137"/>
      <c r="C194" s="247"/>
      <c r="D194" s="52"/>
      <c r="E194" s="52"/>
      <c r="F194" s="142"/>
      <c r="G194" s="119"/>
      <c r="H194" s="108"/>
      <c r="I194" s="106" t="str">
        <f t="shared" si="4"/>
        <v/>
      </c>
      <c r="J194" s="138"/>
      <c r="K194" s="138"/>
    </row>
    <row r="195" spans="2:11" ht="15" customHeight="1">
      <c r="B195" s="137"/>
      <c r="C195" s="247"/>
      <c r="D195" s="52"/>
      <c r="E195" s="52"/>
      <c r="F195" s="142"/>
      <c r="G195" s="119"/>
      <c r="H195" s="108"/>
      <c r="I195" s="106" t="str">
        <f t="shared" si="4"/>
        <v/>
      </c>
      <c r="J195" s="138"/>
      <c r="K195" s="138"/>
    </row>
  </sheetData>
  <autoFilter ref="A7:O42" xr:uid="{00000000-0009-0000-0000-000002000000}"/>
  <mergeCells count="9">
    <mergeCell ref="J8:K8"/>
    <mergeCell ref="B7:B8"/>
    <mergeCell ref="C7:C8"/>
    <mergeCell ref="D7:D8"/>
    <mergeCell ref="G7:G8"/>
    <mergeCell ref="H7:H8"/>
    <mergeCell ref="I7:I8"/>
    <mergeCell ref="F7:F8"/>
    <mergeCell ref="E7:E8"/>
  </mergeCells>
  <conditionalFormatting sqref="J8">
    <cfRule type="expression" dxfId="3" priority="1">
      <formula>$J$8="Tidak Seimbang"</formula>
    </cfRule>
  </conditionalFormatting>
  <dataValidations count="1">
    <dataValidation allowBlank="1" showInputMessage="1" showErrorMessage="1" sqref="E21:E68 D35:D36 E9:E19 D21:D22 D49 D63:D64" xr:uid="{737B7231-929E-48C1-A142-9A4F13D7CF5F}"/>
  </dataValidations>
  <pageMargins left="0.7" right="0.7" top="0.75" bottom="0.75" header="0.3" footer="0.3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1000000}">
          <x14:formula1>
            <xm:f>'SUPPLIER CODE'!$A$6:$A$1048576</xm:f>
          </x14:formula1>
          <xm:sqref>F196:F1048576</xm:sqref>
        </x14:dataValidation>
        <x14:dataValidation type="list" allowBlank="1" showInputMessage="1" showErrorMessage="1" xr:uid="{4D0546FE-4297-4EE3-8C01-2EA3DDB5DE90}">
          <x14:formula1>
            <xm:f>'SUPPLIER CODE'!$A$2:$A$121</xm:f>
          </x14:formula1>
          <xm:sqref>E1:E6 E20 D1:D20 D50 D65:D1048576 E69:E1048576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Q207"/>
  <sheetViews>
    <sheetView showGridLines="0" topLeftCell="E8" workbookViewId="0">
      <selection activeCell="J9" sqref="J9:K34"/>
    </sheetView>
  </sheetViews>
  <sheetFormatPr defaultColWidth="0" defaultRowHeight="0" customHeight="1" zeroHeight="1"/>
  <cols>
    <col min="1" max="1" width="5.75" style="7" customWidth="1"/>
    <col min="2" max="2" width="10.75" style="8" customWidth="1"/>
    <col min="3" max="3" width="15.125" style="9" customWidth="1"/>
    <col min="4" max="4" width="8.75" style="9" customWidth="1"/>
    <col min="5" max="5" width="9.75" style="9" customWidth="1"/>
    <col min="6" max="6" width="14.75" style="9" customWidth="1"/>
    <col min="7" max="7" width="35.75" customWidth="1"/>
    <col min="8" max="8" width="10.75" style="9" customWidth="1"/>
    <col min="9" max="9" width="40.75" customWidth="1"/>
    <col min="10" max="11" width="16.75" style="10" customWidth="1"/>
    <col min="12" max="12" width="10.75" style="6" customWidth="1"/>
    <col min="13" max="13" width="10.75" style="6" hidden="1" customWidth="1"/>
    <col min="14" max="17" width="0" hidden="1" customWidth="1"/>
    <col min="18" max="16384" width="8.75" hidden="1"/>
  </cols>
  <sheetData>
    <row r="1" spans="1:13" s="6" customFormat="1" ht="14.65" customHeight="1">
      <c r="A1" s="7"/>
      <c r="B1" s="11"/>
      <c r="C1" s="12"/>
      <c r="D1" s="12"/>
      <c r="E1" s="12"/>
      <c r="F1" s="12"/>
      <c r="H1" s="12"/>
      <c r="J1" s="24"/>
      <c r="K1" s="24"/>
    </row>
    <row r="2" spans="1:13" ht="18.399999999999999" customHeight="1">
      <c r="A2" s="13"/>
      <c r="B2" s="14" t="s">
        <v>122</v>
      </c>
      <c r="C2" s="15"/>
      <c r="D2" s="15"/>
      <c r="E2" s="15"/>
      <c r="F2" s="16"/>
      <c r="G2" s="16"/>
      <c r="H2" s="16"/>
      <c r="I2" s="16"/>
      <c r="J2" s="16"/>
      <c r="K2" s="16"/>
      <c r="L2" s="13"/>
      <c r="M2" s="13"/>
    </row>
    <row r="3" spans="1:13" s="6" customFormat="1" ht="10.5" customHeight="1">
      <c r="A3" s="7"/>
      <c r="B3" s="11"/>
      <c r="C3" s="12"/>
      <c r="D3" s="66" t="s">
        <v>123</v>
      </c>
      <c r="E3" s="12"/>
      <c r="F3" s="12"/>
      <c r="H3" s="12"/>
      <c r="J3" s="24"/>
      <c r="K3" s="24"/>
    </row>
    <row r="4" spans="1:13" ht="14.65" customHeight="1">
      <c r="B4" s="11" t="s">
        <v>95</v>
      </c>
      <c r="C4" s="12"/>
      <c r="D4" s="66" t="s">
        <v>124</v>
      </c>
      <c r="E4" s="12"/>
      <c r="F4" s="47">
        <f>MAX(B9:B205)</f>
        <v>0</v>
      </c>
      <c r="G4" s="6"/>
      <c r="H4" s="12"/>
      <c r="I4" s="6"/>
      <c r="J4" s="24"/>
      <c r="K4" s="24"/>
    </row>
    <row r="5" spans="1:13" ht="14.65" customHeight="1">
      <c r="B5" s="11"/>
      <c r="C5" s="12"/>
      <c r="D5" s="66" t="s">
        <v>125</v>
      </c>
      <c r="E5" s="12"/>
      <c r="F5" s="65"/>
      <c r="G5" s="6"/>
      <c r="H5" s="12"/>
      <c r="I5" s="6"/>
      <c r="J5" s="24"/>
      <c r="K5" s="24">
        <f>K6-J6</f>
        <v>0</v>
      </c>
    </row>
    <row r="6" spans="1:13" s="6" customFormat="1" ht="14.65" customHeight="1">
      <c r="A6" s="7"/>
      <c r="B6" s="11"/>
      <c r="C6" s="12"/>
      <c r="D6" s="66" t="s">
        <v>126</v>
      </c>
      <c r="E6" s="12"/>
      <c r="F6" s="12"/>
      <c r="H6" s="12"/>
      <c r="I6" s="6">
        <v>5100</v>
      </c>
      <c r="J6" s="24">
        <f>SUBTOTAL(9,J9:J920000)</f>
        <v>0</v>
      </c>
      <c r="K6" s="24">
        <f>SUBTOTAL(9,K9:K920000)</f>
        <v>0</v>
      </c>
    </row>
    <row r="7" spans="1:13" ht="14.65" customHeight="1">
      <c r="B7" s="433" t="s">
        <v>127</v>
      </c>
      <c r="C7" s="433" t="s">
        <v>128</v>
      </c>
      <c r="D7" s="433" t="s">
        <v>129</v>
      </c>
      <c r="E7" s="435" t="s">
        <v>130</v>
      </c>
      <c r="F7" s="433" t="s">
        <v>131</v>
      </c>
      <c r="G7" s="435" t="s">
        <v>101</v>
      </c>
      <c r="H7" s="435" t="s">
        <v>102</v>
      </c>
      <c r="I7" s="435" t="s">
        <v>3</v>
      </c>
      <c r="J7" s="25" t="s">
        <v>103</v>
      </c>
      <c r="K7" s="25" t="s">
        <v>104</v>
      </c>
    </row>
    <row r="8" spans="1:13" ht="14.65" customHeight="1">
      <c r="A8" s="18"/>
      <c r="B8" s="434"/>
      <c r="C8" s="434"/>
      <c r="D8" s="434"/>
      <c r="E8" s="436"/>
      <c r="F8" s="434"/>
      <c r="G8" s="436"/>
      <c r="H8" s="436"/>
      <c r="I8" s="436"/>
      <c r="J8" s="431" t="str">
        <f>IF(SUM(J9:J205)=SUM(K9:K205),"Balance","Not Balance")</f>
        <v>Balance</v>
      </c>
      <c r="K8" s="432"/>
    </row>
    <row r="9" spans="1:13" ht="14.65" customHeight="1">
      <c r="B9" s="19"/>
      <c r="C9" s="20"/>
      <c r="D9" s="67"/>
      <c r="E9" s="68"/>
      <c r="F9" s="67"/>
      <c r="G9" s="67"/>
      <c r="H9" s="71"/>
      <c r="I9" s="21" t="str">
        <f t="shared" ref="I9:I72" si="0">IF(H9&lt;&gt;"",VLOOKUP(H9,ChartofAccountsTable,2,FALSE),"")</f>
        <v/>
      </c>
      <c r="J9" s="158"/>
      <c r="K9" s="159"/>
    </row>
    <row r="10" spans="1:13" ht="14.65" customHeight="1">
      <c r="A10" s="22"/>
      <c r="B10" s="19"/>
      <c r="C10" s="20"/>
      <c r="D10" s="67"/>
      <c r="E10" s="68"/>
      <c r="F10" s="67"/>
      <c r="G10" s="67"/>
      <c r="H10" s="71"/>
      <c r="I10" s="21" t="str">
        <f t="shared" si="0"/>
        <v/>
      </c>
      <c r="J10" s="160"/>
      <c r="K10" s="158"/>
    </row>
    <row r="11" spans="1:13" ht="14.65" customHeight="1">
      <c r="A11" s="22"/>
      <c r="B11" s="19"/>
      <c r="C11" s="20"/>
      <c r="D11" s="20"/>
      <c r="E11" s="20"/>
      <c r="F11" s="20"/>
      <c r="G11" s="23"/>
      <c r="H11" s="20"/>
      <c r="I11" s="21" t="str">
        <f t="shared" si="0"/>
        <v/>
      </c>
      <c r="J11" s="160"/>
      <c r="K11" s="161"/>
    </row>
    <row r="12" spans="1:13" ht="14.65" customHeight="1">
      <c r="A12" s="22"/>
      <c r="B12" s="74"/>
      <c r="C12" s="48"/>
      <c r="D12" s="48"/>
      <c r="E12" s="69"/>
      <c r="F12" s="49"/>
      <c r="G12" s="49"/>
      <c r="H12" s="48"/>
      <c r="I12" s="21" t="str">
        <f t="shared" si="0"/>
        <v/>
      </c>
      <c r="J12" s="162"/>
      <c r="K12" s="163"/>
    </row>
    <row r="13" spans="1:13" ht="14.65" customHeight="1">
      <c r="A13" s="22"/>
      <c r="B13" s="74"/>
      <c r="C13" s="48"/>
      <c r="D13" s="48"/>
      <c r="E13" s="48"/>
      <c r="F13" s="49"/>
      <c r="G13" s="49"/>
      <c r="H13" s="48"/>
      <c r="I13" s="21" t="str">
        <f t="shared" si="0"/>
        <v/>
      </c>
      <c r="J13" s="164"/>
      <c r="K13" s="158"/>
    </row>
    <row r="14" spans="1:13" ht="14.65" customHeight="1">
      <c r="A14" s="22"/>
      <c r="B14" s="74"/>
      <c r="C14" s="48"/>
      <c r="D14" s="48"/>
      <c r="E14" s="69"/>
      <c r="F14" s="49"/>
      <c r="G14" s="49"/>
      <c r="H14" s="48"/>
      <c r="I14" s="21" t="str">
        <f t="shared" si="0"/>
        <v/>
      </c>
      <c r="J14" s="162"/>
      <c r="K14" s="163"/>
    </row>
    <row r="15" spans="1:13" ht="14.65" customHeight="1">
      <c r="A15" s="22"/>
      <c r="B15" s="74"/>
      <c r="C15" s="48"/>
      <c r="D15" s="48"/>
      <c r="E15" s="48"/>
      <c r="F15" s="49"/>
      <c r="G15" s="49"/>
      <c r="H15" s="48"/>
      <c r="I15" s="21" t="str">
        <f t="shared" si="0"/>
        <v/>
      </c>
      <c r="J15" s="164"/>
      <c r="K15" s="158"/>
    </row>
    <row r="16" spans="1:13" ht="14.65" customHeight="1">
      <c r="A16" s="22"/>
      <c r="B16" s="74"/>
      <c r="C16" s="48"/>
      <c r="D16" s="48"/>
      <c r="E16" s="69"/>
      <c r="F16" s="49"/>
      <c r="G16" s="49"/>
      <c r="H16" s="48"/>
      <c r="I16" s="21" t="str">
        <f t="shared" si="0"/>
        <v/>
      </c>
      <c r="J16" s="162"/>
      <c r="K16" s="163"/>
    </row>
    <row r="17" spans="1:11" ht="14.65" customHeight="1">
      <c r="A17" s="22"/>
      <c r="B17" s="74"/>
      <c r="C17" s="48"/>
      <c r="D17" s="48"/>
      <c r="E17" s="48"/>
      <c r="F17" s="49"/>
      <c r="G17" s="49"/>
      <c r="H17" s="48"/>
      <c r="I17" s="21" t="str">
        <f t="shared" si="0"/>
        <v/>
      </c>
      <c r="J17" s="164"/>
      <c r="K17" s="158"/>
    </row>
    <row r="18" spans="1:11" ht="14.65" customHeight="1">
      <c r="A18" s="22"/>
      <c r="B18" s="74"/>
      <c r="C18" s="48"/>
      <c r="D18" s="48"/>
      <c r="E18" s="69"/>
      <c r="F18" s="49"/>
      <c r="G18" s="49"/>
      <c r="H18" s="48"/>
      <c r="I18" s="21" t="str">
        <f t="shared" si="0"/>
        <v/>
      </c>
      <c r="J18" s="162"/>
      <c r="K18" s="163"/>
    </row>
    <row r="19" spans="1:11" ht="14.65" customHeight="1">
      <c r="A19" s="22"/>
      <c r="B19" s="74"/>
      <c r="C19" s="48"/>
      <c r="D19" s="48"/>
      <c r="E19" s="48"/>
      <c r="F19" s="49"/>
      <c r="G19" s="49"/>
      <c r="H19" s="48"/>
      <c r="I19" s="21" t="str">
        <f t="shared" si="0"/>
        <v/>
      </c>
      <c r="J19" s="164"/>
      <c r="K19" s="158"/>
    </row>
    <row r="20" spans="1:11" ht="14.65" customHeight="1">
      <c r="A20" s="22"/>
      <c r="B20" s="74"/>
      <c r="C20" s="48"/>
      <c r="D20" s="48"/>
      <c r="E20" s="69"/>
      <c r="F20" s="49"/>
      <c r="G20" s="49"/>
      <c r="H20" s="48"/>
      <c r="I20" s="21" t="str">
        <f t="shared" si="0"/>
        <v/>
      </c>
      <c r="J20" s="162"/>
      <c r="K20" s="163"/>
    </row>
    <row r="21" spans="1:11" ht="14.65" customHeight="1">
      <c r="A21" s="22"/>
      <c r="B21" s="74"/>
      <c r="C21" s="48"/>
      <c r="D21" s="48"/>
      <c r="E21" s="48"/>
      <c r="F21" s="49"/>
      <c r="G21" s="49"/>
      <c r="H21" s="48"/>
      <c r="I21" s="21" t="str">
        <f t="shared" si="0"/>
        <v/>
      </c>
      <c r="J21" s="164"/>
      <c r="K21" s="158"/>
    </row>
    <row r="22" spans="1:11" ht="14.65" customHeight="1">
      <c r="A22" s="22"/>
      <c r="B22" s="74"/>
      <c r="C22" s="48"/>
      <c r="D22" s="48"/>
      <c r="E22" s="69"/>
      <c r="F22" s="49"/>
      <c r="G22" s="49"/>
      <c r="H22" s="48"/>
      <c r="I22" s="21" t="str">
        <f t="shared" si="0"/>
        <v/>
      </c>
      <c r="J22" s="162"/>
      <c r="K22" s="163"/>
    </row>
    <row r="23" spans="1:11" ht="14.65" customHeight="1">
      <c r="A23" s="22"/>
      <c r="B23" s="74"/>
      <c r="C23" s="48"/>
      <c r="D23" s="48"/>
      <c r="E23" s="69"/>
      <c r="F23" s="49"/>
      <c r="G23" s="49"/>
      <c r="H23" s="48"/>
      <c r="I23" s="21" t="str">
        <f t="shared" si="0"/>
        <v/>
      </c>
      <c r="J23" s="162"/>
      <c r="K23" s="163"/>
    </row>
    <row r="24" spans="1:11" ht="14.65" customHeight="1">
      <c r="A24" s="22"/>
      <c r="B24" s="74"/>
      <c r="C24" s="48"/>
      <c r="D24" s="48"/>
      <c r="E24" s="48"/>
      <c r="F24" s="49"/>
      <c r="G24" s="49"/>
      <c r="H24" s="48"/>
      <c r="I24" s="21" t="str">
        <f t="shared" si="0"/>
        <v/>
      </c>
      <c r="J24" s="164"/>
      <c r="K24" s="158"/>
    </row>
    <row r="25" spans="1:11" ht="14.65" customHeight="1">
      <c r="A25" s="22"/>
      <c r="B25" s="19"/>
      <c r="C25" s="20"/>
      <c r="D25" s="20"/>
      <c r="E25" s="20"/>
      <c r="F25" s="20"/>
      <c r="G25" s="23"/>
      <c r="H25" s="20"/>
      <c r="I25" s="21" t="str">
        <f t="shared" si="0"/>
        <v/>
      </c>
      <c r="J25" s="160"/>
      <c r="K25" s="161"/>
    </row>
    <row r="26" spans="1:11" ht="14.65" customHeight="1">
      <c r="A26" s="22"/>
      <c r="B26" s="74"/>
      <c r="C26" s="48"/>
      <c r="D26" s="48"/>
      <c r="E26" s="69"/>
      <c r="F26" s="49"/>
      <c r="G26" s="49"/>
      <c r="H26" s="48"/>
      <c r="I26" s="21" t="str">
        <f t="shared" si="0"/>
        <v/>
      </c>
      <c r="J26" s="165"/>
      <c r="K26" s="161"/>
    </row>
    <row r="27" spans="1:11" ht="14.65" customHeight="1">
      <c r="A27" s="22"/>
      <c r="B27" s="74"/>
      <c r="C27" s="48"/>
      <c r="D27" s="48"/>
      <c r="E27" s="69"/>
      <c r="F27" s="49"/>
      <c r="G27" s="49"/>
      <c r="H27" s="48"/>
      <c r="I27" s="21" t="str">
        <f>IF(H27&lt;&gt;"",VLOOKUP(H27,ChartofAccountsTable,2,FALSE),"")</f>
        <v/>
      </c>
      <c r="J27" s="160"/>
      <c r="K27" s="166"/>
    </row>
    <row r="28" spans="1:11" ht="14.65" customHeight="1">
      <c r="A28" s="22"/>
      <c r="B28" s="74"/>
      <c r="C28" s="48"/>
      <c r="D28" s="48"/>
      <c r="E28" s="69"/>
      <c r="F28" s="49"/>
      <c r="G28" s="49"/>
      <c r="H28" s="48"/>
      <c r="I28" s="21" t="str">
        <f t="shared" si="0"/>
        <v/>
      </c>
      <c r="J28" s="165"/>
      <c r="K28" s="161"/>
    </row>
    <row r="29" spans="1:11" ht="14.65" customHeight="1">
      <c r="A29" s="22"/>
      <c r="B29" s="74"/>
      <c r="C29" s="48"/>
      <c r="D29" s="48"/>
      <c r="E29" s="69"/>
      <c r="F29" s="49"/>
      <c r="G29" s="49"/>
      <c r="H29" s="48"/>
      <c r="I29" s="21" t="str">
        <f t="shared" si="0"/>
        <v/>
      </c>
      <c r="J29" s="160"/>
      <c r="K29" s="166"/>
    </row>
    <row r="30" spans="1:11" ht="14.65" customHeight="1">
      <c r="A30" s="22"/>
      <c r="B30" s="74"/>
      <c r="C30" s="48"/>
      <c r="D30" s="48"/>
      <c r="E30" s="69"/>
      <c r="F30" s="49"/>
      <c r="G30" s="49"/>
      <c r="H30" s="48"/>
      <c r="I30" s="21" t="str">
        <f t="shared" si="0"/>
        <v/>
      </c>
      <c r="J30" s="165"/>
      <c r="K30" s="161"/>
    </row>
    <row r="31" spans="1:11" ht="14.65" customHeight="1">
      <c r="A31" s="22"/>
      <c r="B31" s="74"/>
      <c r="C31" s="48"/>
      <c r="D31" s="48"/>
      <c r="E31" s="69"/>
      <c r="F31" s="49"/>
      <c r="G31" s="49"/>
      <c r="H31" s="48"/>
      <c r="I31" s="21" t="str">
        <f t="shared" si="0"/>
        <v/>
      </c>
      <c r="J31" s="160"/>
      <c r="K31" s="166"/>
    </row>
    <row r="32" spans="1:11" ht="14.65" customHeight="1">
      <c r="A32" s="22"/>
      <c r="B32" s="19"/>
      <c r="C32" s="20"/>
      <c r="D32" s="20"/>
      <c r="E32" s="20"/>
      <c r="F32" s="20"/>
      <c r="G32" s="23"/>
      <c r="H32" s="20"/>
      <c r="I32" s="21" t="str">
        <f t="shared" si="0"/>
        <v/>
      </c>
      <c r="J32" s="26"/>
      <c r="K32" s="26"/>
    </row>
    <row r="33" spans="1:11" ht="14.65" customHeight="1">
      <c r="A33" s="22"/>
      <c r="B33" s="19"/>
      <c r="C33" s="20"/>
      <c r="D33" s="20"/>
      <c r="E33" s="20"/>
      <c r="F33" s="20"/>
      <c r="G33" s="23"/>
      <c r="H33" s="20"/>
      <c r="I33" s="21" t="str">
        <f t="shared" si="0"/>
        <v/>
      </c>
      <c r="J33" s="26"/>
      <c r="K33" s="26"/>
    </row>
    <row r="34" spans="1:11" ht="14.65" customHeight="1">
      <c r="A34" s="22"/>
      <c r="B34" s="19"/>
      <c r="C34" s="20"/>
      <c r="D34" s="20"/>
      <c r="E34" s="20"/>
      <c r="F34" s="20"/>
      <c r="G34" s="23"/>
      <c r="H34" s="20"/>
      <c r="I34" s="21" t="str">
        <f t="shared" si="0"/>
        <v/>
      </c>
      <c r="J34" s="26"/>
      <c r="K34" s="26"/>
    </row>
    <row r="35" spans="1:11" ht="14.65" customHeight="1">
      <c r="A35" s="22"/>
      <c r="B35" s="19"/>
      <c r="C35" s="20"/>
      <c r="D35" s="20"/>
      <c r="E35" s="20"/>
      <c r="F35" s="20"/>
      <c r="G35" s="23"/>
      <c r="H35" s="20"/>
      <c r="I35" s="21" t="str">
        <f t="shared" si="0"/>
        <v/>
      </c>
      <c r="J35" s="26"/>
      <c r="K35" s="26"/>
    </row>
    <row r="36" spans="1:11" ht="14.65" customHeight="1">
      <c r="A36" s="22"/>
      <c r="B36" s="19"/>
      <c r="C36" s="20"/>
      <c r="D36" s="20"/>
      <c r="E36" s="20"/>
      <c r="F36" s="20"/>
      <c r="G36" s="23"/>
      <c r="H36" s="20"/>
      <c r="I36" s="21" t="str">
        <f t="shared" si="0"/>
        <v/>
      </c>
      <c r="J36" s="26"/>
      <c r="K36" s="26"/>
    </row>
    <row r="37" spans="1:11" ht="14.65" customHeight="1">
      <c r="A37" s="22"/>
      <c r="B37" s="19"/>
      <c r="C37" s="20"/>
      <c r="D37" s="20"/>
      <c r="E37" s="20"/>
      <c r="F37" s="20"/>
      <c r="G37" s="23"/>
      <c r="H37" s="20"/>
      <c r="I37" s="21" t="str">
        <f t="shared" si="0"/>
        <v/>
      </c>
      <c r="J37" s="26"/>
      <c r="K37" s="26"/>
    </row>
    <row r="38" spans="1:11" ht="14.65" customHeight="1">
      <c r="A38" s="22"/>
      <c r="B38" s="19"/>
      <c r="C38" s="20"/>
      <c r="D38" s="20"/>
      <c r="E38" s="20"/>
      <c r="F38" s="20"/>
      <c r="G38" s="23"/>
      <c r="H38" s="20"/>
      <c r="I38" s="21" t="str">
        <f t="shared" si="0"/>
        <v/>
      </c>
      <c r="J38" s="26"/>
      <c r="K38" s="26"/>
    </row>
    <row r="39" spans="1:11" ht="14.65" customHeight="1">
      <c r="A39" s="22"/>
      <c r="B39" s="19"/>
      <c r="C39" s="20"/>
      <c r="D39" s="20"/>
      <c r="E39" s="20"/>
      <c r="F39" s="20"/>
      <c r="G39" s="23"/>
      <c r="H39" s="20"/>
      <c r="I39" s="21" t="str">
        <f t="shared" si="0"/>
        <v/>
      </c>
      <c r="J39" s="26"/>
      <c r="K39" s="26"/>
    </row>
    <row r="40" spans="1:11" ht="14.65" customHeight="1">
      <c r="A40" s="22"/>
      <c r="B40" s="19"/>
      <c r="C40" s="20"/>
      <c r="D40" s="20"/>
      <c r="E40" s="20"/>
      <c r="F40" s="20"/>
      <c r="G40" s="23"/>
      <c r="H40" s="20"/>
      <c r="I40" s="21" t="str">
        <f t="shared" si="0"/>
        <v/>
      </c>
      <c r="J40" s="26"/>
      <c r="K40" s="26"/>
    </row>
    <row r="41" spans="1:11" ht="14.65" customHeight="1">
      <c r="A41" s="22"/>
      <c r="B41" s="19"/>
      <c r="C41" s="20"/>
      <c r="D41" s="20"/>
      <c r="E41" s="20"/>
      <c r="F41" s="20"/>
      <c r="G41" s="23"/>
      <c r="H41" s="20"/>
      <c r="I41" s="21" t="str">
        <f t="shared" si="0"/>
        <v/>
      </c>
      <c r="J41" s="26"/>
      <c r="K41" s="26"/>
    </row>
    <row r="42" spans="1:11" ht="14.65" customHeight="1">
      <c r="A42" s="22"/>
      <c r="B42" s="19"/>
      <c r="C42" s="20"/>
      <c r="D42" s="20"/>
      <c r="E42" s="20"/>
      <c r="F42" s="20"/>
      <c r="G42" s="23"/>
      <c r="H42" s="20"/>
      <c r="I42" s="21" t="str">
        <f t="shared" si="0"/>
        <v/>
      </c>
      <c r="J42" s="26"/>
      <c r="K42" s="26"/>
    </row>
    <row r="43" spans="1:11" ht="14.65" customHeight="1">
      <c r="A43" s="22"/>
      <c r="B43" s="19"/>
      <c r="C43" s="20"/>
      <c r="D43" s="20"/>
      <c r="E43" s="20"/>
      <c r="F43" s="20"/>
      <c r="G43" s="23"/>
      <c r="H43" s="20"/>
      <c r="I43" s="21" t="str">
        <f t="shared" si="0"/>
        <v/>
      </c>
      <c r="J43" s="26"/>
      <c r="K43" s="26"/>
    </row>
    <row r="44" spans="1:11" ht="14.65" customHeight="1">
      <c r="A44" s="22"/>
      <c r="B44" s="19"/>
      <c r="C44" s="20"/>
      <c r="D44" s="20"/>
      <c r="E44" s="20"/>
      <c r="F44" s="20"/>
      <c r="G44" s="23"/>
      <c r="H44" s="20"/>
      <c r="I44" s="21" t="str">
        <f t="shared" si="0"/>
        <v/>
      </c>
      <c r="J44" s="26"/>
      <c r="K44" s="26"/>
    </row>
    <row r="45" spans="1:11" ht="14.65" customHeight="1">
      <c r="A45" s="22"/>
      <c r="B45" s="19"/>
      <c r="C45" s="20"/>
      <c r="D45" s="20"/>
      <c r="E45" s="20"/>
      <c r="F45" s="20"/>
      <c r="G45" s="23"/>
      <c r="H45" s="20"/>
      <c r="I45" s="21" t="str">
        <f t="shared" si="0"/>
        <v/>
      </c>
      <c r="J45" s="26"/>
      <c r="K45" s="26"/>
    </row>
    <row r="46" spans="1:11" ht="14.65" customHeight="1">
      <c r="A46" s="22"/>
      <c r="B46" s="19"/>
      <c r="C46" s="20"/>
      <c r="D46" s="20"/>
      <c r="E46" s="20"/>
      <c r="F46" s="20"/>
      <c r="G46" s="23"/>
      <c r="H46" s="20"/>
      <c r="I46" s="21" t="str">
        <f t="shared" si="0"/>
        <v/>
      </c>
      <c r="J46" s="26"/>
      <c r="K46" s="26"/>
    </row>
    <row r="47" spans="1:11" ht="14.65" customHeight="1">
      <c r="A47" s="22"/>
      <c r="B47" s="19"/>
      <c r="C47" s="20"/>
      <c r="D47" s="20"/>
      <c r="E47" s="20"/>
      <c r="F47" s="20"/>
      <c r="G47" s="23"/>
      <c r="H47" s="20"/>
      <c r="I47" s="21" t="str">
        <f t="shared" si="0"/>
        <v/>
      </c>
      <c r="J47" s="26"/>
      <c r="K47" s="26"/>
    </row>
    <row r="48" spans="1:11" ht="14.65" customHeight="1">
      <c r="A48" s="22"/>
      <c r="B48" s="19"/>
      <c r="C48" s="20"/>
      <c r="D48" s="20"/>
      <c r="E48" s="20"/>
      <c r="F48" s="20"/>
      <c r="G48" s="23"/>
      <c r="H48" s="20"/>
      <c r="I48" s="21" t="str">
        <f t="shared" si="0"/>
        <v/>
      </c>
      <c r="J48" s="26"/>
      <c r="K48" s="26"/>
    </row>
    <row r="49" spans="1:11" ht="14.65" customHeight="1">
      <c r="A49" s="22"/>
      <c r="B49" s="19"/>
      <c r="C49" s="20"/>
      <c r="D49" s="20"/>
      <c r="E49" s="20"/>
      <c r="F49" s="20"/>
      <c r="G49" s="23"/>
      <c r="H49" s="20"/>
      <c r="I49" s="21" t="str">
        <f t="shared" si="0"/>
        <v/>
      </c>
      <c r="J49" s="26"/>
      <c r="K49" s="26"/>
    </row>
    <row r="50" spans="1:11" ht="14.65" customHeight="1">
      <c r="A50" s="22"/>
      <c r="B50" s="19"/>
      <c r="C50" s="20"/>
      <c r="D50" s="20"/>
      <c r="E50" s="20"/>
      <c r="F50" s="20"/>
      <c r="G50" s="23"/>
      <c r="H50" s="20"/>
      <c r="I50" s="21" t="str">
        <f t="shared" si="0"/>
        <v/>
      </c>
      <c r="J50" s="26"/>
      <c r="K50" s="26"/>
    </row>
    <row r="51" spans="1:11" ht="14.65" customHeight="1">
      <c r="A51" s="22"/>
      <c r="B51" s="19"/>
      <c r="C51" s="20"/>
      <c r="D51" s="20"/>
      <c r="E51" s="20"/>
      <c r="F51" s="20"/>
      <c r="G51" s="23"/>
      <c r="H51" s="20"/>
      <c r="I51" s="21" t="str">
        <f t="shared" si="0"/>
        <v/>
      </c>
      <c r="J51" s="26"/>
      <c r="K51" s="26"/>
    </row>
    <row r="52" spans="1:11" ht="14.65" customHeight="1">
      <c r="A52" s="22"/>
      <c r="B52" s="19"/>
      <c r="C52" s="20"/>
      <c r="D52" s="20"/>
      <c r="E52" s="20"/>
      <c r="F52" s="20"/>
      <c r="G52" s="23"/>
      <c r="H52" s="20"/>
      <c r="I52" s="21" t="str">
        <f t="shared" si="0"/>
        <v/>
      </c>
      <c r="J52" s="26"/>
      <c r="K52" s="26"/>
    </row>
    <row r="53" spans="1:11" ht="14.65" customHeight="1">
      <c r="A53" s="22"/>
      <c r="B53" s="19"/>
      <c r="C53" s="20"/>
      <c r="D53" s="20"/>
      <c r="E53" s="20"/>
      <c r="F53" s="20"/>
      <c r="G53" s="23"/>
      <c r="H53" s="20"/>
      <c r="I53" s="21" t="str">
        <f t="shared" si="0"/>
        <v/>
      </c>
      <c r="J53" s="26"/>
      <c r="K53" s="26"/>
    </row>
    <row r="54" spans="1:11" ht="14.65" customHeight="1">
      <c r="A54" s="22"/>
      <c r="B54" s="19"/>
      <c r="C54" s="20"/>
      <c r="D54" s="20"/>
      <c r="E54" s="20"/>
      <c r="F54" s="20"/>
      <c r="G54" s="23"/>
      <c r="H54" s="20"/>
      <c r="I54" s="21" t="str">
        <f t="shared" si="0"/>
        <v/>
      </c>
      <c r="J54" s="26"/>
      <c r="K54" s="26"/>
    </row>
    <row r="55" spans="1:11" ht="14.65" customHeight="1">
      <c r="A55" s="22"/>
      <c r="B55" s="19"/>
      <c r="C55" s="20"/>
      <c r="D55" s="20"/>
      <c r="E55" s="20"/>
      <c r="F55" s="20"/>
      <c r="G55" s="23"/>
      <c r="H55" s="20"/>
      <c r="I55" s="21" t="str">
        <f t="shared" si="0"/>
        <v/>
      </c>
      <c r="J55" s="26"/>
      <c r="K55" s="26"/>
    </row>
    <row r="56" spans="1:11" ht="14.65" customHeight="1">
      <c r="A56" s="22"/>
      <c r="B56" s="19"/>
      <c r="C56" s="20"/>
      <c r="D56" s="20"/>
      <c r="E56" s="20"/>
      <c r="F56" s="20"/>
      <c r="G56" s="23"/>
      <c r="H56" s="20"/>
      <c r="I56" s="21" t="str">
        <f t="shared" si="0"/>
        <v/>
      </c>
      <c r="J56" s="26"/>
      <c r="K56" s="26"/>
    </row>
    <row r="57" spans="1:11" ht="14.65" customHeight="1">
      <c r="A57" s="22"/>
      <c r="B57" s="19"/>
      <c r="C57" s="20"/>
      <c r="D57" s="20"/>
      <c r="E57" s="20"/>
      <c r="F57" s="20"/>
      <c r="G57" s="23"/>
      <c r="H57" s="20"/>
      <c r="I57" s="21" t="str">
        <f t="shared" si="0"/>
        <v/>
      </c>
      <c r="J57" s="26"/>
      <c r="K57" s="26"/>
    </row>
    <row r="58" spans="1:11" ht="14.65" customHeight="1">
      <c r="A58" s="22"/>
      <c r="B58" s="19"/>
      <c r="C58" s="20"/>
      <c r="D58" s="20"/>
      <c r="E58" s="20"/>
      <c r="F58" s="20"/>
      <c r="G58" s="23"/>
      <c r="H58" s="20"/>
      <c r="I58" s="21" t="str">
        <f t="shared" si="0"/>
        <v/>
      </c>
      <c r="J58" s="26"/>
      <c r="K58" s="26"/>
    </row>
    <row r="59" spans="1:11" ht="14.65" customHeight="1">
      <c r="A59" s="22"/>
      <c r="B59" s="19"/>
      <c r="C59" s="20"/>
      <c r="D59" s="20"/>
      <c r="E59" s="20"/>
      <c r="F59" s="20"/>
      <c r="G59" s="23"/>
      <c r="H59" s="20"/>
      <c r="I59" s="21" t="str">
        <f t="shared" si="0"/>
        <v/>
      </c>
      <c r="J59" s="26"/>
      <c r="K59" s="26"/>
    </row>
    <row r="60" spans="1:11" ht="14.65" customHeight="1">
      <c r="A60" s="22"/>
      <c r="B60" s="19"/>
      <c r="C60" s="20"/>
      <c r="D60" s="20"/>
      <c r="E60" s="20"/>
      <c r="F60" s="20"/>
      <c r="G60" s="23"/>
      <c r="H60" s="20"/>
      <c r="I60" s="21" t="str">
        <f t="shared" si="0"/>
        <v/>
      </c>
      <c r="J60" s="26"/>
      <c r="K60" s="26"/>
    </row>
    <row r="61" spans="1:11" ht="14.65" customHeight="1">
      <c r="A61" s="22"/>
      <c r="B61" s="19"/>
      <c r="C61" s="20"/>
      <c r="D61" s="20"/>
      <c r="E61" s="20"/>
      <c r="F61" s="20"/>
      <c r="G61" s="23"/>
      <c r="H61" s="20"/>
      <c r="I61" s="21" t="str">
        <f t="shared" si="0"/>
        <v/>
      </c>
      <c r="J61" s="26"/>
      <c r="K61" s="26"/>
    </row>
    <row r="62" spans="1:11" ht="14.65" customHeight="1">
      <c r="A62" s="22"/>
      <c r="B62" s="19"/>
      <c r="C62" s="20"/>
      <c r="D62" s="20"/>
      <c r="E62" s="20"/>
      <c r="F62" s="20"/>
      <c r="G62" s="23"/>
      <c r="H62" s="20"/>
      <c r="I62" s="21" t="str">
        <f t="shared" si="0"/>
        <v/>
      </c>
      <c r="J62" s="26"/>
      <c r="K62" s="26"/>
    </row>
    <row r="63" spans="1:11" ht="14.65" customHeight="1">
      <c r="A63" s="22"/>
      <c r="B63" s="19"/>
      <c r="C63" s="20"/>
      <c r="D63" s="20"/>
      <c r="E63" s="20"/>
      <c r="F63" s="20"/>
      <c r="G63" s="23"/>
      <c r="H63" s="20"/>
      <c r="I63" s="21" t="str">
        <f t="shared" si="0"/>
        <v/>
      </c>
      <c r="J63" s="26"/>
      <c r="K63" s="26"/>
    </row>
    <row r="64" spans="1:11" ht="14.65" customHeight="1">
      <c r="A64" s="22"/>
      <c r="B64" s="19"/>
      <c r="C64" s="20"/>
      <c r="D64" s="20"/>
      <c r="E64" s="20"/>
      <c r="F64" s="20"/>
      <c r="G64" s="23"/>
      <c r="H64" s="20"/>
      <c r="I64" s="21" t="str">
        <f t="shared" si="0"/>
        <v/>
      </c>
      <c r="J64" s="26"/>
      <c r="K64" s="26"/>
    </row>
    <row r="65" spans="1:11" ht="14.65" customHeight="1">
      <c r="A65" s="22"/>
      <c r="B65" s="19"/>
      <c r="C65" s="20"/>
      <c r="D65" s="20"/>
      <c r="E65" s="20"/>
      <c r="F65" s="20"/>
      <c r="G65" s="23"/>
      <c r="H65" s="20"/>
      <c r="I65" s="21" t="str">
        <f t="shared" si="0"/>
        <v/>
      </c>
      <c r="J65" s="26"/>
      <c r="K65" s="26"/>
    </row>
    <row r="66" spans="1:11" ht="14.65" customHeight="1">
      <c r="A66" s="22"/>
      <c r="B66" s="19"/>
      <c r="C66" s="20"/>
      <c r="D66" s="20"/>
      <c r="E66" s="20"/>
      <c r="F66" s="20"/>
      <c r="G66" s="23"/>
      <c r="H66" s="20"/>
      <c r="I66" s="21" t="str">
        <f t="shared" si="0"/>
        <v/>
      </c>
      <c r="J66" s="26"/>
      <c r="K66" s="26"/>
    </row>
    <row r="67" spans="1:11" ht="14.65" customHeight="1">
      <c r="A67" s="22"/>
      <c r="B67" s="19"/>
      <c r="C67" s="20"/>
      <c r="D67" s="20"/>
      <c r="E67" s="20"/>
      <c r="F67" s="20"/>
      <c r="G67" s="23"/>
      <c r="H67" s="20"/>
      <c r="I67" s="21" t="str">
        <f t="shared" si="0"/>
        <v/>
      </c>
      <c r="J67" s="26"/>
      <c r="K67" s="26"/>
    </row>
    <row r="68" spans="1:11" ht="14.65" customHeight="1">
      <c r="A68" s="22"/>
      <c r="B68" s="19"/>
      <c r="C68" s="20"/>
      <c r="D68" s="20"/>
      <c r="E68" s="20"/>
      <c r="F68" s="20"/>
      <c r="G68" s="23"/>
      <c r="H68" s="20"/>
      <c r="I68" s="21" t="str">
        <f t="shared" si="0"/>
        <v/>
      </c>
      <c r="J68" s="26"/>
      <c r="K68" s="26"/>
    </row>
    <row r="69" spans="1:11" ht="14.65" customHeight="1">
      <c r="A69" s="22"/>
      <c r="B69" s="19"/>
      <c r="C69" s="20"/>
      <c r="D69" s="20"/>
      <c r="E69" s="20"/>
      <c r="F69" s="20"/>
      <c r="G69" s="23"/>
      <c r="H69" s="20"/>
      <c r="I69" s="21" t="str">
        <f t="shared" si="0"/>
        <v/>
      </c>
      <c r="J69" s="26"/>
      <c r="K69" s="26"/>
    </row>
    <row r="70" spans="1:11" ht="14.65" customHeight="1">
      <c r="A70" s="22"/>
      <c r="B70" s="19"/>
      <c r="C70" s="20"/>
      <c r="D70" s="20"/>
      <c r="E70" s="20"/>
      <c r="F70" s="20"/>
      <c r="G70" s="23"/>
      <c r="H70" s="20"/>
      <c r="I70" s="21" t="str">
        <f t="shared" si="0"/>
        <v/>
      </c>
      <c r="J70" s="26"/>
      <c r="K70" s="26"/>
    </row>
    <row r="71" spans="1:11" ht="14.65" customHeight="1">
      <c r="A71" s="22"/>
      <c r="B71" s="19"/>
      <c r="C71" s="20"/>
      <c r="D71" s="20"/>
      <c r="E71" s="20"/>
      <c r="F71" s="20"/>
      <c r="G71" s="23"/>
      <c r="H71" s="20"/>
      <c r="I71" s="21" t="str">
        <f t="shared" si="0"/>
        <v/>
      </c>
      <c r="J71" s="26"/>
      <c r="K71" s="26"/>
    </row>
    <row r="72" spans="1:11" ht="14.65" customHeight="1">
      <c r="A72" s="22"/>
      <c r="B72" s="19"/>
      <c r="C72" s="20"/>
      <c r="D72" s="20"/>
      <c r="E72" s="20"/>
      <c r="F72" s="20"/>
      <c r="G72" s="23"/>
      <c r="H72" s="20"/>
      <c r="I72" s="21" t="str">
        <f t="shared" si="0"/>
        <v/>
      </c>
      <c r="J72" s="26"/>
      <c r="K72" s="26"/>
    </row>
    <row r="73" spans="1:11" ht="14.65" customHeight="1">
      <c r="A73" s="22"/>
      <c r="B73" s="19"/>
      <c r="C73" s="20"/>
      <c r="D73" s="20"/>
      <c r="E73" s="20"/>
      <c r="F73" s="20"/>
      <c r="G73" s="23"/>
      <c r="H73" s="20"/>
      <c r="I73" s="21" t="str">
        <f t="shared" ref="I73:I136" si="1">IF(H73&lt;&gt;"",VLOOKUP(H73,ChartofAccountsTable,2,FALSE),"")</f>
        <v/>
      </c>
      <c r="J73" s="26"/>
      <c r="K73" s="26"/>
    </row>
    <row r="74" spans="1:11" ht="14.65" customHeight="1">
      <c r="A74" s="22"/>
      <c r="B74" s="19"/>
      <c r="C74" s="20"/>
      <c r="D74" s="20"/>
      <c r="E74" s="20"/>
      <c r="F74" s="20"/>
      <c r="G74" s="23"/>
      <c r="H74" s="20"/>
      <c r="I74" s="21" t="str">
        <f t="shared" si="1"/>
        <v/>
      </c>
      <c r="J74" s="26"/>
      <c r="K74" s="26"/>
    </row>
    <row r="75" spans="1:11" ht="14.65" customHeight="1">
      <c r="A75" s="22"/>
      <c r="B75" s="19"/>
      <c r="C75" s="20"/>
      <c r="D75" s="20"/>
      <c r="E75" s="20"/>
      <c r="F75" s="20"/>
      <c r="G75" s="23"/>
      <c r="H75" s="20"/>
      <c r="I75" s="21" t="str">
        <f t="shared" si="1"/>
        <v/>
      </c>
      <c r="J75" s="26"/>
      <c r="K75" s="26"/>
    </row>
    <row r="76" spans="1:11" ht="14.65" customHeight="1">
      <c r="A76" s="22"/>
      <c r="B76" s="19"/>
      <c r="C76" s="20"/>
      <c r="D76" s="20"/>
      <c r="E76" s="20"/>
      <c r="F76" s="20"/>
      <c r="G76" s="23"/>
      <c r="H76" s="20"/>
      <c r="I76" s="21" t="str">
        <f t="shared" si="1"/>
        <v/>
      </c>
      <c r="J76" s="26"/>
      <c r="K76" s="26"/>
    </row>
    <row r="77" spans="1:11" ht="14.65" customHeight="1">
      <c r="A77" s="22"/>
      <c r="B77" s="19"/>
      <c r="C77" s="20"/>
      <c r="D77" s="20"/>
      <c r="E77" s="20"/>
      <c r="F77" s="20"/>
      <c r="G77" s="23"/>
      <c r="H77" s="20"/>
      <c r="I77" s="21" t="str">
        <f t="shared" si="1"/>
        <v/>
      </c>
      <c r="J77" s="26"/>
      <c r="K77" s="26"/>
    </row>
    <row r="78" spans="1:11" ht="14.65" customHeight="1">
      <c r="A78" s="22"/>
      <c r="B78" s="19"/>
      <c r="C78" s="20"/>
      <c r="D78" s="20"/>
      <c r="E78" s="20"/>
      <c r="F78" s="20"/>
      <c r="G78" s="23"/>
      <c r="H78" s="20"/>
      <c r="I78" s="21" t="str">
        <f t="shared" si="1"/>
        <v/>
      </c>
      <c r="J78" s="26"/>
      <c r="K78" s="26"/>
    </row>
    <row r="79" spans="1:11" ht="14.65" customHeight="1">
      <c r="A79" s="22"/>
      <c r="B79" s="19"/>
      <c r="C79" s="20"/>
      <c r="D79" s="20"/>
      <c r="E79" s="20"/>
      <c r="F79" s="20"/>
      <c r="G79" s="23"/>
      <c r="H79" s="20"/>
      <c r="I79" s="21" t="str">
        <f t="shared" si="1"/>
        <v/>
      </c>
      <c r="J79" s="26"/>
      <c r="K79" s="26"/>
    </row>
    <row r="80" spans="1:11" ht="14.65" customHeight="1">
      <c r="A80" s="22"/>
      <c r="B80" s="19"/>
      <c r="C80" s="20"/>
      <c r="D80" s="20"/>
      <c r="E80" s="20"/>
      <c r="F80" s="20"/>
      <c r="G80" s="23"/>
      <c r="H80" s="20"/>
      <c r="I80" s="21" t="str">
        <f t="shared" si="1"/>
        <v/>
      </c>
      <c r="J80" s="26"/>
      <c r="K80" s="26"/>
    </row>
    <row r="81" spans="1:11" ht="14.65" customHeight="1">
      <c r="A81" s="22"/>
      <c r="B81" s="19"/>
      <c r="C81" s="20"/>
      <c r="D81" s="20"/>
      <c r="E81" s="20"/>
      <c r="F81" s="20"/>
      <c r="G81" s="23"/>
      <c r="H81" s="20"/>
      <c r="I81" s="21" t="str">
        <f t="shared" si="1"/>
        <v/>
      </c>
      <c r="J81" s="26"/>
      <c r="K81" s="26"/>
    </row>
    <row r="82" spans="1:11" ht="14.65" customHeight="1">
      <c r="A82" s="22"/>
      <c r="B82" s="19"/>
      <c r="C82" s="20"/>
      <c r="D82" s="20"/>
      <c r="E82" s="20"/>
      <c r="F82" s="20"/>
      <c r="G82" s="23"/>
      <c r="H82" s="20"/>
      <c r="I82" s="21" t="str">
        <f t="shared" si="1"/>
        <v/>
      </c>
      <c r="J82" s="26"/>
      <c r="K82" s="26"/>
    </row>
    <row r="83" spans="1:11" ht="14.65" customHeight="1">
      <c r="A83" s="22"/>
      <c r="B83" s="19"/>
      <c r="C83" s="20"/>
      <c r="D83" s="20"/>
      <c r="E83" s="20"/>
      <c r="F83" s="20"/>
      <c r="G83" s="23"/>
      <c r="H83" s="20"/>
      <c r="I83" s="21" t="str">
        <f t="shared" si="1"/>
        <v/>
      </c>
      <c r="J83" s="26"/>
      <c r="K83" s="26"/>
    </row>
    <row r="84" spans="1:11" ht="14.65" customHeight="1">
      <c r="A84" s="22"/>
      <c r="B84" s="19"/>
      <c r="C84" s="20"/>
      <c r="D84" s="20"/>
      <c r="E84" s="20"/>
      <c r="F84" s="20"/>
      <c r="G84" s="23"/>
      <c r="H84" s="20"/>
      <c r="I84" s="21" t="str">
        <f t="shared" si="1"/>
        <v/>
      </c>
      <c r="J84" s="26"/>
      <c r="K84" s="26"/>
    </row>
    <row r="85" spans="1:11" ht="14.65" customHeight="1">
      <c r="A85" s="22"/>
      <c r="B85" s="19"/>
      <c r="C85" s="20"/>
      <c r="D85" s="20"/>
      <c r="E85" s="20"/>
      <c r="F85" s="20"/>
      <c r="G85" s="23"/>
      <c r="H85" s="20"/>
      <c r="I85" s="21" t="str">
        <f t="shared" si="1"/>
        <v/>
      </c>
      <c r="J85" s="26"/>
      <c r="K85" s="26"/>
    </row>
    <row r="86" spans="1:11" ht="14.65" customHeight="1">
      <c r="A86" s="22"/>
      <c r="B86" s="19"/>
      <c r="C86" s="20"/>
      <c r="D86" s="20"/>
      <c r="E86" s="20"/>
      <c r="F86" s="20"/>
      <c r="G86" s="23"/>
      <c r="H86" s="20"/>
      <c r="I86" s="21" t="str">
        <f t="shared" si="1"/>
        <v/>
      </c>
      <c r="J86" s="26"/>
      <c r="K86" s="26"/>
    </row>
    <row r="87" spans="1:11" ht="14.65" customHeight="1">
      <c r="A87" s="22"/>
      <c r="B87" s="19"/>
      <c r="C87" s="20"/>
      <c r="D87" s="20"/>
      <c r="E87" s="20"/>
      <c r="F87" s="20"/>
      <c r="G87" s="23"/>
      <c r="H87" s="20"/>
      <c r="I87" s="21" t="str">
        <f t="shared" si="1"/>
        <v/>
      </c>
      <c r="J87" s="26"/>
      <c r="K87" s="26"/>
    </row>
    <row r="88" spans="1:11" ht="14.65" customHeight="1">
      <c r="A88" s="22"/>
      <c r="B88" s="19"/>
      <c r="C88" s="20"/>
      <c r="D88" s="20"/>
      <c r="E88" s="20"/>
      <c r="F88" s="20"/>
      <c r="G88" s="23"/>
      <c r="H88" s="20"/>
      <c r="I88" s="21" t="str">
        <f t="shared" si="1"/>
        <v/>
      </c>
      <c r="J88" s="26"/>
      <c r="K88" s="26"/>
    </row>
    <row r="89" spans="1:11" ht="14.65" customHeight="1">
      <c r="A89" s="22"/>
      <c r="B89" s="19"/>
      <c r="C89" s="20"/>
      <c r="D89" s="20"/>
      <c r="E89" s="20"/>
      <c r="F89" s="20"/>
      <c r="G89" s="23"/>
      <c r="H89" s="20"/>
      <c r="I89" s="21" t="str">
        <f t="shared" si="1"/>
        <v/>
      </c>
      <c r="J89" s="26"/>
      <c r="K89" s="26"/>
    </row>
    <row r="90" spans="1:11" ht="14.65" customHeight="1">
      <c r="A90" s="22"/>
      <c r="B90" s="19"/>
      <c r="C90" s="20"/>
      <c r="D90" s="20"/>
      <c r="E90" s="20"/>
      <c r="F90" s="20"/>
      <c r="G90" s="23"/>
      <c r="H90" s="20"/>
      <c r="I90" s="21" t="str">
        <f t="shared" si="1"/>
        <v/>
      </c>
      <c r="J90" s="26"/>
      <c r="K90" s="26"/>
    </row>
    <row r="91" spans="1:11" ht="14.65" customHeight="1">
      <c r="A91" s="22"/>
      <c r="B91" s="19"/>
      <c r="C91" s="20"/>
      <c r="D91" s="20"/>
      <c r="E91" s="20"/>
      <c r="F91" s="20"/>
      <c r="G91" s="23"/>
      <c r="H91" s="20"/>
      <c r="I91" s="21" t="str">
        <f t="shared" si="1"/>
        <v/>
      </c>
      <c r="J91" s="26"/>
      <c r="K91" s="26"/>
    </row>
    <row r="92" spans="1:11" ht="14.65" customHeight="1">
      <c r="A92" s="22"/>
      <c r="B92" s="19"/>
      <c r="C92" s="20"/>
      <c r="D92" s="20"/>
      <c r="E92" s="20"/>
      <c r="F92" s="20"/>
      <c r="G92" s="23"/>
      <c r="H92" s="20"/>
      <c r="I92" s="21" t="str">
        <f t="shared" si="1"/>
        <v/>
      </c>
      <c r="J92" s="26"/>
      <c r="K92" s="26"/>
    </row>
    <row r="93" spans="1:11" ht="14.65" customHeight="1">
      <c r="A93" s="22"/>
      <c r="B93" s="19"/>
      <c r="C93" s="20"/>
      <c r="D93" s="20"/>
      <c r="E93" s="20"/>
      <c r="F93" s="20"/>
      <c r="G93" s="23"/>
      <c r="H93" s="20"/>
      <c r="I93" s="21" t="str">
        <f t="shared" si="1"/>
        <v/>
      </c>
      <c r="J93" s="26"/>
      <c r="K93" s="26"/>
    </row>
    <row r="94" spans="1:11" ht="14.65" customHeight="1">
      <c r="A94" s="22"/>
      <c r="B94" s="19"/>
      <c r="C94" s="20"/>
      <c r="D94" s="20"/>
      <c r="E94" s="20"/>
      <c r="F94" s="20"/>
      <c r="G94" s="23"/>
      <c r="H94" s="20"/>
      <c r="I94" s="21" t="str">
        <f t="shared" si="1"/>
        <v/>
      </c>
      <c r="J94" s="26"/>
      <c r="K94" s="26"/>
    </row>
    <row r="95" spans="1:11" ht="14.65" customHeight="1">
      <c r="A95" s="22"/>
      <c r="B95" s="19"/>
      <c r="C95" s="20"/>
      <c r="D95" s="20"/>
      <c r="E95" s="20"/>
      <c r="F95" s="20"/>
      <c r="G95" s="23"/>
      <c r="H95" s="20"/>
      <c r="I95" s="21" t="str">
        <f t="shared" si="1"/>
        <v/>
      </c>
      <c r="J95" s="26"/>
      <c r="K95" s="26"/>
    </row>
    <row r="96" spans="1:11" ht="14.65" customHeight="1">
      <c r="A96" s="22"/>
      <c r="B96" s="19"/>
      <c r="C96" s="20"/>
      <c r="D96" s="20"/>
      <c r="E96" s="20"/>
      <c r="F96" s="20"/>
      <c r="G96" s="23"/>
      <c r="H96" s="20"/>
      <c r="I96" s="21" t="str">
        <f t="shared" si="1"/>
        <v/>
      </c>
      <c r="J96" s="26"/>
      <c r="K96" s="26"/>
    </row>
    <row r="97" spans="1:11" ht="14.65" customHeight="1">
      <c r="A97" s="22"/>
      <c r="B97" s="19"/>
      <c r="C97" s="20"/>
      <c r="D97" s="20"/>
      <c r="E97" s="20"/>
      <c r="F97" s="20"/>
      <c r="G97" s="23"/>
      <c r="H97" s="20"/>
      <c r="I97" s="21" t="str">
        <f t="shared" si="1"/>
        <v/>
      </c>
      <c r="J97" s="26"/>
      <c r="K97" s="26"/>
    </row>
    <row r="98" spans="1:11" ht="14.65" customHeight="1">
      <c r="A98" s="22"/>
      <c r="B98" s="19"/>
      <c r="C98" s="20"/>
      <c r="D98" s="20"/>
      <c r="E98" s="20"/>
      <c r="F98" s="20"/>
      <c r="G98" s="23"/>
      <c r="H98" s="20"/>
      <c r="I98" s="21" t="str">
        <f t="shared" si="1"/>
        <v/>
      </c>
      <c r="J98" s="26"/>
      <c r="K98" s="26"/>
    </row>
    <row r="99" spans="1:11" ht="14.65" customHeight="1">
      <c r="A99" s="22"/>
      <c r="B99" s="19"/>
      <c r="C99" s="20"/>
      <c r="D99" s="20"/>
      <c r="E99" s="20"/>
      <c r="F99" s="20"/>
      <c r="G99" s="23"/>
      <c r="H99" s="20"/>
      <c r="I99" s="21" t="str">
        <f t="shared" si="1"/>
        <v/>
      </c>
      <c r="J99" s="26"/>
      <c r="K99" s="26"/>
    </row>
    <row r="100" spans="1:11" ht="14.65" customHeight="1">
      <c r="A100" s="22"/>
      <c r="B100" s="19"/>
      <c r="C100" s="20"/>
      <c r="D100" s="20"/>
      <c r="E100" s="20"/>
      <c r="F100" s="20"/>
      <c r="G100" s="23"/>
      <c r="H100" s="20"/>
      <c r="I100" s="21" t="str">
        <f t="shared" si="1"/>
        <v/>
      </c>
      <c r="J100" s="26"/>
      <c r="K100" s="26"/>
    </row>
    <row r="101" spans="1:11" ht="14.65" customHeight="1">
      <c r="A101" s="22"/>
      <c r="B101" s="19"/>
      <c r="C101" s="20"/>
      <c r="D101" s="20"/>
      <c r="E101" s="20"/>
      <c r="F101" s="20"/>
      <c r="G101" s="23"/>
      <c r="H101" s="20"/>
      <c r="I101" s="21" t="str">
        <f t="shared" si="1"/>
        <v/>
      </c>
      <c r="J101" s="26"/>
      <c r="K101" s="26"/>
    </row>
    <row r="102" spans="1:11" ht="14.65" customHeight="1">
      <c r="A102" s="22"/>
      <c r="B102" s="19"/>
      <c r="C102" s="20"/>
      <c r="D102" s="20"/>
      <c r="E102" s="20"/>
      <c r="F102" s="20"/>
      <c r="G102" s="23"/>
      <c r="H102" s="20"/>
      <c r="I102" s="21" t="str">
        <f t="shared" si="1"/>
        <v/>
      </c>
      <c r="J102" s="26"/>
      <c r="K102" s="26"/>
    </row>
    <row r="103" spans="1:11" ht="14.65" customHeight="1">
      <c r="A103" s="22"/>
      <c r="B103" s="19"/>
      <c r="C103" s="20"/>
      <c r="D103" s="20"/>
      <c r="E103" s="20"/>
      <c r="F103" s="20"/>
      <c r="G103" s="23"/>
      <c r="H103" s="20"/>
      <c r="I103" s="21" t="str">
        <f t="shared" si="1"/>
        <v/>
      </c>
      <c r="J103" s="26"/>
      <c r="K103" s="26"/>
    </row>
    <row r="104" spans="1:11" ht="14.65" customHeight="1">
      <c r="A104" s="22"/>
      <c r="B104" s="19"/>
      <c r="C104" s="20"/>
      <c r="D104" s="20"/>
      <c r="E104" s="20"/>
      <c r="F104" s="20"/>
      <c r="G104" s="23"/>
      <c r="H104" s="20"/>
      <c r="I104" s="21" t="str">
        <f t="shared" si="1"/>
        <v/>
      </c>
      <c r="J104" s="26"/>
      <c r="K104" s="26"/>
    </row>
    <row r="105" spans="1:11" ht="14.65" customHeight="1">
      <c r="A105" s="22"/>
      <c r="B105" s="19"/>
      <c r="C105" s="20"/>
      <c r="D105" s="20"/>
      <c r="E105" s="20"/>
      <c r="F105" s="20"/>
      <c r="G105" s="23"/>
      <c r="H105" s="20"/>
      <c r="I105" s="21" t="str">
        <f t="shared" si="1"/>
        <v/>
      </c>
      <c r="J105" s="26"/>
      <c r="K105" s="26"/>
    </row>
    <row r="106" spans="1:11" ht="14.65" customHeight="1">
      <c r="A106" s="22"/>
      <c r="B106" s="19"/>
      <c r="C106" s="20"/>
      <c r="D106" s="20"/>
      <c r="E106" s="20"/>
      <c r="F106" s="20"/>
      <c r="G106" s="23"/>
      <c r="H106" s="20"/>
      <c r="I106" s="21" t="str">
        <f t="shared" si="1"/>
        <v/>
      </c>
      <c r="J106" s="26"/>
      <c r="K106" s="26"/>
    </row>
    <row r="107" spans="1:11" ht="14.65" customHeight="1">
      <c r="A107" s="22"/>
      <c r="B107" s="19"/>
      <c r="C107" s="20"/>
      <c r="D107" s="20"/>
      <c r="E107" s="20"/>
      <c r="F107" s="20"/>
      <c r="G107" s="23"/>
      <c r="H107" s="20"/>
      <c r="I107" s="21" t="str">
        <f t="shared" si="1"/>
        <v/>
      </c>
      <c r="J107" s="26"/>
      <c r="K107" s="26"/>
    </row>
    <row r="108" spans="1:11" ht="14.65" customHeight="1">
      <c r="A108" s="22"/>
      <c r="B108" s="19"/>
      <c r="C108" s="20"/>
      <c r="D108" s="20"/>
      <c r="E108" s="20"/>
      <c r="F108" s="20"/>
      <c r="G108" s="23"/>
      <c r="H108" s="20"/>
      <c r="I108" s="21" t="str">
        <f t="shared" si="1"/>
        <v/>
      </c>
      <c r="J108" s="26"/>
      <c r="K108" s="26"/>
    </row>
    <row r="109" spans="1:11" ht="14.65" customHeight="1">
      <c r="A109" s="22"/>
      <c r="B109" s="19"/>
      <c r="C109" s="20"/>
      <c r="D109" s="20"/>
      <c r="E109" s="20"/>
      <c r="F109" s="20"/>
      <c r="G109" s="23"/>
      <c r="H109" s="20"/>
      <c r="I109" s="21" t="str">
        <f t="shared" si="1"/>
        <v/>
      </c>
      <c r="J109" s="26"/>
      <c r="K109" s="26"/>
    </row>
    <row r="110" spans="1:11" ht="14.65" customHeight="1">
      <c r="A110" s="22"/>
      <c r="B110" s="19"/>
      <c r="C110" s="20"/>
      <c r="D110" s="20"/>
      <c r="E110" s="20"/>
      <c r="F110" s="20"/>
      <c r="G110" s="23"/>
      <c r="H110" s="20"/>
      <c r="I110" s="21" t="str">
        <f t="shared" si="1"/>
        <v/>
      </c>
      <c r="J110" s="26"/>
      <c r="K110" s="26"/>
    </row>
    <row r="111" spans="1:11" ht="14.65" customHeight="1">
      <c r="A111" s="22"/>
      <c r="B111" s="19"/>
      <c r="C111" s="20"/>
      <c r="D111" s="20"/>
      <c r="E111" s="20"/>
      <c r="F111" s="20"/>
      <c r="G111" s="23"/>
      <c r="H111" s="20"/>
      <c r="I111" s="21" t="str">
        <f t="shared" si="1"/>
        <v/>
      </c>
      <c r="J111" s="26"/>
      <c r="K111" s="26"/>
    </row>
    <row r="112" spans="1:11" ht="14.65" customHeight="1">
      <c r="A112" s="22"/>
      <c r="B112" s="19"/>
      <c r="C112" s="20"/>
      <c r="D112" s="20"/>
      <c r="E112" s="20"/>
      <c r="F112" s="20"/>
      <c r="G112" s="23"/>
      <c r="H112" s="20"/>
      <c r="I112" s="21" t="str">
        <f t="shared" si="1"/>
        <v/>
      </c>
      <c r="J112" s="26"/>
      <c r="K112" s="26"/>
    </row>
    <row r="113" spans="1:11" ht="14.65" customHeight="1">
      <c r="A113" s="22"/>
      <c r="B113" s="19"/>
      <c r="C113" s="20"/>
      <c r="D113" s="20"/>
      <c r="E113" s="20"/>
      <c r="F113" s="20"/>
      <c r="G113" s="23"/>
      <c r="H113" s="20"/>
      <c r="I113" s="21" t="str">
        <f t="shared" si="1"/>
        <v/>
      </c>
      <c r="J113" s="26"/>
      <c r="K113" s="26"/>
    </row>
    <row r="114" spans="1:11" ht="14.65" customHeight="1">
      <c r="A114" s="22"/>
      <c r="B114" s="19"/>
      <c r="C114" s="20"/>
      <c r="D114" s="20"/>
      <c r="E114" s="20"/>
      <c r="F114" s="20"/>
      <c r="G114" s="23"/>
      <c r="H114" s="20"/>
      <c r="I114" s="21" t="str">
        <f t="shared" si="1"/>
        <v/>
      </c>
      <c r="J114" s="26"/>
      <c r="K114" s="26"/>
    </row>
    <row r="115" spans="1:11" ht="14.65" customHeight="1">
      <c r="A115" s="22"/>
      <c r="B115" s="19"/>
      <c r="C115" s="20"/>
      <c r="D115" s="20"/>
      <c r="E115" s="20"/>
      <c r="F115" s="20"/>
      <c r="G115" s="23"/>
      <c r="H115" s="20"/>
      <c r="I115" s="21" t="str">
        <f t="shared" si="1"/>
        <v/>
      </c>
      <c r="J115" s="26"/>
      <c r="K115" s="26"/>
    </row>
    <row r="116" spans="1:11" ht="14.65" customHeight="1">
      <c r="A116" s="22"/>
      <c r="B116" s="19"/>
      <c r="C116" s="20"/>
      <c r="D116" s="20"/>
      <c r="E116" s="20"/>
      <c r="F116" s="20"/>
      <c r="G116" s="23"/>
      <c r="H116" s="20"/>
      <c r="I116" s="21" t="str">
        <f t="shared" si="1"/>
        <v/>
      </c>
      <c r="J116" s="26"/>
      <c r="K116" s="26"/>
    </row>
    <row r="117" spans="1:11" ht="14.65" customHeight="1">
      <c r="A117" s="22"/>
      <c r="B117" s="19"/>
      <c r="C117" s="20"/>
      <c r="D117" s="20"/>
      <c r="E117" s="20"/>
      <c r="F117" s="20"/>
      <c r="G117" s="23"/>
      <c r="H117" s="20"/>
      <c r="I117" s="21" t="str">
        <f t="shared" si="1"/>
        <v/>
      </c>
      <c r="J117" s="26"/>
      <c r="K117" s="26"/>
    </row>
    <row r="118" spans="1:11" ht="14.65" customHeight="1">
      <c r="A118" s="22"/>
      <c r="B118" s="19"/>
      <c r="C118" s="20"/>
      <c r="D118" s="20"/>
      <c r="E118" s="20"/>
      <c r="F118" s="20"/>
      <c r="G118" s="23"/>
      <c r="H118" s="20"/>
      <c r="I118" s="21" t="str">
        <f t="shared" si="1"/>
        <v/>
      </c>
      <c r="J118" s="26"/>
      <c r="K118" s="26"/>
    </row>
    <row r="119" spans="1:11" ht="14.65" customHeight="1">
      <c r="A119" s="22"/>
      <c r="B119" s="19"/>
      <c r="C119" s="20"/>
      <c r="D119" s="20"/>
      <c r="E119" s="20"/>
      <c r="F119" s="20"/>
      <c r="G119" s="23"/>
      <c r="H119" s="20"/>
      <c r="I119" s="21" t="str">
        <f t="shared" si="1"/>
        <v/>
      </c>
      <c r="J119" s="26"/>
      <c r="K119" s="26"/>
    </row>
    <row r="120" spans="1:11" ht="14.65" customHeight="1">
      <c r="A120" s="22"/>
      <c r="B120" s="19"/>
      <c r="C120" s="20"/>
      <c r="D120" s="20"/>
      <c r="E120" s="20"/>
      <c r="F120" s="20"/>
      <c r="G120" s="23"/>
      <c r="H120" s="20"/>
      <c r="I120" s="21" t="str">
        <f t="shared" si="1"/>
        <v/>
      </c>
      <c r="J120" s="26"/>
      <c r="K120" s="26"/>
    </row>
    <row r="121" spans="1:11" ht="14.65" customHeight="1">
      <c r="A121" s="22"/>
      <c r="B121" s="19"/>
      <c r="C121" s="20"/>
      <c r="D121" s="20"/>
      <c r="E121" s="20"/>
      <c r="F121" s="20"/>
      <c r="G121" s="23"/>
      <c r="H121" s="20"/>
      <c r="I121" s="21" t="str">
        <f t="shared" si="1"/>
        <v/>
      </c>
      <c r="J121" s="26"/>
      <c r="K121" s="26"/>
    </row>
    <row r="122" spans="1:11" ht="14.65" customHeight="1">
      <c r="A122" s="22"/>
      <c r="B122" s="19"/>
      <c r="C122" s="20"/>
      <c r="D122" s="20"/>
      <c r="E122" s="20"/>
      <c r="F122" s="20"/>
      <c r="G122" s="23"/>
      <c r="H122" s="20"/>
      <c r="I122" s="21" t="str">
        <f t="shared" si="1"/>
        <v/>
      </c>
      <c r="J122" s="26"/>
      <c r="K122" s="26"/>
    </row>
    <row r="123" spans="1:11" ht="14.65" customHeight="1">
      <c r="A123" s="22"/>
      <c r="B123" s="19"/>
      <c r="C123" s="20"/>
      <c r="D123" s="20"/>
      <c r="E123" s="20"/>
      <c r="F123" s="20"/>
      <c r="G123" s="23"/>
      <c r="H123" s="20"/>
      <c r="I123" s="21" t="str">
        <f t="shared" si="1"/>
        <v/>
      </c>
      <c r="J123" s="26"/>
      <c r="K123" s="26"/>
    </row>
    <row r="124" spans="1:11" ht="14.65" customHeight="1">
      <c r="A124" s="22"/>
      <c r="B124" s="19"/>
      <c r="C124" s="20"/>
      <c r="D124" s="20"/>
      <c r="E124" s="20"/>
      <c r="F124" s="20"/>
      <c r="G124" s="23"/>
      <c r="H124" s="20"/>
      <c r="I124" s="21" t="str">
        <f t="shared" si="1"/>
        <v/>
      </c>
      <c r="J124" s="26"/>
      <c r="K124" s="26"/>
    </row>
    <row r="125" spans="1:11" ht="14.65" customHeight="1">
      <c r="A125" s="22"/>
      <c r="B125" s="19"/>
      <c r="C125" s="20"/>
      <c r="D125" s="20"/>
      <c r="E125" s="20"/>
      <c r="F125" s="20"/>
      <c r="G125" s="23"/>
      <c r="H125" s="20"/>
      <c r="I125" s="21" t="str">
        <f t="shared" si="1"/>
        <v/>
      </c>
      <c r="J125" s="26"/>
      <c r="K125" s="26"/>
    </row>
    <row r="126" spans="1:11" ht="14.65" customHeight="1">
      <c r="A126" s="22"/>
      <c r="B126" s="19"/>
      <c r="C126" s="20"/>
      <c r="D126" s="20"/>
      <c r="E126" s="20"/>
      <c r="F126" s="20"/>
      <c r="G126" s="23"/>
      <c r="H126" s="20"/>
      <c r="I126" s="21" t="str">
        <f t="shared" si="1"/>
        <v/>
      </c>
      <c r="J126" s="26"/>
      <c r="K126" s="26"/>
    </row>
    <row r="127" spans="1:11" ht="14.65" customHeight="1">
      <c r="A127" s="22"/>
      <c r="B127" s="19"/>
      <c r="C127" s="20"/>
      <c r="D127" s="20"/>
      <c r="E127" s="20"/>
      <c r="F127" s="20"/>
      <c r="G127" s="23"/>
      <c r="H127" s="20"/>
      <c r="I127" s="21" t="str">
        <f t="shared" si="1"/>
        <v/>
      </c>
      <c r="J127" s="26"/>
      <c r="K127" s="26"/>
    </row>
    <row r="128" spans="1:11" ht="14.65" customHeight="1">
      <c r="A128" s="22"/>
      <c r="B128" s="19"/>
      <c r="C128" s="20"/>
      <c r="D128" s="20"/>
      <c r="E128" s="20"/>
      <c r="F128" s="20"/>
      <c r="G128" s="23"/>
      <c r="H128" s="20"/>
      <c r="I128" s="21" t="str">
        <f t="shared" si="1"/>
        <v/>
      </c>
      <c r="J128" s="26"/>
      <c r="K128" s="26"/>
    </row>
    <row r="129" spans="1:11" ht="14.65" customHeight="1">
      <c r="A129" s="22"/>
      <c r="B129" s="19"/>
      <c r="C129" s="20"/>
      <c r="D129" s="20"/>
      <c r="E129" s="20"/>
      <c r="F129" s="20"/>
      <c r="G129" s="23"/>
      <c r="H129" s="20"/>
      <c r="I129" s="21" t="str">
        <f t="shared" si="1"/>
        <v/>
      </c>
      <c r="J129" s="26"/>
      <c r="K129" s="26"/>
    </row>
    <row r="130" spans="1:11" ht="14.65" customHeight="1">
      <c r="A130" s="22"/>
      <c r="B130" s="19"/>
      <c r="C130" s="20"/>
      <c r="D130" s="20"/>
      <c r="E130" s="20"/>
      <c r="F130" s="20"/>
      <c r="G130" s="23"/>
      <c r="H130" s="20"/>
      <c r="I130" s="21" t="str">
        <f t="shared" si="1"/>
        <v/>
      </c>
      <c r="J130" s="26"/>
      <c r="K130" s="26"/>
    </row>
    <row r="131" spans="1:11" ht="14.65" customHeight="1">
      <c r="A131" s="22"/>
      <c r="B131" s="19"/>
      <c r="C131" s="20"/>
      <c r="D131" s="20"/>
      <c r="E131" s="20"/>
      <c r="F131" s="20"/>
      <c r="G131" s="23"/>
      <c r="H131" s="20"/>
      <c r="I131" s="21" t="str">
        <f t="shared" si="1"/>
        <v/>
      </c>
      <c r="J131" s="26"/>
      <c r="K131" s="26"/>
    </row>
    <row r="132" spans="1:11" ht="14.65" customHeight="1">
      <c r="A132" s="22"/>
      <c r="B132" s="19"/>
      <c r="C132" s="20"/>
      <c r="D132" s="20"/>
      <c r="E132" s="20"/>
      <c r="F132" s="20"/>
      <c r="G132" s="23"/>
      <c r="H132" s="20"/>
      <c r="I132" s="21" t="str">
        <f t="shared" si="1"/>
        <v/>
      </c>
      <c r="J132" s="26"/>
      <c r="K132" s="26"/>
    </row>
    <row r="133" spans="1:11" ht="14.65" customHeight="1">
      <c r="A133" s="22"/>
      <c r="B133" s="19"/>
      <c r="C133" s="20"/>
      <c r="D133" s="20"/>
      <c r="E133" s="20"/>
      <c r="F133" s="20"/>
      <c r="G133" s="23"/>
      <c r="H133" s="20"/>
      <c r="I133" s="21" t="str">
        <f t="shared" si="1"/>
        <v/>
      </c>
      <c r="J133" s="26"/>
      <c r="K133" s="26"/>
    </row>
    <row r="134" spans="1:11" ht="14.65" customHeight="1">
      <c r="A134" s="22"/>
      <c r="B134" s="19"/>
      <c r="C134" s="20"/>
      <c r="D134" s="20"/>
      <c r="E134" s="20"/>
      <c r="F134" s="20"/>
      <c r="G134" s="23"/>
      <c r="H134" s="20"/>
      <c r="I134" s="21" t="str">
        <f t="shared" si="1"/>
        <v/>
      </c>
      <c r="J134" s="26"/>
      <c r="K134" s="26"/>
    </row>
    <row r="135" spans="1:11" ht="14.65" customHeight="1">
      <c r="A135" s="22"/>
      <c r="B135" s="19"/>
      <c r="C135" s="20"/>
      <c r="D135" s="20"/>
      <c r="E135" s="20"/>
      <c r="F135" s="20"/>
      <c r="G135" s="23"/>
      <c r="H135" s="20"/>
      <c r="I135" s="21" t="str">
        <f t="shared" si="1"/>
        <v/>
      </c>
      <c r="J135" s="26"/>
      <c r="K135" s="26"/>
    </row>
    <row r="136" spans="1:11" ht="14.65" customHeight="1">
      <c r="A136" s="22"/>
      <c r="B136" s="19"/>
      <c r="C136" s="20"/>
      <c r="D136" s="20"/>
      <c r="E136" s="20"/>
      <c r="F136" s="20"/>
      <c r="G136" s="23"/>
      <c r="H136" s="20"/>
      <c r="I136" s="21" t="str">
        <f t="shared" si="1"/>
        <v/>
      </c>
      <c r="J136" s="26"/>
      <c r="K136" s="26"/>
    </row>
    <row r="137" spans="1:11" ht="14.65" customHeight="1">
      <c r="A137" s="22"/>
      <c r="B137" s="19"/>
      <c r="C137" s="20"/>
      <c r="D137" s="20"/>
      <c r="E137" s="20"/>
      <c r="F137" s="20"/>
      <c r="G137" s="23"/>
      <c r="H137" s="20"/>
      <c r="I137" s="21" t="str">
        <f t="shared" ref="I137:I200" si="2">IF(H137&lt;&gt;"",VLOOKUP(H137,ChartofAccountsTable,2,FALSE),"")</f>
        <v/>
      </c>
      <c r="J137" s="26"/>
      <c r="K137" s="26"/>
    </row>
    <row r="138" spans="1:11" ht="14.65" customHeight="1">
      <c r="A138" s="22"/>
      <c r="B138" s="19"/>
      <c r="C138" s="20"/>
      <c r="D138" s="20"/>
      <c r="E138" s="20"/>
      <c r="F138" s="20"/>
      <c r="G138" s="23"/>
      <c r="H138" s="20"/>
      <c r="I138" s="21" t="str">
        <f t="shared" si="2"/>
        <v/>
      </c>
      <c r="J138" s="26"/>
      <c r="K138" s="26"/>
    </row>
    <row r="139" spans="1:11" ht="14.65" customHeight="1">
      <c r="A139" s="22"/>
      <c r="B139" s="19"/>
      <c r="C139" s="20"/>
      <c r="D139" s="20"/>
      <c r="E139" s="20"/>
      <c r="F139" s="20"/>
      <c r="G139" s="23"/>
      <c r="H139" s="20"/>
      <c r="I139" s="21" t="str">
        <f t="shared" si="2"/>
        <v/>
      </c>
      <c r="J139" s="26"/>
      <c r="K139" s="26"/>
    </row>
    <row r="140" spans="1:11" ht="14.65" customHeight="1">
      <c r="A140" s="22"/>
      <c r="B140" s="19"/>
      <c r="C140" s="20"/>
      <c r="D140" s="20"/>
      <c r="E140" s="20"/>
      <c r="F140" s="20"/>
      <c r="G140" s="23"/>
      <c r="H140" s="20"/>
      <c r="I140" s="21" t="str">
        <f t="shared" si="2"/>
        <v/>
      </c>
      <c r="J140" s="26"/>
      <c r="K140" s="26"/>
    </row>
    <row r="141" spans="1:11" ht="14.65" customHeight="1">
      <c r="A141" s="22"/>
      <c r="B141" s="19"/>
      <c r="C141" s="20"/>
      <c r="D141" s="20"/>
      <c r="E141" s="20"/>
      <c r="F141" s="20"/>
      <c r="G141" s="23"/>
      <c r="H141" s="20"/>
      <c r="I141" s="21" t="str">
        <f t="shared" si="2"/>
        <v/>
      </c>
      <c r="J141" s="26"/>
      <c r="K141" s="26"/>
    </row>
    <row r="142" spans="1:11" ht="14.65" customHeight="1">
      <c r="A142" s="22"/>
      <c r="B142" s="19"/>
      <c r="C142" s="20"/>
      <c r="D142" s="20"/>
      <c r="E142" s="20"/>
      <c r="F142" s="20"/>
      <c r="G142" s="23"/>
      <c r="H142" s="20"/>
      <c r="I142" s="21" t="str">
        <f t="shared" si="2"/>
        <v/>
      </c>
      <c r="J142" s="26"/>
      <c r="K142" s="26"/>
    </row>
    <row r="143" spans="1:11" ht="14.65" customHeight="1">
      <c r="A143" s="22"/>
      <c r="B143" s="19"/>
      <c r="C143" s="20"/>
      <c r="D143" s="20"/>
      <c r="E143" s="20"/>
      <c r="F143" s="20"/>
      <c r="G143" s="23"/>
      <c r="H143" s="20"/>
      <c r="I143" s="21" t="str">
        <f t="shared" si="2"/>
        <v/>
      </c>
      <c r="J143" s="26"/>
      <c r="K143" s="26"/>
    </row>
    <row r="144" spans="1:11" ht="14.65" customHeight="1">
      <c r="A144" s="22"/>
      <c r="B144" s="19"/>
      <c r="C144" s="20"/>
      <c r="D144" s="20"/>
      <c r="E144" s="20"/>
      <c r="F144" s="20"/>
      <c r="G144" s="23"/>
      <c r="H144" s="20"/>
      <c r="I144" s="21" t="str">
        <f t="shared" si="2"/>
        <v/>
      </c>
      <c r="J144" s="26"/>
      <c r="K144" s="26"/>
    </row>
    <row r="145" spans="1:11" ht="14.65" customHeight="1">
      <c r="A145" s="22"/>
      <c r="B145" s="19"/>
      <c r="C145" s="20"/>
      <c r="D145" s="20"/>
      <c r="E145" s="20"/>
      <c r="F145" s="20"/>
      <c r="G145" s="23"/>
      <c r="H145" s="20"/>
      <c r="I145" s="21" t="str">
        <f t="shared" si="2"/>
        <v/>
      </c>
      <c r="J145" s="26"/>
      <c r="K145" s="26"/>
    </row>
    <row r="146" spans="1:11" ht="14.65" customHeight="1">
      <c r="A146" s="22"/>
      <c r="B146" s="19"/>
      <c r="C146" s="20"/>
      <c r="D146" s="20"/>
      <c r="E146" s="20"/>
      <c r="F146" s="20"/>
      <c r="G146" s="23"/>
      <c r="H146" s="20"/>
      <c r="I146" s="21" t="str">
        <f t="shared" si="2"/>
        <v/>
      </c>
      <c r="J146" s="26"/>
      <c r="K146" s="26"/>
    </row>
    <row r="147" spans="1:11" ht="14.65" customHeight="1">
      <c r="A147" s="22"/>
      <c r="B147" s="19"/>
      <c r="C147" s="20"/>
      <c r="D147" s="20"/>
      <c r="E147" s="20"/>
      <c r="F147" s="20"/>
      <c r="G147" s="23"/>
      <c r="H147" s="20"/>
      <c r="I147" s="21" t="str">
        <f t="shared" si="2"/>
        <v/>
      </c>
      <c r="J147" s="26"/>
      <c r="K147" s="26"/>
    </row>
    <row r="148" spans="1:11" ht="14.65" customHeight="1">
      <c r="A148" s="22"/>
      <c r="B148" s="19"/>
      <c r="C148" s="20"/>
      <c r="D148" s="20"/>
      <c r="E148" s="20"/>
      <c r="F148" s="20"/>
      <c r="G148" s="23"/>
      <c r="H148" s="20"/>
      <c r="I148" s="21" t="str">
        <f t="shared" si="2"/>
        <v/>
      </c>
      <c r="J148" s="26"/>
      <c r="K148" s="26"/>
    </row>
    <row r="149" spans="1:11" ht="14.65" customHeight="1">
      <c r="A149" s="22"/>
      <c r="B149" s="19"/>
      <c r="C149" s="20"/>
      <c r="D149" s="20"/>
      <c r="E149" s="20"/>
      <c r="F149" s="20"/>
      <c r="G149" s="23"/>
      <c r="H149" s="20"/>
      <c r="I149" s="21" t="str">
        <f t="shared" si="2"/>
        <v/>
      </c>
      <c r="J149" s="26"/>
      <c r="K149" s="26"/>
    </row>
    <row r="150" spans="1:11" ht="14.65" customHeight="1">
      <c r="A150" s="22"/>
      <c r="B150" s="19"/>
      <c r="C150" s="20"/>
      <c r="D150" s="20"/>
      <c r="E150" s="20"/>
      <c r="F150" s="20"/>
      <c r="G150" s="23"/>
      <c r="H150" s="20"/>
      <c r="I150" s="21" t="str">
        <f t="shared" si="2"/>
        <v/>
      </c>
      <c r="J150" s="26"/>
      <c r="K150" s="26"/>
    </row>
    <row r="151" spans="1:11" ht="14.65" customHeight="1">
      <c r="A151" s="22"/>
      <c r="B151" s="19"/>
      <c r="C151" s="20"/>
      <c r="D151" s="20"/>
      <c r="E151" s="20"/>
      <c r="F151" s="20"/>
      <c r="G151" s="23"/>
      <c r="H151" s="20"/>
      <c r="I151" s="21" t="str">
        <f t="shared" si="2"/>
        <v/>
      </c>
      <c r="J151" s="26"/>
      <c r="K151" s="26"/>
    </row>
    <row r="152" spans="1:11" ht="14.65" customHeight="1">
      <c r="A152" s="22"/>
      <c r="B152" s="19"/>
      <c r="C152" s="20"/>
      <c r="D152" s="20"/>
      <c r="E152" s="20"/>
      <c r="F152" s="20"/>
      <c r="G152" s="23"/>
      <c r="H152" s="20"/>
      <c r="I152" s="21" t="str">
        <f t="shared" si="2"/>
        <v/>
      </c>
      <c r="J152" s="26"/>
      <c r="K152" s="26"/>
    </row>
    <row r="153" spans="1:11" ht="14.65" customHeight="1">
      <c r="A153" s="22"/>
      <c r="B153" s="19"/>
      <c r="C153" s="20"/>
      <c r="D153" s="20"/>
      <c r="E153" s="20"/>
      <c r="F153" s="20"/>
      <c r="G153" s="23"/>
      <c r="H153" s="20"/>
      <c r="I153" s="21" t="str">
        <f t="shared" si="2"/>
        <v/>
      </c>
      <c r="J153" s="26"/>
      <c r="K153" s="26"/>
    </row>
    <row r="154" spans="1:11" ht="14.65" customHeight="1">
      <c r="A154" s="22"/>
      <c r="B154" s="19"/>
      <c r="C154" s="20"/>
      <c r="D154" s="20"/>
      <c r="E154" s="20"/>
      <c r="F154" s="20"/>
      <c r="G154" s="23"/>
      <c r="H154" s="20"/>
      <c r="I154" s="21" t="str">
        <f t="shared" si="2"/>
        <v/>
      </c>
      <c r="J154" s="26"/>
      <c r="K154" s="26"/>
    </row>
    <row r="155" spans="1:11" ht="14.65" customHeight="1">
      <c r="A155" s="22"/>
      <c r="B155" s="19"/>
      <c r="C155" s="20"/>
      <c r="D155" s="20"/>
      <c r="E155" s="20"/>
      <c r="F155" s="20"/>
      <c r="G155" s="23"/>
      <c r="H155" s="20"/>
      <c r="I155" s="21" t="str">
        <f t="shared" si="2"/>
        <v/>
      </c>
      <c r="J155" s="26"/>
      <c r="K155" s="26"/>
    </row>
    <row r="156" spans="1:11" ht="14.65" customHeight="1">
      <c r="A156" s="22"/>
      <c r="B156" s="19"/>
      <c r="C156" s="20"/>
      <c r="D156" s="20"/>
      <c r="E156" s="20"/>
      <c r="F156" s="20"/>
      <c r="G156" s="23"/>
      <c r="H156" s="20"/>
      <c r="I156" s="21" t="str">
        <f t="shared" si="2"/>
        <v/>
      </c>
      <c r="J156" s="26"/>
      <c r="K156" s="26"/>
    </row>
    <row r="157" spans="1:11" ht="14.65" customHeight="1">
      <c r="A157" s="22"/>
      <c r="B157" s="19"/>
      <c r="C157" s="20"/>
      <c r="D157" s="20"/>
      <c r="E157" s="20"/>
      <c r="F157" s="20"/>
      <c r="G157" s="23"/>
      <c r="H157" s="20"/>
      <c r="I157" s="21" t="str">
        <f t="shared" si="2"/>
        <v/>
      </c>
      <c r="J157" s="26"/>
      <c r="K157" s="26"/>
    </row>
    <row r="158" spans="1:11" ht="14.65" customHeight="1">
      <c r="A158" s="22"/>
      <c r="B158" s="19"/>
      <c r="C158" s="20"/>
      <c r="D158" s="20"/>
      <c r="E158" s="20"/>
      <c r="F158" s="20"/>
      <c r="G158" s="23"/>
      <c r="H158" s="20"/>
      <c r="I158" s="21" t="str">
        <f t="shared" si="2"/>
        <v/>
      </c>
      <c r="J158" s="26"/>
      <c r="K158" s="26"/>
    </row>
    <row r="159" spans="1:11" ht="14.65" customHeight="1">
      <c r="A159" s="22"/>
      <c r="B159" s="19"/>
      <c r="C159" s="20"/>
      <c r="D159" s="20"/>
      <c r="E159" s="20"/>
      <c r="F159" s="20"/>
      <c r="G159" s="23"/>
      <c r="H159" s="20"/>
      <c r="I159" s="21" t="str">
        <f t="shared" si="2"/>
        <v/>
      </c>
      <c r="J159" s="26"/>
      <c r="K159" s="26"/>
    </row>
    <row r="160" spans="1:11" ht="14.65" customHeight="1">
      <c r="A160" s="22"/>
      <c r="B160" s="19"/>
      <c r="C160" s="20"/>
      <c r="D160" s="20"/>
      <c r="E160" s="20"/>
      <c r="F160" s="20"/>
      <c r="G160" s="23"/>
      <c r="H160" s="20"/>
      <c r="I160" s="21" t="str">
        <f t="shared" si="2"/>
        <v/>
      </c>
      <c r="J160" s="26"/>
      <c r="K160" s="26"/>
    </row>
    <row r="161" spans="1:11" ht="14.65" customHeight="1">
      <c r="A161" s="22"/>
      <c r="B161" s="19"/>
      <c r="C161" s="20"/>
      <c r="D161" s="20"/>
      <c r="E161" s="20"/>
      <c r="F161" s="20"/>
      <c r="G161" s="23"/>
      <c r="H161" s="20"/>
      <c r="I161" s="21" t="str">
        <f t="shared" si="2"/>
        <v/>
      </c>
      <c r="J161" s="26"/>
      <c r="K161" s="26"/>
    </row>
    <row r="162" spans="1:11" ht="14.65" customHeight="1">
      <c r="A162" s="22"/>
      <c r="B162" s="19"/>
      <c r="C162" s="20"/>
      <c r="D162" s="20"/>
      <c r="E162" s="20"/>
      <c r="F162" s="20"/>
      <c r="G162" s="23"/>
      <c r="H162" s="20"/>
      <c r="I162" s="21" t="str">
        <f t="shared" si="2"/>
        <v/>
      </c>
      <c r="J162" s="26"/>
      <c r="K162" s="26"/>
    </row>
    <row r="163" spans="1:11" ht="14.65" customHeight="1">
      <c r="A163" s="22"/>
      <c r="B163" s="19"/>
      <c r="C163" s="20"/>
      <c r="D163" s="20"/>
      <c r="E163" s="20"/>
      <c r="F163" s="20"/>
      <c r="G163" s="23"/>
      <c r="H163" s="20"/>
      <c r="I163" s="21" t="str">
        <f t="shared" si="2"/>
        <v/>
      </c>
      <c r="J163" s="26"/>
      <c r="K163" s="26"/>
    </row>
    <row r="164" spans="1:11" ht="14.65" customHeight="1">
      <c r="A164" s="22"/>
      <c r="B164" s="19"/>
      <c r="C164" s="20"/>
      <c r="D164" s="20"/>
      <c r="E164" s="20"/>
      <c r="F164" s="20"/>
      <c r="G164" s="23"/>
      <c r="H164" s="20"/>
      <c r="I164" s="21" t="str">
        <f t="shared" si="2"/>
        <v/>
      </c>
      <c r="J164" s="26"/>
      <c r="K164" s="26"/>
    </row>
    <row r="165" spans="1:11" ht="14.65" customHeight="1">
      <c r="A165" s="22"/>
      <c r="B165" s="19"/>
      <c r="C165" s="20"/>
      <c r="D165" s="20"/>
      <c r="E165" s="20"/>
      <c r="F165" s="20"/>
      <c r="G165" s="23"/>
      <c r="H165" s="20"/>
      <c r="I165" s="21" t="str">
        <f t="shared" si="2"/>
        <v/>
      </c>
      <c r="J165" s="26"/>
      <c r="K165" s="26"/>
    </row>
    <row r="166" spans="1:11" ht="14.65" customHeight="1">
      <c r="A166" s="22"/>
      <c r="B166" s="19"/>
      <c r="C166" s="20"/>
      <c r="D166" s="20"/>
      <c r="E166" s="20"/>
      <c r="F166" s="20"/>
      <c r="G166" s="23"/>
      <c r="H166" s="20"/>
      <c r="I166" s="21" t="str">
        <f t="shared" si="2"/>
        <v/>
      </c>
      <c r="J166" s="26"/>
      <c r="K166" s="26"/>
    </row>
    <row r="167" spans="1:11" ht="14.65" customHeight="1">
      <c r="A167" s="22"/>
      <c r="B167" s="19"/>
      <c r="C167" s="20"/>
      <c r="D167" s="20"/>
      <c r="E167" s="20"/>
      <c r="F167" s="20"/>
      <c r="G167" s="23"/>
      <c r="H167" s="20"/>
      <c r="I167" s="21" t="str">
        <f t="shared" si="2"/>
        <v/>
      </c>
      <c r="J167" s="26"/>
      <c r="K167" s="26"/>
    </row>
    <row r="168" spans="1:11" ht="14.65" customHeight="1">
      <c r="A168" s="22"/>
      <c r="B168" s="19"/>
      <c r="C168" s="20"/>
      <c r="D168" s="20"/>
      <c r="E168" s="20"/>
      <c r="F168" s="20"/>
      <c r="G168" s="23"/>
      <c r="H168" s="20"/>
      <c r="I168" s="21" t="str">
        <f t="shared" si="2"/>
        <v/>
      </c>
      <c r="J168" s="26"/>
      <c r="K168" s="26"/>
    </row>
    <row r="169" spans="1:11" ht="14.65" customHeight="1">
      <c r="A169" s="22"/>
      <c r="B169" s="19"/>
      <c r="C169" s="20"/>
      <c r="D169" s="20"/>
      <c r="E169" s="20"/>
      <c r="F169" s="20"/>
      <c r="G169" s="23"/>
      <c r="H169" s="20"/>
      <c r="I169" s="21" t="str">
        <f t="shared" si="2"/>
        <v/>
      </c>
      <c r="J169" s="26"/>
      <c r="K169" s="26"/>
    </row>
    <row r="170" spans="1:11" ht="14.65" customHeight="1">
      <c r="A170" s="22"/>
      <c r="B170" s="19"/>
      <c r="C170" s="20"/>
      <c r="D170" s="20"/>
      <c r="E170" s="20"/>
      <c r="F170" s="20"/>
      <c r="G170" s="23"/>
      <c r="H170" s="20"/>
      <c r="I170" s="21" t="str">
        <f t="shared" si="2"/>
        <v/>
      </c>
      <c r="J170" s="26"/>
      <c r="K170" s="26"/>
    </row>
    <row r="171" spans="1:11" ht="14.65" customHeight="1">
      <c r="A171" s="22"/>
      <c r="B171" s="19"/>
      <c r="C171" s="20"/>
      <c r="D171" s="20"/>
      <c r="E171" s="20"/>
      <c r="F171" s="20"/>
      <c r="G171" s="23"/>
      <c r="H171" s="20"/>
      <c r="I171" s="21" t="str">
        <f t="shared" si="2"/>
        <v/>
      </c>
      <c r="J171" s="26"/>
      <c r="K171" s="26"/>
    </row>
    <row r="172" spans="1:11" ht="14.65" customHeight="1">
      <c r="A172" s="22"/>
      <c r="B172" s="19"/>
      <c r="C172" s="20"/>
      <c r="D172" s="20"/>
      <c r="E172" s="20"/>
      <c r="F172" s="20"/>
      <c r="G172" s="23"/>
      <c r="H172" s="20"/>
      <c r="I172" s="21" t="str">
        <f t="shared" si="2"/>
        <v/>
      </c>
      <c r="J172" s="26"/>
      <c r="K172" s="26"/>
    </row>
    <row r="173" spans="1:11" ht="14.65" customHeight="1">
      <c r="A173" s="22"/>
      <c r="B173" s="19"/>
      <c r="C173" s="20"/>
      <c r="D173" s="20"/>
      <c r="E173" s="20"/>
      <c r="F173" s="20"/>
      <c r="G173" s="23"/>
      <c r="H173" s="20"/>
      <c r="I173" s="21" t="str">
        <f t="shared" si="2"/>
        <v/>
      </c>
      <c r="J173" s="26"/>
      <c r="K173" s="26"/>
    </row>
    <row r="174" spans="1:11" ht="14.65" customHeight="1">
      <c r="A174" s="22"/>
      <c r="B174" s="19"/>
      <c r="C174" s="20"/>
      <c r="D174" s="20"/>
      <c r="E174" s="20"/>
      <c r="F174" s="20"/>
      <c r="G174" s="23"/>
      <c r="H174" s="20"/>
      <c r="I174" s="21" t="str">
        <f t="shared" si="2"/>
        <v/>
      </c>
      <c r="J174" s="26"/>
      <c r="K174" s="26"/>
    </row>
    <row r="175" spans="1:11" ht="14.65" customHeight="1">
      <c r="A175" s="22"/>
      <c r="B175" s="19"/>
      <c r="C175" s="20"/>
      <c r="D175" s="20"/>
      <c r="E175" s="20"/>
      <c r="F175" s="20"/>
      <c r="G175" s="23"/>
      <c r="H175" s="20"/>
      <c r="I175" s="21" t="str">
        <f t="shared" si="2"/>
        <v/>
      </c>
      <c r="J175" s="26"/>
      <c r="K175" s="26"/>
    </row>
    <row r="176" spans="1:11" ht="14.65" customHeight="1">
      <c r="A176" s="22"/>
      <c r="B176" s="19"/>
      <c r="C176" s="20"/>
      <c r="D176" s="20"/>
      <c r="E176" s="20"/>
      <c r="F176" s="20"/>
      <c r="G176" s="23"/>
      <c r="H176" s="20"/>
      <c r="I176" s="21" t="str">
        <f t="shared" si="2"/>
        <v/>
      </c>
      <c r="J176" s="26"/>
      <c r="K176" s="26"/>
    </row>
    <row r="177" spans="1:11" ht="14.65" customHeight="1">
      <c r="A177" s="22"/>
      <c r="B177" s="19"/>
      <c r="C177" s="20"/>
      <c r="D177" s="20"/>
      <c r="E177" s="20"/>
      <c r="F177" s="20"/>
      <c r="G177" s="23"/>
      <c r="H177" s="20"/>
      <c r="I177" s="21" t="str">
        <f t="shared" si="2"/>
        <v/>
      </c>
      <c r="J177" s="26"/>
      <c r="K177" s="26"/>
    </row>
    <row r="178" spans="1:11" ht="14.65" customHeight="1">
      <c r="A178" s="22"/>
      <c r="B178" s="19"/>
      <c r="C178" s="20"/>
      <c r="D178" s="20"/>
      <c r="E178" s="20"/>
      <c r="F178" s="20"/>
      <c r="G178" s="23"/>
      <c r="H178" s="20"/>
      <c r="I178" s="21" t="str">
        <f t="shared" si="2"/>
        <v/>
      </c>
      <c r="J178" s="26"/>
      <c r="K178" s="26"/>
    </row>
    <row r="179" spans="1:11" ht="14.65" customHeight="1">
      <c r="A179" s="22"/>
      <c r="B179" s="19"/>
      <c r="C179" s="20"/>
      <c r="D179" s="20"/>
      <c r="E179" s="20"/>
      <c r="F179" s="20"/>
      <c r="G179" s="23"/>
      <c r="H179" s="20"/>
      <c r="I179" s="21" t="str">
        <f t="shared" si="2"/>
        <v/>
      </c>
      <c r="J179" s="26"/>
      <c r="K179" s="26"/>
    </row>
    <row r="180" spans="1:11" ht="14.65" customHeight="1">
      <c r="A180" s="22"/>
      <c r="B180" s="19"/>
      <c r="C180" s="20"/>
      <c r="D180" s="20"/>
      <c r="E180" s="20"/>
      <c r="F180" s="20"/>
      <c r="G180" s="23"/>
      <c r="H180" s="20"/>
      <c r="I180" s="21" t="str">
        <f t="shared" si="2"/>
        <v/>
      </c>
      <c r="J180" s="26"/>
      <c r="K180" s="26"/>
    </row>
    <row r="181" spans="1:11" ht="14.65" customHeight="1">
      <c r="A181" s="22"/>
      <c r="B181" s="19"/>
      <c r="C181" s="20"/>
      <c r="D181" s="20"/>
      <c r="E181" s="20"/>
      <c r="F181" s="20"/>
      <c r="G181" s="23"/>
      <c r="H181" s="20"/>
      <c r="I181" s="21" t="str">
        <f t="shared" si="2"/>
        <v/>
      </c>
      <c r="J181" s="26"/>
      <c r="K181" s="26"/>
    </row>
    <row r="182" spans="1:11" ht="14.65" customHeight="1">
      <c r="A182" s="22"/>
      <c r="B182" s="19"/>
      <c r="C182" s="20"/>
      <c r="D182" s="20"/>
      <c r="E182" s="20"/>
      <c r="F182" s="20"/>
      <c r="G182" s="23"/>
      <c r="H182" s="20"/>
      <c r="I182" s="21" t="str">
        <f t="shared" si="2"/>
        <v/>
      </c>
      <c r="J182" s="26"/>
      <c r="K182" s="26"/>
    </row>
    <row r="183" spans="1:11" ht="14.65" customHeight="1">
      <c r="A183" s="22"/>
      <c r="B183" s="19"/>
      <c r="C183" s="20"/>
      <c r="D183" s="20"/>
      <c r="E183" s="20"/>
      <c r="F183" s="20"/>
      <c r="G183" s="23"/>
      <c r="H183" s="20"/>
      <c r="I183" s="21" t="str">
        <f t="shared" si="2"/>
        <v/>
      </c>
      <c r="J183" s="26"/>
      <c r="K183" s="26"/>
    </row>
    <row r="184" spans="1:11" ht="14.65" customHeight="1">
      <c r="A184" s="22"/>
      <c r="B184" s="19"/>
      <c r="C184" s="20"/>
      <c r="D184" s="20"/>
      <c r="E184" s="20"/>
      <c r="F184" s="20"/>
      <c r="G184" s="23"/>
      <c r="H184" s="20"/>
      <c r="I184" s="21" t="str">
        <f t="shared" si="2"/>
        <v/>
      </c>
      <c r="J184" s="26"/>
      <c r="K184" s="26"/>
    </row>
    <row r="185" spans="1:11" ht="14.65" customHeight="1">
      <c r="A185" s="22"/>
      <c r="B185" s="19"/>
      <c r="C185" s="20"/>
      <c r="D185" s="20"/>
      <c r="E185" s="20"/>
      <c r="F185" s="20"/>
      <c r="G185" s="23"/>
      <c r="H185" s="20"/>
      <c r="I185" s="21" t="str">
        <f t="shared" si="2"/>
        <v/>
      </c>
      <c r="J185" s="26"/>
      <c r="K185" s="26"/>
    </row>
    <row r="186" spans="1:11" ht="14.65" customHeight="1">
      <c r="A186" s="22"/>
      <c r="B186" s="19"/>
      <c r="C186" s="20"/>
      <c r="D186" s="20"/>
      <c r="E186" s="20"/>
      <c r="F186" s="20"/>
      <c r="G186" s="23"/>
      <c r="H186" s="20"/>
      <c r="I186" s="21" t="str">
        <f t="shared" si="2"/>
        <v/>
      </c>
      <c r="J186" s="26"/>
      <c r="K186" s="26"/>
    </row>
    <row r="187" spans="1:11" ht="14.65" customHeight="1">
      <c r="A187" s="22"/>
      <c r="B187" s="19"/>
      <c r="C187" s="20"/>
      <c r="D187" s="20"/>
      <c r="E187" s="20"/>
      <c r="F187" s="20"/>
      <c r="G187" s="23"/>
      <c r="H187" s="20"/>
      <c r="I187" s="21" t="str">
        <f t="shared" si="2"/>
        <v/>
      </c>
      <c r="J187" s="26"/>
      <c r="K187" s="26"/>
    </row>
    <row r="188" spans="1:11" ht="14.65" customHeight="1">
      <c r="A188" s="22"/>
      <c r="B188" s="19"/>
      <c r="C188" s="20"/>
      <c r="D188" s="20"/>
      <c r="E188" s="20"/>
      <c r="F188" s="20"/>
      <c r="G188" s="23"/>
      <c r="H188" s="20"/>
      <c r="I188" s="21" t="str">
        <f t="shared" si="2"/>
        <v/>
      </c>
      <c r="J188" s="26"/>
      <c r="K188" s="26"/>
    </row>
    <row r="189" spans="1:11" ht="14.65" customHeight="1">
      <c r="A189" s="22"/>
      <c r="B189" s="19"/>
      <c r="C189" s="20"/>
      <c r="D189" s="20"/>
      <c r="E189" s="20"/>
      <c r="F189" s="20"/>
      <c r="G189" s="23"/>
      <c r="H189" s="20"/>
      <c r="I189" s="21" t="str">
        <f t="shared" si="2"/>
        <v/>
      </c>
      <c r="J189" s="26"/>
      <c r="K189" s="26"/>
    </row>
    <row r="190" spans="1:11" ht="14.65" customHeight="1">
      <c r="A190" s="22"/>
      <c r="B190" s="19"/>
      <c r="C190" s="20"/>
      <c r="D190" s="20"/>
      <c r="E190" s="20"/>
      <c r="F190" s="20"/>
      <c r="G190" s="23"/>
      <c r="H190" s="20"/>
      <c r="I190" s="21" t="str">
        <f t="shared" si="2"/>
        <v/>
      </c>
      <c r="J190" s="26"/>
      <c r="K190" s="26"/>
    </row>
    <row r="191" spans="1:11" ht="14.65" customHeight="1">
      <c r="A191" s="22"/>
      <c r="B191" s="19"/>
      <c r="C191" s="20"/>
      <c r="D191" s="20"/>
      <c r="E191" s="20"/>
      <c r="F191" s="20"/>
      <c r="G191" s="23"/>
      <c r="H191" s="20"/>
      <c r="I191" s="21" t="str">
        <f t="shared" si="2"/>
        <v/>
      </c>
      <c r="J191" s="26"/>
      <c r="K191" s="26"/>
    </row>
    <row r="192" spans="1:11" ht="14.65" customHeight="1">
      <c r="A192" s="22"/>
      <c r="B192" s="19"/>
      <c r="C192" s="20"/>
      <c r="D192" s="20"/>
      <c r="E192" s="20"/>
      <c r="F192" s="20"/>
      <c r="G192" s="23"/>
      <c r="H192" s="20"/>
      <c r="I192" s="21" t="str">
        <f t="shared" si="2"/>
        <v/>
      </c>
      <c r="J192" s="26"/>
      <c r="K192" s="26"/>
    </row>
    <row r="193" spans="1:11" ht="14.65" customHeight="1">
      <c r="A193" s="22"/>
      <c r="B193" s="19"/>
      <c r="C193" s="20"/>
      <c r="D193" s="20"/>
      <c r="E193" s="20"/>
      <c r="F193" s="20"/>
      <c r="G193" s="23"/>
      <c r="H193" s="20"/>
      <c r="I193" s="21" t="str">
        <f t="shared" si="2"/>
        <v/>
      </c>
      <c r="J193" s="26"/>
      <c r="K193" s="26"/>
    </row>
    <row r="194" spans="1:11" ht="14.65" customHeight="1">
      <c r="A194" s="22"/>
      <c r="B194" s="19"/>
      <c r="C194" s="20"/>
      <c r="D194" s="20"/>
      <c r="E194" s="20"/>
      <c r="F194" s="20"/>
      <c r="G194" s="23"/>
      <c r="H194" s="20"/>
      <c r="I194" s="21" t="str">
        <f t="shared" si="2"/>
        <v/>
      </c>
      <c r="J194" s="26"/>
      <c r="K194" s="26"/>
    </row>
    <row r="195" spans="1:11" ht="14.65" customHeight="1">
      <c r="A195" s="22"/>
      <c r="B195" s="19"/>
      <c r="C195" s="20"/>
      <c r="D195" s="20"/>
      <c r="E195" s="20"/>
      <c r="F195" s="20"/>
      <c r="G195" s="23"/>
      <c r="H195" s="20"/>
      <c r="I195" s="21" t="str">
        <f t="shared" si="2"/>
        <v/>
      </c>
      <c r="J195" s="26"/>
      <c r="K195" s="26"/>
    </row>
    <row r="196" spans="1:11" ht="14.65" customHeight="1">
      <c r="A196" s="22"/>
      <c r="B196" s="19"/>
      <c r="C196" s="20"/>
      <c r="D196" s="20"/>
      <c r="E196" s="20"/>
      <c r="F196" s="20"/>
      <c r="G196" s="23"/>
      <c r="H196" s="20"/>
      <c r="I196" s="21" t="str">
        <f t="shared" si="2"/>
        <v/>
      </c>
      <c r="J196" s="26"/>
      <c r="K196" s="26"/>
    </row>
    <row r="197" spans="1:11" ht="14.65" customHeight="1">
      <c r="A197" s="22"/>
      <c r="B197" s="19"/>
      <c r="C197" s="20"/>
      <c r="D197" s="20"/>
      <c r="E197" s="20"/>
      <c r="F197" s="20"/>
      <c r="G197" s="23"/>
      <c r="H197" s="20"/>
      <c r="I197" s="21" t="str">
        <f t="shared" si="2"/>
        <v/>
      </c>
      <c r="J197" s="26"/>
      <c r="K197" s="26"/>
    </row>
    <row r="198" spans="1:11" ht="14.65" customHeight="1">
      <c r="A198" s="22"/>
      <c r="B198" s="19"/>
      <c r="C198" s="20"/>
      <c r="D198" s="20"/>
      <c r="E198" s="20"/>
      <c r="F198" s="20"/>
      <c r="G198" s="23"/>
      <c r="H198" s="20"/>
      <c r="I198" s="21" t="str">
        <f t="shared" si="2"/>
        <v/>
      </c>
      <c r="J198" s="26"/>
      <c r="K198" s="26"/>
    </row>
    <row r="199" spans="1:11" ht="14.65" customHeight="1">
      <c r="A199" s="22"/>
      <c r="B199" s="19"/>
      <c r="C199" s="20"/>
      <c r="D199" s="20"/>
      <c r="E199" s="20"/>
      <c r="F199" s="20"/>
      <c r="G199" s="23"/>
      <c r="H199" s="20"/>
      <c r="I199" s="21" t="str">
        <f t="shared" si="2"/>
        <v/>
      </c>
      <c r="J199" s="26"/>
      <c r="K199" s="26"/>
    </row>
    <row r="200" spans="1:11" ht="14.65" customHeight="1">
      <c r="A200" s="22"/>
      <c r="B200" s="19"/>
      <c r="C200" s="20"/>
      <c r="D200" s="20"/>
      <c r="E200" s="20"/>
      <c r="F200" s="20"/>
      <c r="G200" s="23"/>
      <c r="H200" s="20"/>
      <c r="I200" s="21" t="str">
        <f t="shared" si="2"/>
        <v/>
      </c>
      <c r="J200" s="26"/>
      <c r="K200" s="26"/>
    </row>
    <row r="201" spans="1:11" ht="14.65" customHeight="1">
      <c r="A201" s="22"/>
      <c r="B201" s="19"/>
      <c r="C201" s="20"/>
      <c r="D201" s="20"/>
      <c r="E201" s="20"/>
      <c r="F201" s="20"/>
      <c r="G201" s="23"/>
      <c r="H201" s="20"/>
      <c r="I201" s="21" t="str">
        <f>IF(H201&lt;&gt;"",VLOOKUP(H201,ChartofAccountsTable,2,FALSE),"")</f>
        <v/>
      </c>
      <c r="J201" s="26"/>
      <c r="K201" s="26"/>
    </row>
    <row r="202" spans="1:11" ht="14.65" customHeight="1">
      <c r="A202" s="22"/>
      <c r="B202" s="19"/>
      <c r="C202" s="20"/>
      <c r="D202" s="20"/>
      <c r="E202" s="20"/>
      <c r="F202" s="20"/>
      <c r="G202" s="23"/>
      <c r="H202" s="20"/>
      <c r="I202" s="21" t="str">
        <f>IF(H202&lt;&gt;"",VLOOKUP(H202,ChartofAccountsTable,2,FALSE),"")</f>
        <v/>
      </c>
      <c r="J202" s="26"/>
      <c r="K202" s="26"/>
    </row>
    <row r="203" spans="1:11" ht="14.65" customHeight="1">
      <c r="A203" s="22"/>
      <c r="B203" s="19"/>
      <c r="C203" s="20"/>
      <c r="D203" s="20"/>
      <c r="E203" s="20"/>
      <c r="F203" s="20"/>
      <c r="G203" s="23"/>
      <c r="H203" s="20"/>
      <c r="I203" s="21" t="str">
        <f>IF(H203&lt;&gt;"",VLOOKUP(H203,ChartofAccountsTable,2,FALSE),"")</f>
        <v/>
      </c>
      <c r="J203" s="26"/>
      <c r="K203" s="26"/>
    </row>
    <row r="204" spans="1:11" ht="14.65" customHeight="1">
      <c r="A204" s="22"/>
      <c r="B204" s="19"/>
      <c r="C204" s="20"/>
      <c r="D204" s="20"/>
      <c r="E204" s="20"/>
      <c r="F204" s="20"/>
      <c r="G204" s="23"/>
      <c r="H204" s="20"/>
      <c r="I204" s="21" t="str">
        <f>IF(H204&lt;&gt;"",VLOOKUP(H204,ChartofAccountsTable,2,FALSE),"")</f>
        <v/>
      </c>
      <c r="J204" s="26"/>
      <c r="K204" s="26"/>
    </row>
    <row r="205" spans="1:11" ht="14.65" customHeight="1">
      <c r="B205" s="19"/>
      <c r="C205" s="20"/>
      <c r="D205" s="20"/>
      <c r="E205" s="20"/>
      <c r="F205" s="20"/>
      <c r="G205" s="23"/>
      <c r="H205" s="20"/>
      <c r="I205" s="21" t="str">
        <f>IF(H205&lt;&gt;"",VLOOKUP(H205,ChartofAccountsTable,2,FALSE),"")</f>
        <v/>
      </c>
      <c r="J205" s="26"/>
      <c r="K205" s="26"/>
    </row>
    <row r="206" spans="1:11" s="6" customFormat="1" ht="14.65" customHeight="1">
      <c r="A206" s="7"/>
      <c r="B206" s="11"/>
      <c r="C206" s="12"/>
      <c r="D206" s="12"/>
      <c r="E206" s="12"/>
      <c r="F206" s="12"/>
      <c r="H206" s="12"/>
      <c r="J206" s="24"/>
      <c r="K206" s="24"/>
    </row>
    <row r="207" spans="1:11" s="6" customFormat="1" ht="14.65" customHeight="1">
      <c r="A207" s="7"/>
      <c r="B207" s="11"/>
      <c r="C207" s="12"/>
      <c r="D207" s="12"/>
      <c r="E207" s="12"/>
      <c r="F207" s="12"/>
      <c r="H207" s="12"/>
      <c r="J207" s="24"/>
      <c r="K207" s="24"/>
    </row>
  </sheetData>
  <autoFilter ref="A7:Q205" xr:uid="{00000000-0009-0000-0000-000004000000}"/>
  <mergeCells count="9">
    <mergeCell ref="J8:K8"/>
    <mergeCell ref="B7:B8"/>
    <mergeCell ref="C7:C8"/>
    <mergeCell ref="D7:D8"/>
    <mergeCell ref="E7:E8"/>
    <mergeCell ref="F7:F8"/>
    <mergeCell ref="G7:G8"/>
    <mergeCell ref="H7:H8"/>
    <mergeCell ref="I7:I8"/>
  </mergeCells>
  <conditionalFormatting sqref="J8">
    <cfRule type="expression" dxfId="2" priority="1">
      <formula>$J$8="Tidak Seimbang"</formula>
    </cfRule>
  </conditionalFormatting>
  <dataValidations count="2">
    <dataValidation type="list" allowBlank="1" showInputMessage="1" showErrorMessage="1" sqref="H11:H205" xr:uid="{00000000-0002-0000-0400-000000000000}">
      <formula1>ChartofAccounts</formula1>
    </dataValidation>
    <dataValidation type="list" allowBlank="1" showInputMessage="1" showErrorMessage="1" sqref="D11:D205" xr:uid="{00000000-0002-0000-0400-000001000000}">
      <formula1>$D$3:$D$6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2000000}">
          <x14:formula1>
            <xm:f>'SUPPLIER CODE'!$A$2:$A$1048576</xm:f>
          </x14:formula1>
          <xm:sqref>C9:C41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N208"/>
  <sheetViews>
    <sheetView showGridLines="0" workbookViewId="0">
      <selection activeCell="I8" sqref="I8:J26"/>
    </sheetView>
  </sheetViews>
  <sheetFormatPr defaultColWidth="0" defaultRowHeight="15" customHeight="1"/>
  <cols>
    <col min="1" max="1" width="5.75" style="7" customWidth="1"/>
    <col min="2" max="2" width="10.75" style="8" customWidth="1"/>
    <col min="3" max="3" width="11.75" style="9" customWidth="1"/>
    <col min="4" max="4" width="11.125" style="9" customWidth="1"/>
    <col min="5" max="5" width="19.625" customWidth="1"/>
    <col min="6" max="6" width="10.125" customWidth="1"/>
    <col min="7" max="7" width="10.75" style="9" customWidth="1"/>
    <col min="8" max="8" width="40.75" customWidth="1"/>
    <col min="9" max="10" width="16.75" style="10" customWidth="1"/>
    <col min="11" max="11" width="10.75" style="6" customWidth="1"/>
    <col min="12" max="12" width="10.75" style="6" hidden="1" customWidth="1"/>
    <col min="13" max="14" width="0" hidden="1" customWidth="1"/>
    <col min="15" max="16384" width="8.75" hidden="1"/>
  </cols>
  <sheetData>
    <row r="1" spans="1:12" s="6" customFormat="1" ht="14.65" customHeight="1">
      <c r="A1" s="7"/>
      <c r="B1" s="11"/>
      <c r="C1" s="12"/>
      <c r="D1" s="12"/>
      <c r="G1" s="12"/>
      <c r="I1" s="24"/>
      <c r="J1" s="24"/>
    </row>
    <row r="2" spans="1:12" ht="18.399999999999999" customHeight="1">
      <c r="A2" s="13"/>
      <c r="B2" s="14" t="s">
        <v>132</v>
      </c>
      <c r="C2" s="15"/>
      <c r="D2" s="16"/>
      <c r="E2" s="16"/>
      <c r="F2" s="16"/>
      <c r="G2" s="16"/>
      <c r="H2" s="16"/>
      <c r="I2" s="16"/>
      <c r="J2" s="16"/>
      <c r="K2" s="13"/>
      <c r="L2" s="13"/>
    </row>
    <row r="3" spans="1:12" s="6" customFormat="1" ht="10.5" customHeight="1">
      <c r="A3" s="7"/>
      <c r="B3" s="11"/>
      <c r="C3" s="12"/>
      <c r="D3" s="12"/>
      <c r="G3" s="12"/>
      <c r="I3" s="24"/>
      <c r="J3" s="24"/>
    </row>
    <row r="4" spans="1:12" ht="14.65" customHeight="1">
      <c r="B4" s="11" t="s">
        <v>95</v>
      </c>
      <c r="C4" s="12"/>
      <c r="D4" s="47">
        <f>MAX(B8:B206)</f>
        <v>0</v>
      </c>
      <c r="E4" s="6"/>
      <c r="F4" s="6"/>
      <c r="G4" s="12">
        <v>1110</v>
      </c>
      <c r="H4" s="6"/>
      <c r="I4" s="24"/>
      <c r="J4" s="24">
        <f>I5-J5</f>
        <v>0</v>
      </c>
    </row>
    <row r="5" spans="1:12" s="6" customFormat="1" ht="14.65" customHeight="1">
      <c r="A5" s="7"/>
      <c r="B5" s="11"/>
      <c r="C5" s="12"/>
      <c r="D5" s="12"/>
      <c r="F5" s="17">
        <f>SUM(F8:F59)</f>
        <v>0</v>
      </c>
      <c r="G5" s="12">
        <v>1260</v>
      </c>
      <c r="I5" s="24">
        <f>SUBTOTAL(9,I8:I20000)</f>
        <v>0</v>
      </c>
      <c r="J5" s="24">
        <f>SUBTOTAL(9,J8:J20000)</f>
        <v>0</v>
      </c>
    </row>
    <row r="6" spans="1:12" ht="14.65" customHeight="1">
      <c r="B6" s="437" t="s">
        <v>96</v>
      </c>
      <c r="C6" s="435" t="s">
        <v>133</v>
      </c>
      <c r="D6" s="435" t="s">
        <v>134</v>
      </c>
      <c r="E6" s="435" t="s">
        <v>101</v>
      </c>
      <c r="F6" s="435" t="s">
        <v>135</v>
      </c>
      <c r="G6" s="435" t="s">
        <v>102</v>
      </c>
      <c r="H6" s="435" t="s">
        <v>3</v>
      </c>
      <c r="I6" s="25" t="s">
        <v>103</v>
      </c>
      <c r="J6" s="25" t="s">
        <v>104</v>
      </c>
    </row>
    <row r="7" spans="1:12" ht="14.65" customHeight="1">
      <c r="A7" s="18"/>
      <c r="B7" s="438"/>
      <c r="C7" s="436"/>
      <c r="D7" s="436"/>
      <c r="E7" s="436"/>
      <c r="F7" s="436"/>
      <c r="G7" s="436"/>
      <c r="H7" s="436"/>
      <c r="I7" s="431" t="str">
        <f>IF(SUM(I8:I206)=SUM(J8:J206),"Balance","Not Balance")</f>
        <v>Balance</v>
      </c>
      <c r="J7" s="432"/>
    </row>
    <row r="8" spans="1:12" ht="14.65" customHeight="1">
      <c r="B8" s="19"/>
      <c r="C8" s="20"/>
      <c r="D8" s="20"/>
      <c r="E8" s="20"/>
      <c r="F8" s="20"/>
      <c r="G8" s="20"/>
      <c r="H8" s="21" t="str">
        <f t="shared" ref="H8:H73" si="0">IF(G8&lt;&gt;"",VLOOKUP(G8,ChartofAccountsTable,2,FALSE),"")</f>
        <v/>
      </c>
      <c r="I8" s="26"/>
      <c r="J8" s="26"/>
    </row>
    <row r="9" spans="1:12" ht="14.65" customHeight="1">
      <c r="A9" s="22"/>
      <c r="B9" s="19"/>
      <c r="C9" s="20"/>
      <c r="D9" s="20"/>
      <c r="E9" s="20"/>
      <c r="F9" s="20"/>
      <c r="G9" s="20"/>
      <c r="H9" s="21" t="str">
        <f t="shared" si="0"/>
        <v/>
      </c>
      <c r="I9" s="26"/>
      <c r="J9" s="26"/>
    </row>
    <row r="10" spans="1:12" ht="14.65" customHeight="1">
      <c r="A10" s="22"/>
      <c r="B10" s="19"/>
      <c r="C10" s="20"/>
      <c r="D10" s="20"/>
      <c r="E10" s="20"/>
      <c r="F10" s="20"/>
      <c r="G10" s="20"/>
      <c r="H10" s="21" t="str">
        <f t="shared" si="0"/>
        <v/>
      </c>
      <c r="I10" s="26"/>
      <c r="J10" s="26"/>
    </row>
    <row r="11" spans="1:12" ht="14.65" customHeight="1">
      <c r="A11" s="22"/>
      <c r="B11" s="19"/>
      <c r="C11" s="20"/>
      <c r="D11" s="20"/>
      <c r="E11" s="20"/>
      <c r="F11" s="20"/>
      <c r="G11" s="20"/>
      <c r="H11" s="21" t="str">
        <f t="shared" si="0"/>
        <v/>
      </c>
      <c r="I11" s="26"/>
      <c r="J11" s="26"/>
    </row>
    <row r="12" spans="1:12" ht="14.65" customHeight="1">
      <c r="A12" s="22"/>
      <c r="B12" s="19"/>
      <c r="C12" s="20"/>
      <c r="D12" s="20"/>
      <c r="E12" s="20"/>
      <c r="F12" s="20"/>
      <c r="G12" s="20"/>
      <c r="H12" s="21" t="str">
        <f t="shared" si="0"/>
        <v/>
      </c>
      <c r="I12" s="26"/>
      <c r="J12" s="26"/>
    </row>
    <row r="13" spans="1:12" ht="14.65" customHeight="1">
      <c r="A13" s="22"/>
      <c r="B13" s="19"/>
      <c r="C13" s="20"/>
      <c r="D13" s="20"/>
      <c r="E13" s="20"/>
      <c r="F13" s="20"/>
      <c r="G13" s="20"/>
      <c r="H13" s="21" t="str">
        <f t="shared" si="0"/>
        <v/>
      </c>
      <c r="I13" s="26"/>
      <c r="J13" s="26"/>
    </row>
    <row r="14" spans="1:12" ht="14.65" customHeight="1">
      <c r="A14" s="22"/>
      <c r="B14" s="19"/>
      <c r="C14" s="20"/>
      <c r="D14" s="20"/>
      <c r="E14" s="20"/>
      <c r="F14" s="20"/>
      <c r="G14" s="20"/>
      <c r="H14" s="21" t="str">
        <f t="shared" si="0"/>
        <v/>
      </c>
      <c r="I14" s="26"/>
      <c r="J14" s="26"/>
    </row>
    <row r="15" spans="1:12" ht="14.65" customHeight="1">
      <c r="A15" s="22"/>
      <c r="B15" s="19"/>
      <c r="C15" s="20"/>
      <c r="D15" s="20"/>
      <c r="E15" s="20"/>
      <c r="F15" s="20"/>
      <c r="G15" s="20"/>
      <c r="H15" s="21" t="str">
        <f t="shared" si="0"/>
        <v/>
      </c>
      <c r="I15" s="26"/>
      <c r="J15" s="26"/>
    </row>
    <row r="16" spans="1:12" ht="14.65" customHeight="1">
      <c r="A16" s="22"/>
      <c r="B16" s="19"/>
      <c r="C16" s="20"/>
      <c r="D16" s="20"/>
      <c r="E16" s="20"/>
      <c r="F16" s="20"/>
      <c r="G16" s="20"/>
      <c r="H16" s="21" t="str">
        <f t="shared" si="0"/>
        <v/>
      </c>
      <c r="I16" s="26"/>
      <c r="J16" s="26"/>
    </row>
    <row r="17" spans="1:10" ht="14.65" customHeight="1">
      <c r="A17" s="22"/>
      <c r="B17" s="19"/>
      <c r="C17" s="20"/>
      <c r="D17" s="20"/>
      <c r="E17" s="20"/>
      <c r="F17" s="20"/>
      <c r="G17" s="20"/>
      <c r="H17" s="21" t="str">
        <f t="shared" si="0"/>
        <v/>
      </c>
      <c r="I17" s="26"/>
      <c r="J17" s="26"/>
    </row>
    <row r="18" spans="1:10" ht="14.65" customHeight="1">
      <c r="A18" s="22"/>
      <c r="B18" s="19"/>
      <c r="C18" s="20"/>
      <c r="D18" s="20"/>
      <c r="E18" s="20"/>
      <c r="F18" s="20"/>
      <c r="G18" s="20"/>
      <c r="H18" s="21" t="str">
        <f t="shared" si="0"/>
        <v/>
      </c>
      <c r="I18" s="26"/>
      <c r="J18" s="26"/>
    </row>
    <row r="19" spans="1:10" ht="14.65" customHeight="1">
      <c r="A19" s="22"/>
      <c r="B19" s="19"/>
      <c r="C19" s="20"/>
      <c r="D19" s="20"/>
      <c r="E19" s="20"/>
      <c r="F19" s="20"/>
      <c r="G19" s="20"/>
      <c r="H19" s="21" t="str">
        <f t="shared" si="0"/>
        <v/>
      </c>
      <c r="I19" s="26"/>
      <c r="J19" s="26"/>
    </row>
    <row r="20" spans="1:10" ht="14.65" customHeight="1">
      <c r="A20" s="22"/>
      <c r="B20" s="19"/>
      <c r="C20" s="20"/>
      <c r="D20" s="20"/>
      <c r="E20" s="20"/>
      <c r="F20" s="20"/>
      <c r="G20" s="20"/>
      <c r="H20" s="21" t="str">
        <f t="shared" si="0"/>
        <v/>
      </c>
      <c r="I20" s="26"/>
      <c r="J20" s="26"/>
    </row>
    <row r="21" spans="1:10" ht="14.65" customHeight="1">
      <c r="A21" s="22"/>
      <c r="B21" s="19"/>
      <c r="C21" s="20"/>
      <c r="D21" s="20"/>
      <c r="E21" s="20"/>
      <c r="F21" s="20"/>
      <c r="G21" s="20"/>
      <c r="H21" s="21" t="str">
        <f t="shared" si="0"/>
        <v/>
      </c>
      <c r="I21" s="26"/>
      <c r="J21" s="26"/>
    </row>
    <row r="22" spans="1:10" ht="14.65" customHeight="1">
      <c r="A22" s="22"/>
      <c r="B22" s="19"/>
      <c r="C22" s="20"/>
      <c r="D22" s="20"/>
      <c r="E22" s="20"/>
      <c r="F22" s="20"/>
      <c r="G22" s="20"/>
      <c r="H22" s="21" t="str">
        <f t="shared" si="0"/>
        <v/>
      </c>
      <c r="I22" s="26"/>
      <c r="J22" s="26"/>
    </row>
    <row r="23" spans="1:10" ht="14.65" customHeight="1">
      <c r="A23" s="22"/>
      <c r="B23" s="19"/>
      <c r="C23" s="20"/>
      <c r="D23" s="20"/>
      <c r="E23" s="20"/>
      <c r="F23" s="20"/>
      <c r="G23" s="20"/>
      <c r="H23" s="21" t="str">
        <f t="shared" si="0"/>
        <v/>
      </c>
      <c r="I23" s="26"/>
      <c r="J23" s="26"/>
    </row>
    <row r="24" spans="1:10" ht="14.65" customHeight="1">
      <c r="A24" s="22"/>
      <c r="B24" s="19"/>
      <c r="C24" s="20"/>
      <c r="D24" s="20"/>
      <c r="E24" s="23"/>
      <c r="F24" s="23"/>
      <c r="G24" s="20"/>
      <c r="H24" s="21" t="str">
        <f t="shared" si="0"/>
        <v/>
      </c>
      <c r="I24" s="26"/>
      <c r="J24" s="26"/>
    </row>
    <row r="25" spans="1:10" ht="14.65" customHeight="1">
      <c r="A25" s="22"/>
      <c r="B25" s="19"/>
      <c r="C25" s="20"/>
      <c r="D25" s="20"/>
      <c r="E25" s="23"/>
      <c r="F25" s="23"/>
      <c r="G25" s="20"/>
      <c r="H25" s="21" t="str">
        <f t="shared" si="0"/>
        <v/>
      </c>
      <c r="I25" s="26"/>
      <c r="J25" s="26"/>
    </row>
    <row r="26" spans="1:10" ht="14.65" customHeight="1">
      <c r="A26" s="22"/>
      <c r="B26" s="19"/>
      <c r="C26" s="20"/>
      <c r="D26" s="20"/>
      <c r="E26" s="23"/>
      <c r="F26" s="23"/>
      <c r="G26" s="20"/>
      <c r="H26" s="21" t="str">
        <f t="shared" si="0"/>
        <v/>
      </c>
      <c r="I26" s="26"/>
      <c r="J26" s="26"/>
    </row>
    <row r="27" spans="1:10" ht="14.65" customHeight="1">
      <c r="A27" s="22"/>
      <c r="B27" s="19"/>
      <c r="C27" s="20"/>
      <c r="D27" s="20"/>
      <c r="E27" s="23"/>
      <c r="F27" s="23"/>
      <c r="G27" s="20"/>
      <c r="H27" s="21" t="str">
        <f t="shared" si="0"/>
        <v/>
      </c>
      <c r="I27" s="26"/>
      <c r="J27" s="26"/>
    </row>
    <row r="28" spans="1:10" ht="14.65" customHeight="1">
      <c r="A28" s="22"/>
      <c r="B28" s="19"/>
      <c r="C28" s="20"/>
      <c r="D28" s="20"/>
      <c r="E28" s="23"/>
      <c r="F28" s="23"/>
      <c r="G28" s="20"/>
      <c r="H28" s="21" t="str">
        <f t="shared" si="0"/>
        <v/>
      </c>
      <c r="I28" s="26"/>
      <c r="J28" s="26"/>
    </row>
    <row r="29" spans="1:10" ht="14.65" customHeight="1">
      <c r="A29" s="22"/>
      <c r="B29" s="19"/>
      <c r="C29" s="20"/>
      <c r="D29" s="20"/>
      <c r="E29" s="23"/>
      <c r="F29" s="23"/>
      <c r="G29" s="20"/>
      <c r="H29" s="21" t="str">
        <f t="shared" si="0"/>
        <v/>
      </c>
      <c r="I29" s="26"/>
      <c r="J29" s="26"/>
    </row>
    <row r="30" spans="1:10" ht="14.65" customHeight="1">
      <c r="A30" s="22"/>
      <c r="B30" s="19"/>
      <c r="C30" s="20"/>
      <c r="D30" s="20"/>
      <c r="E30" s="23"/>
      <c r="F30" s="23"/>
      <c r="G30" s="20"/>
      <c r="H30" s="21" t="str">
        <f t="shared" si="0"/>
        <v/>
      </c>
      <c r="I30" s="26"/>
      <c r="J30" s="26"/>
    </row>
    <row r="31" spans="1:10" ht="14.65" customHeight="1">
      <c r="A31" s="22"/>
      <c r="B31" s="19"/>
      <c r="C31" s="20"/>
      <c r="D31" s="20"/>
      <c r="E31" s="23"/>
      <c r="F31" s="23"/>
      <c r="G31" s="20"/>
      <c r="H31" s="21" t="str">
        <f t="shared" si="0"/>
        <v/>
      </c>
      <c r="I31" s="26"/>
      <c r="J31" s="26"/>
    </row>
    <row r="32" spans="1:10" ht="14.65" customHeight="1">
      <c r="A32" s="22"/>
      <c r="B32" s="19"/>
      <c r="C32" s="20"/>
      <c r="D32" s="20"/>
      <c r="E32" s="23"/>
      <c r="F32" s="23"/>
      <c r="G32" s="20"/>
      <c r="H32" s="21" t="str">
        <f t="shared" si="0"/>
        <v/>
      </c>
      <c r="I32" s="26"/>
      <c r="J32" s="26"/>
    </row>
    <row r="33" spans="1:10" ht="14.65" customHeight="1">
      <c r="A33" s="22"/>
      <c r="B33" s="19"/>
      <c r="C33" s="20"/>
      <c r="D33" s="20"/>
      <c r="E33" s="23"/>
      <c r="F33" s="23"/>
      <c r="G33" s="20"/>
      <c r="H33" s="21" t="str">
        <f t="shared" si="0"/>
        <v/>
      </c>
      <c r="I33" s="26"/>
      <c r="J33" s="26"/>
    </row>
    <row r="34" spans="1:10" ht="14.65" customHeight="1">
      <c r="A34" s="22"/>
      <c r="B34" s="19"/>
      <c r="C34" s="20"/>
      <c r="D34" s="20"/>
      <c r="E34" s="23"/>
      <c r="F34" s="23"/>
      <c r="G34" s="20"/>
      <c r="H34" s="21" t="str">
        <f t="shared" si="0"/>
        <v/>
      </c>
      <c r="I34" s="26"/>
      <c r="J34" s="26"/>
    </row>
    <row r="35" spans="1:10" ht="14.65" customHeight="1">
      <c r="A35" s="22"/>
      <c r="B35" s="19"/>
      <c r="C35" s="20"/>
      <c r="D35" s="20"/>
      <c r="E35" s="23"/>
      <c r="F35" s="23"/>
      <c r="G35" s="20"/>
      <c r="H35" s="21" t="str">
        <f t="shared" si="0"/>
        <v/>
      </c>
      <c r="I35" s="26"/>
      <c r="J35" s="26"/>
    </row>
    <row r="36" spans="1:10" ht="14.65" customHeight="1">
      <c r="A36" s="22"/>
      <c r="B36" s="19"/>
      <c r="C36" s="20"/>
      <c r="D36" s="20"/>
      <c r="E36" s="23"/>
      <c r="F36" s="23"/>
      <c r="G36" s="20"/>
      <c r="H36" s="21" t="str">
        <f t="shared" si="0"/>
        <v/>
      </c>
      <c r="I36" s="26"/>
      <c r="J36" s="26"/>
    </row>
    <row r="37" spans="1:10" ht="14.65" customHeight="1">
      <c r="A37" s="22"/>
      <c r="B37" s="19"/>
      <c r="C37" s="20"/>
      <c r="D37" s="20"/>
      <c r="E37" s="23"/>
      <c r="F37" s="23"/>
      <c r="G37" s="20"/>
      <c r="H37" s="21" t="str">
        <f t="shared" si="0"/>
        <v/>
      </c>
      <c r="I37" s="26"/>
      <c r="J37" s="26"/>
    </row>
    <row r="38" spans="1:10" ht="14.65" customHeight="1">
      <c r="A38" s="22"/>
      <c r="B38" s="19"/>
      <c r="C38" s="20"/>
      <c r="D38" s="20"/>
      <c r="E38" s="23"/>
      <c r="F38" s="23"/>
      <c r="G38" s="20"/>
      <c r="H38" s="21" t="str">
        <f t="shared" si="0"/>
        <v/>
      </c>
      <c r="I38" s="26"/>
      <c r="J38" s="26"/>
    </row>
    <row r="39" spans="1:10" ht="14.65" customHeight="1">
      <c r="A39" s="22"/>
      <c r="B39" s="19"/>
      <c r="C39" s="20"/>
      <c r="D39" s="20"/>
      <c r="E39" s="23"/>
      <c r="F39" s="23"/>
      <c r="G39" s="20"/>
      <c r="H39" s="21" t="str">
        <f t="shared" si="0"/>
        <v/>
      </c>
      <c r="I39" s="26"/>
      <c r="J39" s="26"/>
    </row>
    <row r="40" spans="1:10" ht="14.65" customHeight="1">
      <c r="A40" s="22"/>
      <c r="B40" s="19"/>
      <c r="C40" s="20"/>
      <c r="D40" s="20"/>
      <c r="E40" s="23"/>
      <c r="F40" s="23"/>
      <c r="G40" s="20"/>
      <c r="H40" s="21" t="str">
        <f t="shared" si="0"/>
        <v/>
      </c>
      <c r="I40" s="26"/>
      <c r="J40" s="26"/>
    </row>
    <row r="41" spans="1:10" ht="14.65" customHeight="1">
      <c r="A41" s="22"/>
      <c r="B41" s="19"/>
      <c r="C41" s="20"/>
      <c r="D41" s="20"/>
      <c r="E41" s="23"/>
      <c r="F41" s="23"/>
      <c r="G41" s="20"/>
      <c r="H41" s="21" t="str">
        <f t="shared" si="0"/>
        <v/>
      </c>
      <c r="I41" s="26"/>
      <c r="J41" s="26"/>
    </row>
    <row r="42" spans="1:10" ht="14.65" customHeight="1">
      <c r="A42" s="22"/>
      <c r="B42" s="19"/>
      <c r="C42" s="20"/>
      <c r="D42" s="20"/>
      <c r="E42" s="23"/>
      <c r="F42" s="23"/>
      <c r="G42" s="20"/>
      <c r="H42" s="21" t="str">
        <f t="shared" si="0"/>
        <v/>
      </c>
      <c r="I42" s="26"/>
      <c r="J42" s="26"/>
    </row>
    <row r="43" spans="1:10" ht="14.65" customHeight="1">
      <c r="A43" s="22"/>
      <c r="B43" s="19"/>
      <c r="C43" s="20"/>
      <c r="D43" s="20"/>
      <c r="E43" s="23"/>
      <c r="F43" s="23"/>
      <c r="G43" s="20"/>
      <c r="H43" s="21" t="str">
        <f t="shared" si="0"/>
        <v/>
      </c>
      <c r="I43" s="26"/>
      <c r="J43" s="26"/>
    </row>
    <row r="44" spans="1:10" ht="14.65" customHeight="1">
      <c r="A44" s="22"/>
      <c r="B44" s="19"/>
      <c r="C44" s="20"/>
      <c r="D44" s="20"/>
      <c r="E44" s="23"/>
      <c r="F44" s="23"/>
      <c r="G44" s="20"/>
      <c r="H44" s="21" t="str">
        <f t="shared" si="0"/>
        <v/>
      </c>
      <c r="I44" s="26"/>
      <c r="J44" s="26"/>
    </row>
    <row r="45" spans="1:10" ht="14.65" customHeight="1">
      <c r="A45" s="22"/>
      <c r="B45" s="19"/>
      <c r="C45" s="20"/>
      <c r="D45" s="20"/>
      <c r="E45" s="23"/>
      <c r="F45" s="23"/>
      <c r="G45" s="20"/>
      <c r="H45" s="21" t="str">
        <f t="shared" si="0"/>
        <v/>
      </c>
      <c r="I45" s="26"/>
      <c r="J45" s="26"/>
    </row>
    <row r="46" spans="1:10" ht="14.65" customHeight="1">
      <c r="A46" s="22"/>
      <c r="B46" s="19"/>
      <c r="C46" s="20"/>
      <c r="D46" s="20"/>
      <c r="E46" s="23"/>
      <c r="F46" s="23"/>
      <c r="G46" s="20"/>
      <c r="H46" s="21" t="str">
        <f t="shared" si="0"/>
        <v/>
      </c>
      <c r="I46" s="26"/>
      <c r="J46" s="26"/>
    </row>
    <row r="47" spans="1:10" ht="14.65" customHeight="1">
      <c r="A47" s="22"/>
      <c r="B47" s="19"/>
      <c r="C47" s="20"/>
      <c r="D47" s="20"/>
      <c r="E47" s="23"/>
      <c r="F47" s="23"/>
      <c r="G47" s="20"/>
      <c r="H47" s="21" t="str">
        <f t="shared" si="0"/>
        <v/>
      </c>
      <c r="I47" s="26"/>
      <c r="J47" s="26"/>
    </row>
    <row r="48" spans="1:10" ht="14.65" customHeight="1">
      <c r="A48" s="22"/>
      <c r="B48" s="19"/>
      <c r="C48" s="20"/>
      <c r="D48" s="20"/>
      <c r="E48" s="23"/>
      <c r="F48" s="23"/>
      <c r="G48" s="20"/>
      <c r="H48" s="21" t="str">
        <f t="shared" si="0"/>
        <v/>
      </c>
      <c r="I48" s="26"/>
      <c r="J48" s="26"/>
    </row>
    <row r="49" spans="1:10" ht="14.65" customHeight="1">
      <c r="A49" s="22"/>
      <c r="B49" s="19"/>
      <c r="C49" s="20"/>
      <c r="D49" s="20"/>
      <c r="E49" s="23"/>
      <c r="F49" s="23"/>
      <c r="G49" s="20"/>
      <c r="H49" s="21" t="str">
        <f t="shared" si="0"/>
        <v/>
      </c>
      <c r="I49" s="26"/>
      <c r="J49" s="26"/>
    </row>
    <row r="50" spans="1:10" ht="14.65" customHeight="1">
      <c r="A50" s="22"/>
      <c r="B50" s="19"/>
      <c r="C50" s="20"/>
      <c r="D50" s="20"/>
      <c r="E50" s="23"/>
      <c r="F50" s="23"/>
      <c r="G50" s="20"/>
      <c r="H50" s="21" t="str">
        <f t="shared" si="0"/>
        <v/>
      </c>
      <c r="I50" s="26"/>
      <c r="J50" s="26"/>
    </row>
    <row r="51" spans="1:10" ht="14.65" customHeight="1">
      <c r="A51" s="22"/>
      <c r="B51" s="19"/>
      <c r="C51" s="20"/>
      <c r="D51" s="20"/>
      <c r="E51" s="23"/>
      <c r="F51" s="23"/>
      <c r="G51" s="20"/>
      <c r="H51" s="21" t="str">
        <f t="shared" si="0"/>
        <v/>
      </c>
      <c r="I51" s="26"/>
      <c r="J51" s="26"/>
    </row>
    <row r="52" spans="1:10" ht="14.65" customHeight="1">
      <c r="A52" s="22"/>
      <c r="B52" s="19"/>
      <c r="C52" s="20"/>
      <c r="D52" s="20"/>
      <c r="E52" s="23"/>
      <c r="F52" s="23"/>
      <c r="G52" s="20"/>
      <c r="H52" s="21" t="str">
        <f t="shared" si="0"/>
        <v/>
      </c>
      <c r="I52" s="26"/>
      <c r="J52" s="26"/>
    </row>
    <row r="53" spans="1:10" ht="14.65" customHeight="1">
      <c r="A53" s="22"/>
      <c r="B53" s="19"/>
      <c r="C53" s="20"/>
      <c r="D53" s="20"/>
      <c r="E53" s="23"/>
      <c r="F53" s="23"/>
      <c r="G53" s="20"/>
      <c r="H53" s="21" t="str">
        <f t="shared" si="0"/>
        <v/>
      </c>
      <c r="I53" s="26"/>
      <c r="J53" s="26"/>
    </row>
    <row r="54" spans="1:10" ht="14.65" customHeight="1">
      <c r="A54" s="22"/>
      <c r="B54" s="19"/>
      <c r="C54" s="20"/>
      <c r="D54" s="20"/>
      <c r="E54" s="23"/>
      <c r="F54" s="23"/>
      <c r="G54" s="20"/>
      <c r="H54" s="21" t="str">
        <f t="shared" si="0"/>
        <v/>
      </c>
      <c r="I54" s="26"/>
      <c r="J54" s="26"/>
    </row>
    <row r="55" spans="1:10" ht="14.65" customHeight="1">
      <c r="A55" s="22"/>
      <c r="B55" s="19"/>
      <c r="C55" s="20"/>
      <c r="D55" s="20"/>
      <c r="E55" s="23"/>
      <c r="F55" s="23"/>
      <c r="G55" s="20"/>
      <c r="H55" s="21" t="str">
        <f t="shared" si="0"/>
        <v/>
      </c>
      <c r="I55" s="26"/>
      <c r="J55" s="26"/>
    </row>
    <row r="56" spans="1:10" ht="14.65" customHeight="1">
      <c r="A56" s="22"/>
      <c r="B56" s="19"/>
      <c r="C56" s="20"/>
      <c r="D56" s="20"/>
      <c r="E56" s="23"/>
      <c r="F56" s="23"/>
      <c r="G56" s="20"/>
      <c r="H56" s="21" t="str">
        <f t="shared" si="0"/>
        <v/>
      </c>
      <c r="I56" s="26"/>
      <c r="J56" s="26"/>
    </row>
    <row r="57" spans="1:10" ht="14.65" customHeight="1">
      <c r="A57" s="22"/>
      <c r="B57" s="19"/>
      <c r="C57" s="20"/>
      <c r="D57" s="20"/>
      <c r="E57" s="23"/>
      <c r="F57" s="23"/>
      <c r="G57" s="20"/>
      <c r="H57" s="21" t="str">
        <f t="shared" si="0"/>
        <v/>
      </c>
      <c r="I57" s="26"/>
      <c r="J57" s="26"/>
    </row>
    <row r="58" spans="1:10" ht="14.65" customHeight="1">
      <c r="A58" s="22"/>
      <c r="B58" s="19"/>
      <c r="C58" s="20"/>
      <c r="D58" s="20"/>
      <c r="E58" s="23"/>
      <c r="F58" s="23"/>
      <c r="G58" s="20"/>
      <c r="H58" s="21" t="str">
        <f t="shared" si="0"/>
        <v/>
      </c>
      <c r="I58" s="26"/>
      <c r="J58" s="26"/>
    </row>
    <row r="59" spans="1:10" ht="14.65" customHeight="1">
      <c r="A59" s="22"/>
      <c r="B59" s="19"/>
      <c r="C59" s="20"/>
      <c r="D59" s="20"/>
      <c r="E59" s="23"/>
      <c r="F59" s="23"/>
      <c r="G59" s="20"/>
      <c r="H59" s="21" t="str">
        <f t="shared" si="0"/>
        <v/>
      </c>
      <c r="I59" s="26"/>
      <c r="J59" s="26"/>
    </row>
    <row r="60" spans="1:10" ht="14.65" customHeight="1">
      <c r="A60" s="22"/>
      <c r="B60" s="19"/>
      <c r="C60" s="20"/>
      <c r="D60" s="20"/>
      <c r="E60" s="23"/>
      <c r="F60" s="23"/>
      <c r="G60" s="20"/>
      <c r="H60" s="21" t="str">
        <f t="shared" si="0"/>
        <v/>
      </c>
      <c r="I60" s="26"/>
      <c r="J60" s="26"/>
    </row>
    <row r="61" spans="1:10" ht="14.65" customHeight="1">
      <c r="A61" s="22"/>
      <c r="B61" s="19"/>
      <c r="C61" s="20"/>
      <c r="D61" s="20"/>
      <c r="E61" s="23"/>
      <c r="F61" s="23"/>
      <c r="G61" s="20"/>
      <c r="H61" s="21" t="str">
        <f t="shared" si="0"/>
        <v/>
      </c>
      <c r="I61" s="26"/>
      <c r="J61" s="26"/>
    </row>
    <row r="62" spans="1:10" ht="14.65" customHeight="1">
      <c r="A62" s="22"/>
      <c r="B62" s="19"/>
      <c r="C62" s="20"/>
      <c r="D62" s="20"/>
      <c r="E62" s="23"/>
      <c r="F62" s="23"/>
      <c r="G62" s="20"/>
      <c r="H62" s="21" t="str">
        <f t="shared" si="0"/>
        <v/>
      </c>
      <c r="I62" s="26"/>
      <c r="J62" s="26"/>
    </row>
    <row r="63" spans="1:10" ht="14.65" customHeight="1">
      <c r="A63" s="22"/>
      <c r="B63" s="19"/>
      <c r="C63" s="20"/>
      <c r="D63" s="20"/>
      <c r="E63" s="23"/>
      <c r="F63" s="23"/>
      <c r="G63" s="20"/>
      <c r="H63" s="21" t="str">
        <f t="shared" si="0"/>
        <v/>
      </c>
      <c r="I63" s="26"/>
      <c r="J63" s="26"/>
    </row>
    <row r="64" spans="1:10" ht="14.65" customHeight="1">
      <c r="A64" s="22"/>
      <c r="B64" s="19"/>
      <c r="C64" s="20"/>
      <c r="D64" s="20"/>
      <c r="E64" s="23"/>
      <c r="F64" s="23"/>
      <c r="G64" s="20"/>
      <c r="H64" s="21" t="str">
        <f t="shared" si="0"/>
        <v/>
      </c>
      <c r="I64" s="26"/>
      <c r="J64" s="26"/>
    </row>
    <row r="65" spans="1:10" ht="14.65" customHeight="1">
      <c r="A65" s="22"/>
      <c r="B65" s="19"/>
      <c r="C65" s="20"/>
      <c r="D65" s="20"/>
      <c r="E65" s="23"/>
      <c r="F65" s="23"/>
      <c r="G65" s="20"/>
      <c r="H65" s="21" t="str">
        <f t="shared" si="0"/>
        <v/>
      </c>
      <c r="I65" s="26"/>
      <c r="J65" s="26"/>
    </row>
    <row r="66" spans="1:10" ht="14.65" customHeight="1">
      <c r="A66" s="22"/>
      <c r="B66" s="19"/>
      <c r="C66" s="20"/>
      <c r="D66" s="20"/>
      <c r="E66" s="23"/>
      <c r="F66" s="23"/>
      <c r="G66" s="20"/>
      <c r="H66" s="21" t="str">
        <f t="shared" si="0"/>
        <v/>
      </c>
      <c r="I66" s="26"/>
      <c r="J66" s="26"/>
    </row>
    <row r="67" spans="1:10" ht="14.65" customHeight="1">
      <c r="A67" s="22"/>
      <c r="B67" s="19"/>
      <c r="C67" s="20"/>
      <c r="D67" s="20"/>
      <c r="E67" s="23"/>
      <c r="F67" s="23"/>
      <c r="G67" s="20"/>
      <c r="H67" s="21" t="str">
        <f t="shared" si="0"/>
        <v/>
      </c>
      <c r="I67" s="26"/>
      <c r="J67" s="26"/>
    </row>
    <row r="68" spans="1:10" ht="14.65" customHeight="1">
      <c r="A68" s="22"/>
      <c r="B68" s="19"/>
      <c r="C68" s="20"/>
      <c r="D68" s="20"/>
      <c r="E68" s="23"/>
      <c r="F68" s="23"/>
      <c r="G68" s="20"/>
      <c r="H68" s="21" t="str">
        <f t="shared" si="0"/>
        <v/>
      </c>
      <c r="I68" s="26"/>
      <c r="J68" s="26"/>
    </row>
    <row r="69" spans="1:10" ht="14.65" customHeight="1">
      <c r="A69" s="22"/>
      <c r="B69" s="19"/>
      <c r="C69" s="20"/>
      <c r="D69" s="20"/>
      <c r="E69" s="23"/>
      <c r="F69" s="23"/>
      <c r="G69" s="20"/>
      <c r="H69" s="21" t="str">
        <f t="shared" si="0"/>
        <v/>
      </c>
      <c r="I69" s="26"/>
      <c r="J69" s="26"/>
    </row>
    <row r="70" spans="1:10" ht="14.65" customHeight="1">
      <c r="A70" s="22"/>
      <c r="B70" s="19"/>
      <c r="C70" s="20"/>
      <c r="D70" s="20"/>
      <c r="E70" s="23"/>
      <c r="F70" s="23"/>
      <c r="G70" s="20"/>
      <c r="H70" s="21" t="str">
        <f t="shared" si="0"/>
        <v/>
      </c>
      <c r="I70" s="26"/>
      <c r="J70" s="26"/>
    </row>
    <row r="71" spans="1:10" ht="14.65" customHeight="1">
      <c r="A71" s="22"/>
      <c r="B71" s="19"/>
      <c r="C71" s="20"/>
      <c r="D71" s="20"/>
      <c r="E71" s="23"/>
      <c r="F71" s="23"/>
      <c r="G71" s="20"/>
      <c r="H71" s="21" t="str">
        <f t="shared" si="0"/>
        <v/>
      </c>
      <c r="I71" s="26"/>
      <c r="J71" s="26"/>
    </row>
    <row r="72" spans="1:10" ht="14.65" customHeight="1">
      <c r="A72" s="22"/>
      <c r="B72" s="19"/>
      <c r="C72" s="20"/>
      <c r="D72" s="20"/>
      <c r="E72" s="23"/>
      <c r="F72" s="23"/>
      <c r="G72" s="20"/>
      <c r="H72" s="21" t="str">
        <f t="shared" si="0"/>
        <v/>
      </c>
      <c r="I72" s="26"/>
      <c r="J72" s="26"/>
    </row>
    <row r="73" spans="1:10" ht="14.65" customHeight="1">
      <c r="A73" s="22"/>
      <c r="B73" s="19"/>
      <c r="C73" s="20"/>
      <c r="D73" s="20"/>
      <c r="E73" s="23"/>
      <c r="F73" s="23"/>
      <c r="G73" s="20"/>
      <c r="H73" s="21" t="str">
        <f t="shared" si="0"/>
        <v/>
      </c>
      <c r="I73" s="26"/>
      <c r="J73" s="26"/>
    </row>
    <row r="74" spans="1:10" ht="14.65" customHeight="1">
      <c r="A74" s="22"/>
      <c r="B74" s="19"/>
      <c r="C74" s="20"/>
      <c r="D74" s="20"/>
      <c r="E74" s="23"/>
      <c r="F74" s="23"/>
      <c r="G74" s="20"/>
      <c r="H74" s="21" t="str">
        <f t="shared" ref="H74:H137" si="1">IF(G74&lt;&gt;"",VLOOKUP(G74,ChartofAccountsTable,2,FALSE),"")</f>
        <v/>
      </c>
      <c r="I74" s="26"/>
      <c r="J74" s="26"/>
    </row>
    <row r="75" spans="1:10" ht="14.65" customHeight="1">
      <c r="A75" s="22"/>
      <c r="B75" s="19"/>
      <c r="C75" s="20"/>
      <c r="D75" s="20"/>
      <c r="E75" s="23"/>
      <c r="F75" s="23"/>
      <c r="G75" s="20"/>
      <c r="H75" s="21" t="str">
        <f t="shared" si="1"/>
        <v/>
      </c>
      <c r="I75" s="26"/>
      <c r="J75" s="26"/>
    </row>
    <row r="76" spans="1:10" ht="14.65" customHeight="1">
      <c r="A76" s="22"/>
      <c r="B76" s="19"/>
      <c r="C76" s="20"/>
      <c r="D76" s="20"/>
      <c r="E76" s="23"/>
      <c r="F76" s="23"/>
      <c r="G76" s="20"/>
      <c r="H76" s="21" t="str">
        <f t="shared" si="1"/>
        <v/>
      </c>
      <c r="I76" s="26"/>
      <c r="J76" s="26"/>
    </row>
    <row r="77" spans="1:10" ht="14.65" customHeight="1">
      <c r="A77" s="22"/>
      <c r="B77" s="19"/>
      <c r="C77" s="20"/>
      <c r="D77" s="20"/>
      <c r="E77" s="23"/>
      <c r="F77" s="23"/>
      <c r="G77" s="20"/>
      <c r="H77" s="21" t="str">
        <f t="shared" si="1"/>
        <v/>
      </c>
      <c r="I77" s="26"/>
      <c r="J77" s="26"/>
    </row>
    <row r="78" spans="1:10" ht="14.65" customHeight="1">
      <c r="A78" s="22"/>
      <c r="B78" s="19"/>
      <c r="C78" s="20"/>
      <c r="D78" s="20"/>
      <c r="E78" s="23"/>
      <c r="F78" s="23"/>
      <c r="G78" s="20"/>
      <c r="H78" s="21" t="str">
        <f t="shared" si="1"/>
        <v/>
      </c>
      <c r="I78" s="26"/>
      <c r="J78" s="26"/>
    </row>
    <row r="79" spans="1:10" ht="14.65" customHeight="1">
      <c r="A79" s="22"/>
      <c r="B79" s="19"/>
      <c r="C79" s="20"/>
      <c r="D79" s="20"/>
      <c r="E79" s="23"/>
      <c r="F79" s="23"/>
      <c r="G79" s="20"/>
      <c r="H79" s="21" t="str">
        <f t="shared" si="1"/>
        <v/>
      </c>
      <c r="I79" s="26"/>
      <c r="J79" s="26"/>
    </row>
    <row r="80" spans="1:10" ht="14.65" customHeight="1">
      <c r="A80" s="22"/>
      <c r="B80" s="19"/>
      <c r="C80" s="20"/>
      <c r="D80" s="20"/>
      <c r="E80" s="23"/>
      <c r="F80" s="23"/>
      <c r="G80" s="20"/>
      <c r="H80" s="21" t="str">
        <f t="shared" si="1"/>
        <v/>
      </c>
      <c r="I80" s="26"/>
      <c r="J80" s="26"/>
    </row>
    <row r="81" spans="1:10" ht="14.65" customHeight="1">
      <c r="A81" s="22"/>
      <c r="B81" s="19"/>
      <c r="C81" s="20"/>
      <c r="D81" s="20"/>
      <c r="E81" s="23"/>
      <c r="F81" s="23"/>
      <c r="G81" s="20"/>
      <c r="H81" s="21" t="str">
        <f t="shared" si="1"/>
        <v/>
      </c>
      <c r="I81" s="26"/>
      <c r="J81" s="26"/>
    </row>
    <row r="82" spans="1:10" ht="14.65" customHeight="1">
      <c r="A82" s="22"/>
      <c r="B82" s="19"/>
      <c r="C82" s="20"/>
      <c r="D82" s="20"/>
      <c r="E82" s="23"/>
      <c r="F82" s="23"/>
      <c r="G82" s="20"/>
      <c r="H82" s="21" t="str">
        <f t="shared" si="1"/>
        <v/>
      </c>
      <c r="I82" s="26"/>
      <c r="J82" s="26"/>
    </row>
    <row r="83" spans="1:10" ht="14.65" customHeight="1">
      <c r="A83" s="22"/>
      <c r="B83" s="19"/>
      <c r="C83" s="20"/>
      <c r="D83" s="20"/>
      <c r="E83" s="23"/>
      <c r="F83" s="23"/>
      <c r="G83" s="20"/>
      <c r="H83" s="21" t="str">
        <f t="shared" si="1"/>
        <v/>
      </c>
      <c r="I83" s="26"/>
      <c r="J83" s="26"/>
    </row>
    <row r="84" spans="1:10" ht="14.65" customHeight="1">
      <c r="A84" s="22"/>
      <c r="B84" s="19"/>
      <c r="C84" s="20"/>
      <c r="D84" s="20"/>
      <c r="E84" s="23"/>
      <c r="F84" s="23"/>
      <c r="G84" s="20"/>
      <c r="H84" s="21" t="str">
        <f t="shared" si="1"/>
        <v/>
      </c>
      <c r="I84" s="26"/>
      <c r="J84" s="26"/>
    </row>
    <row r="85" spans="1:10" ht="14.65" customHeight="1">
      <c r="A85" s="22"/>
      <c r="B85" s="19"/>
      <c r="C85" s="20"/>
      <c r="D85" s="20"/>
      <c r="E85" s="23"/>
      <c r="F85" s="23"/>
      <c r="G85" s="20"/>
      <c r="H85" s="21" t="str">
        <f t="shared" si="1"/>
        <v/>
      </c>
      <c r="I85" s="26"/>
      <c r="J85" s="26"/>
    </row>
    <row r="86" spans="1:10" ht="14.65" customHeight="1">
      <c r="A86" s="22"/>
      <c r="B86" s="19"/>
      <c r="C86" s="20"/>
      <c r="D86" s="20"/>
      <c r="E86" s="23"/>
      <c r="F86" s="23"/>
      <c r="G86" s="20"/>
      <c r="H86" s="21" t="str">
        <f t="shared" si="1"/>
        <v/>
      </c>
      <c r="I86" s="26"/>
      <c r="J86" s="26"/>
    </row>
    <row r="87" spans="1:10" ht="14.65" customHeight="1">
      <c r="A87" s="22"/>
      <c r="B87" s="19"/>
      <c r="C87" s="20"/>
      <c r="D87" s="20"/>
      <c r="E87" s="23"/>
      <c r="F87" s="23"/>
      <c r="G87" s="20"/>
      <c r="H87" s="21" t="str">
        <f t="shared" si="1"/>
        <v/>
      </c>
      <c r="I87" s="26"/>
      <c r="J87" s="26"/>
    </row>
    <row r="88" spans="1:10" ht="14.65" customHeight="1">
      <c r="A88" s="22"/>
      <c r="B88" s="19"/>
      <c r="C88" s="20"/>
      <c r="D88" s="20"/>
      <c r="E88" s="23"/>
      <c r="F88" s="23"/>
      <c r="G88" s="20"/>
      <c r="H88" s="21" t="str">
        <f t="shared" si="1"/>
        <v/>
      </c>
      <c r="I88" s="26"/>
      <c r="J88" s="26"/>
    </row>
    <row r="89" spans="1:10" ht="14.65" customHeight="1">
      <c r="A89" s="22"/>
      <c r="B89" s="19"/>
      <c r="C89" s="20"/>
      <c r="D89" s="20"/>
      <c r="E89" s="23"/>
      <c r="F89" s="23"/>
      <c r="G89" s="20"/>
      <c r="H89" s="21" t="str">
        <f t="shared" si="1"/>
        <v/>
      </c>
      <c r="I89" s="26"/>
      <c r="J89" s="26"/>
    </row>
    <row r="90" spans="1:10" ht="14.65" customHeight="1">
      <c r="A90" s="22"/>
      <c r="B90" s="19"/>
      <c r="C90" s="20"/>
      <c r="D90" s="20"/>
      <c r="E90" s="23"/>
      <c r="F90" s="23"/>
      <c r="G90" s="20"/>
      <c r="H90" s="21" t="str">
        <f t="shared" si="1"/>
        <v/>
      </c>
      <c r="I90" s="26"/>
      <c r="J90" s="26"/>
    </row>
    <row r="91" spans="1:10" ht="14.65" customHeight="1">
      <c r="A91" s="22"/>
      <c r="B91" s="19"/>
      <c r="C91" s="20"/>
      <c r="D91" s="20"/>
      <c r="E91" s="23"/>
      <c r="F91" s="23"/>
      <c r="G91" s="20"/>
      <c r="H91" s="21" t="str">
        <f t="shared" si="1"/>
        <v/>
      </c>
      <c r="I91" s="26"/>
      <c r="J91" s="26"/>
    </row>
    <row r="92" spans="1:10" ht="14.65" customHeight="1">
      <c r="A92" s="22"/>
      <c r="B92" s="19"/>
      <c r="C92" s="20"/>
      <c r="D92" s="20"/>
      <c r="E92" s="23"/>
      <c r="F92" s="23"/>
      <c r="G92" s="20"/>
      <c r="H92" s="21" t="str">
        <f t="shared" si="1"/>
        <v/>
      </c>
      <c r="I92" s="26"/>
      <c r="J92" s="26"/>
    </row>
    <row r="93" spans="1:10" ht="14.65" customHeight="1">
      <c r="A93" s="22"/>
      <c r="B93" s="19"/>
      <c r="C93" s="20"/>
      <c r="D93" s="20"/>
      <c r="E93" s="23"/>
      <c r="F93" s="23"/>
      <c r="G93" s="20"/>
      <c r="H93" s="21" t="str">
        <f t="shared" si="1"/>
        <v/>
      </c>
      <c r="I93" s="26"/>
      <c r="J93" s="26"/>
    </row>
    <row r="94" spans="1:10" ht="14.65" customHeight="1">
      <c r="A94" s="22"/>
      <c r="B94" s="19"/>
      <c r="C94" s="20"/>
      <c r="D94" s="20"/>
      <c r="E94" s="23"/>
      <c r="F94" s="23"/>
      <c r="G94" s="20"/>
      <c r="H94" s="21" t="str">
        <f t="shared" si="1"/>
        <v/>
      </c>
      <c r="I94" s="26"/>
      <c r="J94" s="26"/>
    </row>
    <row r="95" spans="1:10" ht="14.65" customHeight="1">
      <c r="A95" s="22"/>
      <c r="B95" s="19"/>
      <c r="C95" s="20"/>
      <c r="D95" s="20"/>
      <c r="E95" s="23"/>
      <c r="F95" s="23"/>
      <c r="G95" s="20"/>
      <c r="H95" s="21" t="str">
        <f t="shared" si="1"/>
        <v/>
      </c>
      <c r="I95" s="26"/>
      <c r="J95" s="26"/>
    </row>
    <row r="96" spans="1:10" ht="14.65" customHeight="1">
      <c r="A96" s="22"/>
      <c r="B96" s="19"/>
      <c r="C96" s="20"/>
      <c r="D96" s="20"/>
      <c r="E96" s="23"/>
      <c r="F96" s="23"/>
      <c r="G96" s="20"/>
      <c r="H96" s="21" t="str">
        <f t="shared" si="1"/>
        <v/>
      </c>
      <c r="I96" s="26"/>
      <c r="J96" s="26"/>
    </row>
    <row r="97" spans="1:10" ht="14.65" customHeight="1">
      <c r="A97" s="22"/>
      <c r="B97" s="19"/>
      <c r="C97" s="20"/>
      <c r="D97" s="20"/>
      <c r="E97" s="23"/>
      <c r="F97" s="23"/>
      <c r="G97" s="20"/>
      <c r="H97" s="21" t="str">
        <f t="shared" si="1"/>
        <v/>
      </c>
      <c r="I97" s="26"/>
      <c r="J97" s="26"/>
    </row>
    <row r="98" spans="1:10" ht="14.65" customHeight="1">
      <c r="A98" s="22"/>
      <c r="B98" s="19"/>
      <c r="C98" s="20"/>
      <c r="D98" s="20"/>
      <c r="E98" s="23"/>
      <c r="F98" s="23"/>
      <c r="G98" s="20"/>
      <c r="H98" s="21" t="str">
        <f t="shared" si="1"/>
        <v/>
      </c>
      <c r="I98" s="26"/>
      <c r="J98" s="26"/>
    </row>
    <row r="99" spans="1:10" ht="14.65" customHeight="1">
      <c r="A99" s="22"/>
      <c r="B99" s="19"/>
      <c r="C99" s="20"/>
      <c r="D99" s="20"/>
      <c r="E99" s="23"/>
      <c r="F99" s="23"/>
      <c r="G99" s="20"/>
      <c r="H99" s="21" t="str">
        <f t="shared" si="1"/>
        <v/>
      </c>
      <c r="I99" s="26"/>
      <c r="J99" s="26"/>
    </row>
    <row r="100" spans="1:10" ht="14.65" customHeight="1">
      <c r="A100" s="22"/>
      <c r="B100" s="19"/>
      <c r="C100" s="20"/>
      <c r="D100" s="20"/>
      <c r="E100" s="23"/>
      <c r="F100" s="23"/>
      <c r="G100" s="20"/>
      <c r="H100" s="21" t="str">
        <f t="shared" si="1"/>
        <v/>
      </c>
      <c r="I100" s="26"/>
      <c r="J100" s="26"/>
    </row>
    <row r="101" spans="1:10" ht="14.65" customHeight="1">
      <c r="A101" s="22"/>
      <c r="B101" s="19"/>
      <c r="C101" s="20"/>
      <c r="D101" s="20"/>
      <c r="E101" s="23"/>
      <c r="F101" s="23"/>
      <c r="G101" s="20"/>
      <c r="H101" s="21" t="str">
        <f t="shared" si="1"/>
        <v/>
      </c>
      <c r="I101" s="26"/>
      <c r="J101" s="26"/>
    </row>
    <row r="102" spans="1:10" ht="14.65" customHeight="1">
      <c r="A102" s="22"/>
      <c r="B102" s="19"/>
      <c r="C102" s="20"/>
      <c r="D102" s="20"/>
      <c r="E102" s="23"/>
      <c r="F102" s="23"/>
      <c r="G102" s="20"/>
      <c r="H102" s="21" t="str">
        <f t="shared" si="1"/>
        <v/>
      </c>
      <c r="I102" s="26"/>
      <c r="J102" s="26"/>
    </row>
    <row r="103" spans="1:10" ht="14.65" customHeight="1">
      <c r="A103" s="22"/>
      <c r="B103" s="19"/>
      <c r="C103" s="20"/>
      <c r="D103" s="20"/>
      <c r="E103" s="23"/>
      <c r="F103" s="23"/>
      <c r="G103" s="20"/>
      <c r="H103" s="21" t="str">
        <f t="shared" si="1"/>
        <v/>
      </c>
      <c r="I103" s="26"/>
      <c r="J103" s="26"/>
    </row>
    <row r="104" spans="1:10" ht="14.65" customHeight="1">
      <c r="A104" s="22"/>
      <c r="B104" s="19"/>
      <c r="C104" s="20"/>
      <c r="D104" s="20"/>
      <c r="E104" s="23"/>
      <c r="F104" s="23"/>
      <c r="G104" s="20"/>
      <c r="H104" s="21" t="str">
        <f t="shared" si="1"/>
        <v/>
      </c>
      <c r="I104" s="26"/>
      <c r="J104" s="26"/>
    </row>
    <row r="105" spans="1:10" ht="14.65" customHeight="1">
      <c r="A105" s="22"/>
      <c r="B105" s="19"/>
      <c r="C105" s="20"/>
      <c r="D105" s="20"/>
      <c r="E105" s="23"/>
      <c r="F105" s="23"/>
      <c r="G105" s="20"/>
      <c r="H105" s="21" t="str">
        <f t="shared" si="1"/>
        <v/>
      </c>
      <c r="I105" s="26"/>
      <c r="J105" s="26"/>
    </row>
    <row r="106" spans="1:10" ht="14.65" customHeight="1">
      <c r="A106" s="22"/>
      <c r="B106" s="19"/>
      <c r="C106" s="20"/>
      <c r="D106" s="20"/>
      <c r="E106" s="23"/>
      <c r="F106" s="23"/>
      <c r="G106" s="20"/>
      <c r="H106" s="21" t="str">
        <f t="shared" si="1"/>
        <v/>
      </c>
      <c r="I106" s="26"/>
      <c r="J106" s="26"/>
    </row>
    <row r="107" spans="1:10" ht="14.65" customHeight="1">
      <c r="A107" s="22"/>
      <c r="B107" s="19"/>
      <c r="C107" s="20"/>
      <c r="D107" s="20"/>
      <c r="E107" s="23"/>
      <c r="F107" s="23"/>
      <c r="G107" s="20"/>
      <c r="H107" s="21" t="str">
        <f t="shared" si="1"/>
        <v/>
      </c>
      <c r="I107" s="26"/>
      <c r="J107" s="26"/>
    </row>
    <row r="108" spans="1:10" ht="14.65" customHeight="1">
      <c r="A108" s="22"/>
      <c r="B108" s="19"/>
      <c r="C108" s="20"/>
      <c r="D108" s="20"/>
      <c r="E108" s="23"/>
      <c r="F108" s="23"/>
      <c r="G108" s="20"/>
      <c r="H108" s="21" t="str">
        <f t="shared" si="1"/>
        <v/>
      </c>
      <c r="I108" s="26"/>
      <c r="J108" s="26"/>
    </row>
    <row r="109" spans="1:10" ht="14.65" customHeight="1">
      <c r="A109" s="22"/>
      <c r="B109" s="19"/>
      <c r="C109" s="20"/>
      <c r="D109" s="20"/>
      <c r="E109" s="23"/>
      <c r="F109" s="23"/>
      <c r="G109" s="20"/>
      <c r="H109" s="21" t="str">
        <f t="shared" si="1"/>
        <v/>
      </c>
      <c r="I109" s="26"/>
      <c r="J109" s="26"/>
    </row>
    <row r="110" spans="1:10" ht="14.65" customHeight="1">
      <c r="A110" s="22"/>
      <c r="B110" s="19"/>
      <c r="C110" s="20"/>
      <c r="D110" s="20"/>
      <c r="E110" s="23"/>
      <c r="F110" s="23"/>
      <c r="G110" s="20"/>
      <c r="H110" s="21" t="str">
        <f t="shared" si="1"/>
        <v/>
      </c>
      <c r="I110" s="26"/>
      <c r="J110" s="26"/>
    </row>
    <row r="111" spans="1:10" ht="14.65" customHeight="1">
      <c r="A111" s="22"/>
      <c r="B111" s="19"/>
      <c r="C111" s="20"/>
      <c r="D111" s="20"/>
      <c r="E111" s="23"/>
      <c r="F111" s="23"/>
      <c r="G111" s="20"/>
      <c r="H111" s="21" t="str">
        <f t="shared" si="1"/>
        <v/>
      </c>
      <c r="I111" s="26"/>
      <c r="J111" s="26"/>
    </row>
    <row r="112" spans="1:10" ht="14.65" customHeight="1">
      <c r="A112" s="22"/>
      <c r="B112" s="19"/>
      <c r="C112" s="20"/>
      <c r="D112" s="20"/>
      <c r="E112" s="23"/>
      <c r="F112" s="23"/>
      <c r="G112" s="20"/>
      <c r="H112" s="21" t="str">
        <f t="shared" si="1"/>
        <v/>
      </c>
      <c r="I112" s="26"/>
      <c r="J112" s="26"/>
    </row>
    <row r="113" spans="1:10" ht="14.65" customHeight="1">
      <c r="A113" s="22"/>
      <c r="B113" s="19"/>
      <c r="C113" s="20"/>
      <c r="D113" s="20"/>
      <c r="E113" s="23"/>
      <c r="F113" s="23"/>
      <c r="G113" s="20"/>
      <c r="H113" s="21" t="str">
        <f t="shared" si="1"/>
        <v/>
      </c>
      <c r="I113" s="26"/>
      <c r="J113" s="26"/>
    </row>
    <row r="114" spans="1:10" ht="14.65" customHeight="1">
      <c r="A114" s="22"/>
      <c r="B114" s="19"/>
      <c r="C114" s="20"/>
      <c r="D114" s="20"/>
      <c r="E114" s="23"/>
      <c r="F114" s="23"/>
      <c r="G114" s="20"/>
      <c r="H114" s="21" t="str">
        <f t="shared" si="1"/>
        <v/>
      </c>
      <c r="I114" s="26"/>
      <c r="J114" s="26"/>
    </row>
    <row r="115" spans="1:10" ht="14.65" customHeight="1">
      <c r="A115" s="22"/>
      <c r="B115" s="19"/>
      <c r="C115" s="20"/>
      <c r="D115" s="20"/>
      <c r="E115" s="23"/>
      <c r="F115" s="23"/>
      <c r="G115" s="20"/>
      <c r="H115" s="21" t="str">
        <f t="shared" si="1"/>
        <v/>
      </c>
      <c r="I115" s="26"/>
      <c r="J115" s="26"/>
    </row>
    <row r="116" spans="1:10" ht="14.65" customHeight="1">
      <c r="A116" s="22"/>
      <c r="B116" s="19"/>
      <c r="C116" s="20"/>
      <c r="D116" s="20"/>
      <c r="E116" s="23"/>
      <c r="F116" s="23"/>
      <c r="G116" s="20"/>
      <c r="H116" s="21" t="str">
        <f t="shared" si="1"/>
        <v/>
      </c>
      <c r="I116" s="26"/>
      <c r="J116" s="26"/>
    </row>
    <row r="117" spans="1:10" ht="14.65" customHeight="1">
      <c r="A117" s="22"/>
      <c r="B117" s="19"/>
      <c r="C117" s="20"/>
      <c r="D117" s="20"/>
      <c r="E117" s="23"/>
      <c r="F117" s="23"/>
      <c r="G117" s="20"/>
      <c r="H117" s="21" t="str">
        <f t="shared" si="1"/>
        <v/>
      </c>
      <c r="I117" s="26"/>
      <c r="J117" s="26"/>
    </row>
    <row r="118" spans="1:10" ht="14.65" customHeight="1">
      <c r="A118" s="22"/>
      <c r="B118" s="19"/>
      <c r="C118" s="20"/>
      <c r="D118" s="20"/>
      <c r="E118" s="23"/>
      <c r="F118" s="23"/>
      <c r="G118" s="20"/>
      <c r="H118" s="21" t="str">
        <f t="shared" si="1"/>
        <v/>
      </c>
      <c r="I118" s="26"/>
      <c r="J118" s="26"/>
    </row>
    <row r="119" spans="1:10" ht="14.65" customHeight="1">
      <c r="A119" s="22"/>
      <c r="B119" s="19"/>
      <c r="C119" s="20"/>
      <c r="D119" s="20"/>
      <c r="E119" s="23"/>
      <c r="F119" s="23"/>
      <c r="G119" s="20"/>
      <c r="H119" s="21" t="str">
        <f t="shared" si="1"/>
        <v/>
      </c>
      <c r="I119" s="26"/>
      <c r="J119" s="26"/>
    </row>
    <row r="120" spans="1:10" ht="14.65" customHeight="1">
      <c r="A120" s="22"/>
      <c r="B120" s="19"/>
      <c r="C120" s="20"/>
      <c r="D120" s="20"/>
      <c r="E120" s="23"/>
      <c r="F120" s="23"/>
      <c r="G120" s="20"/>
      <c r="H120" s="21" t="str">
        <f t="shared" si="1"/>
        <v/>
      </c>
      <c r="I120" s="26"/>
      <c r="J120" s="26"/>
    </row>
    <row r="121" spans="1:10" ht="14.65" customHeight="1">
      <c r="A121" s="22"/>
      <c r="B121" s="19"/>
      <c r="C121" s="20"/>
      <c r="D121" s="20"/>
      <c r="E121" s="23"/>
      <c r="F121" s="23"/>
      <c r="G121" s="20"/>
      <c r="H121" s="21" t="str">
        <f t="shared" si="1"/>
        <v/>
      </c>
      <c r="I121" s="26"/>
      <c r="J121" s="26"/>
    </row>
    <row r="122" spans="1:10" ht="14.65" customHeight="1">
      <c r="A122" s="22"/>
      <c r="B122" s="19"/>
      <c r="C122" s="20"/>
      <c r="D122" s="20"/>
      <c r="E122" s="23"/>
      <c r="F122" s="23"/>
      <c r="G122" s="20"/>
      <c r="H122" s="21" t="str">
        <f t="shared" si="1"/>
        <v/>
      </c>
      <c r="I122" s="26"/>
      <c r="J122" s="26"/>
    </row>
    <row r="123" spans="1:10" ht="14.65" customHeight="1">
      <c r="A123" s="22"/>
      <c r="B123" s="19"/>
      <c r="C123" s="20"/>
      <c r="D123" s="20"/>
      <c r="E123" s="23"/>
      <c r="F123" s="23"/>
      <c r="G123" s="20"/>
      <c r="H123" s="21" t="str">
        <f t="shared" si="1"/>
        <v/>
      </c>
      <c r="I123" s="26"/>
      <c r="J123" s="26"/>
    </row>
    <row r="124" spans="1:10" ht="14.65" customHeight="1">
      <c r="A124" s="22"/>
      <c r="B124" s="19"/>
      <c r="C124" s="20"/>
      <c r="D124" s="20"/>
      <c r="E124" s="23"/>
      <c r="F124" s="23"/>
      <c r="G124" s="20"/>
      <c r="H124" s="21" t="str">
        <f t="shared" si="1"/>
        <v/>
      </c>
      <c r="I124" s="26"/>
      <c r="J124" s="26"/>
    </row>
    <row r="125" spans="1:10" ht="14.65" customHeight="1">
      <c r="A125" s="22"/>
      <c r="B125" s="19"/>
      <c r="C125" s="20"/>
      <c r="D125" s="20"/>
      <c r="E125" s="23"/>
      <c r="F125" s="23"/>
      <c r="G125" s="20"/>
      <c r="H125" s="21" t="str">
        <f t="shared" si="1"/>
        <v/>
      </c>
      <c r="I125" s="26"/>
      <c r="J125" s="26"/>
    </row>
    <row r="126" spans="1:10" ht="14.65" customHeight="1">
      <c r="A126" s="22"/>
      <c r="B126" s="19"/>
      <c r="C126" s="20"/>
      <c r="D126" s="20"/>
      <c r="E126" s="23"/>
      <c r="F126" s="23"/>
      <c r="G126" s="20"/>
      <c r="H126" s="21" t="str">
        <f t="shared" si="1"/>
        <v/>
      </c>
      <c r="I126" s="26"/>
      <c r="J126" s="26"/>
    </row>
    <row r="127" spans="1:10" ht="14.65" customHeight="1">
      <c r="A127" s="22"/>
      <c r="B127" s="19"/>
      <c r="C127" s="20"/>
      <c r="D127" s="20"/>
      <c r="E127" s="23"/>
      <c r="F127" s="23"/>
      <c r="G127" s="20"/>
      <c r="H127" s="21" t="str">
        <f t="shared" si="1"/>
        <v/>
      </c>
      <c r="I127" s="26"/>
      <c r="J127" s="26"/>
    </row>
    <row r="128" spans="1:10" ht="14.65" customHeight="1">
      <c r="A128" s="22"/>
      <c r="B128" s="19"/>
      <c r="C128" s="20"/>
      <c r="D128" s="20"/>
      <c r="E128" s="23"/>
      <c r="F128" s="23"/>
      <c r="G128" s="20"/>
      <c r="H128" s="21" t="str">
        <f t="shared" si="1"/>
        <v/>
      </c>
      <c r="I128" s="26"/>
      <c r="J128" s="26"/>
    </row>
    <row r="129" spans="1:10" ht="14.65" customHeight="1">
      <c r="A129" s="22"/>
      <c r="B129" s="19"/>
      <c r="C129" s="20"/>
      <c r="D129" s="20"/>
      <c r="E129" s="23"/>
      <c r="F129" s="23"/>
      <c r="G129" s="20"/>
      <c r="H129" s="21" t="str">
        <f t="shared" si="1"/>
        <v/>
      </c>
      <c r="I129" s="26"/>
      <c r="J129" s="26"/>
    </row>
    <row r="130" spans="1:10" ht="14.65" customHeight="1">
      <c r="A130" s="22"/>
      <c r="B130" s="19"/>
      <c r="C130" s="20"/>
      <c r="D130" s="20"/>
      <c r="E130" s="23"/>
      <c r="F130" s="23"/>
      <c r="G130" s="20"/>
      <c r="H130" s="21" t="str">
        <f t="shared" si="1"/>
        <v/>
      </c>
      <c r="I130" s="26"/>
      <c r="J130" s="26"/>
    </row>
    <row r="131" spans="1:10" ht="14.65" customHeight="1">
      <c r="A131" s="22"/>
      <c r="B131" s="19"/>
      <c r="C131" s="20"/>
      <c r="D131" s="20"/>
      <c r="E131" s="23"/>
      <c r="F131" s="23"/>
      <c r="G131" s="20"/>
      <c r="H131" s="21" t="str">
        <f t="shared" si="1"/>
        <v/>
      </c>
      <c r="I131" s="26"/>
      <c r="J131" s="26"/>
    </row>
    <row r="132" spans="1:10" ht="14.65" customHeight="1">
      <c r="A132" s="22"/>
      <c r="B132" s="19"/>
      <c r="C132" s="20"/>
      <c r="D132" s="20"/>
      <c r="E132" s="23"/>
      <c r="F132" s="23"/>
      <c r="G132" s="20"/>
      <c r="H132" s="21" t="str">
        <f t="shared" si="1"/>
        <v/>
      </c>
      <c r="I132" s="26"/>
      <c r="J132" s="26"/>
    </row>
    <row r="133" spans="1:10" ht="14.65" customHeight="1">
      <c r="A133" s="22"/>
      <c r="B133" s="19"/>
      <c r="C133" s="20"/>
      <c r="D133" s="20"/>
      <c r="E133" s="23"/>
      <c r="F133" s="23"/>
      <c r="G133" s="20"/>
      <c r="H133" s="21" t="str">
        <f t="shared" si="1"/>
        <v/>
      </c>
      <c r="I133" s="26"/>
      <c r="J133" s="26"/>
    </row>
    <row r="134" spans="1:10" ht="14.65" customHeight="1">
      <c r="A134" s="22"/>
      <c r="B134" s="19"/>
      <c r="C134" s="20"/>
      <c r="D134" s="20"/>
      <c r="E134" s="23"/>
      <c r="F134" s="23"/>
      <c r="G134" s="20"/>
      <c r="H134" s="21" t="str">
        <f t="shared" si="1"/>
        <v/>
      </c>
      <c r="I134" s="26"/>
      <c r="J134" s="26"/>
    </row>
    <row r="135" spans="1:10" ht="14.65" customHeight="1">
      <c r="A135" s="22"/>
      <c r="B135" s="19"/>
      <c r="C135" s="20"/>
      <c r="D135" s="20"/>
      <c r="E135" s="23"/>
      <c r="F135" s="23"/>
      <c r="G135" s="20"/>
      <c r="H135" s="21" t="str">
        <f t="shared" si="1"/>
        <v/>
      </c>
      <c r="I135" s="26"/>
      <c r="J135" s="26"/>
    </row>
    <row r="136" spans="1:10" ht="14.65" customHeight="1">
      <c r="A136" s="22"/>
      <c r="B136" s="19"/>
      <c r="C136" s="20"/>
      <c r="D136" s="20"/>
      <c r="E136" s="23"/>
      <c r="F136" s="23"/>
      <c r="G136" s="20"/>
      <c r="H136" s="21" t="str">
        <f t="shared" si="1"/>
        <v/>
      </c>
      <c r="I136" s="26"/>
      <c r="J136" s="26"/>
    </row>
    <row r="137" spans="1:10" ht="14.65" customHeight="1">
      <c r="A137" s="22"/>
      <c r="B137" s="19"/>
      <c r="C137" s="20"/>
      <c r="D137" s="20"/>
      <c r="E137" s="23"/>
      <c r="F137" s="23"/>
      <c r="G137" s="20"/>
      <c r="H137" s="21" t="str">
        <f t="shared" si="1"/>
        <v/>
      </c>
      <c r="I137" s="26"/>
      <c r="J137" s="26"/>
    </row>
    <row r="138" spans="1:10" ht="14.65" customHeight="1">
      <c r="A138" s="22"/>
      <c r="B138" s="19"/>
      <c r="C138" s="20"/>
      <c r="D138" s="20"/>
      <c r="E138" s="23"/>
      <c r="F138" s="23"/>
      <c r="G138" s="20"/>
      <c r="H138" s="21" t="str">
        <f t="shared" ref="H138:H201" si="2">IF(G138&lt;&gt;"",VLOOKUP(G138,ChartofAccountsTable,2,FALSE),"")</f>
        <v/>
      </c>
      <c r="I138" s="26"/>
      <c r="J138" s="26"/>
    </row>
    <row r="139" spans="1:10" ht="14.65" customHeight="1">
      <c r="A139" s="22"/>
      <c r="B139" s="19"/>
      <c r="C139" s="20"/>
      <c r="D139" s="20"/>
      <c r="E139" s="23"/>
      <c r="F139" s="23"/>
      <c r="G139" s="20"/>
      <c r="H139" s="21" t="str">
        <f t="shared" si="2"/>
        <v/>
      </c>
      <c r="I139" s="26"/>
      <c r="J139" s="26"/>
    </row>
    <row r="140" spans="1:10" ht="14.65" customHeight="1">
      <c r="A140" s="22"/>
      <c r="B140" s="19"/>
      <c r="C140" s="20"/>
      <c r="D140" s="20"/>
      <c r="E140" s="23"/>
      <c r="F140" s="23"/>
      <c r="G140" s="20"/>
      <c r="H140" s="21" t="str">
        <f t="shared" si="2"/>
        <v/>
      </c>
      <c r="I140" s="26"/>
      <c r="J140" s="26"/>
    </row>
    <row r="141" spans="1:10" ht="14.65" customHeight="1">
      <c r="A141" s="22"/>
      <c r="B141" s="19"/>
      <c r="C141" s="20"/>
      <c r="D141" s="20"/>
      <c r="E141" s="23"/>
      <c r="F141" s="23"/>
      <c r="G141" s="20"/>
      <c r="H141" s="21" t="str">
        <f t="shared" si="2"/>
        <v/>
      </c>
      <c r="I141" s="26"/>
      <c r="J141" s="26"/>
    </row>
    <row r="142" spans="1:10" ht="14.65" customHeight="1">
      <c r="A142" s="22"/>
      <c r="B142" s="19"/>
      <c r="C142" s="20"/>
      <c r="D142" s="20"/>
      <c r="E142" s="23"/>
      <c r="F142" s="23"/>
      <c r="G142" s="20"/>
      <c r="H142" s="21" t="str">
        <f t="shared" si="2"/>
        <v/>
      </c>
      <c r="I142" s="26"/>
      <c r="J142" s="26"/>
    </row>
    <row r="143" spans="1:10" ht="14.65" customHeight="1">
      <c r="A143" s="22"/>
      <c r="B143" s="19"/>
      <c r="C143" s="20"/>
      <c r="D143" s="20"/>
      <c r="E143" s="23"/>
      <c r="F143" s="23"/>
      <c r="G143" s="20"/>
      <c r="H143" s="21" t="str">
        <f t="shared" si="2"/>
        <v/>
      </c>
      <c r="I143" s="26"/>
      <c r="J143" s="26"/>
    </row>
    <row r="144" spans="1:10" ht="14.65" customHeight="1">
      <c r="A144" s="22"/>
      <c r="B144" s="19"/>
      <c r="C144" s="20"/>
      <c r="D144" s="20"/>
      <c r="E144" s="23"/>
      <c r="F144" s="23"/>
      <c r="G144" s="20"/>
      <c r="H144" s="21" t="str">
        <f t="shared" si="2"/>
        <v/>
      </c>
      <c r="I144" s="26"/>
      <c r="J144" s="26"/>
    </row>
    <row r="145" spans="1:10" ht="14.65" customHeight="1">
      <c r="A145" s="22"/>
      <c r="B145" s="19"/>
      <c r="C145" s="20"/>
      <c r="D145" s="20"/>
      <c r="E145" s="23"/>
      <c r="F145" s="23"/>
      <c r="G145" s="20"/>
      <c r="H145" s="21" t="str">
        <f t="shared" si="2"/>
        <v/>
      </c>
      <c r="I145" s="26"/>
      <c r="J145" s="26"/>
    </row>
    <row r="146" spans="1:10" ht="14.65" customHeight="1">
      <c r="A146" s="22"/>
      <c r="B146" s="19"/>
      <c r="C146" s="20"/>
      <c r="D146" s="20"/>
      <c r="E146" s="23"/>
      <c r="F146" s="23"/>
      <c r="G146" s="20"/>
      <c r="H146" s="21" t="str">
        <f t="shared" si="2"/>
        <v/>
      </c>
      <c r="I146" s="26"/>
      <c r="J146" s="26"/>
    </row>
    <row r="147" spans="1:10" ht="14.65" customHeight="1">
      <c r="A147" s="22"/>
      <c r="B147" s="19"/>
      <c r="C147" s="20"/>
      <c r="D147" s="20"/>
      <c r="E147" s="23"/>
      <c r="F147" s="23"/>
      <c r="G147" s="20"/>
      <c r="H147" s="21" t="str">
        <f t="shared" si="2"/>
        <v/>
      </c>
      <c r="I147" s="26"/>
      <c r="J147" s="26"/>
    </row>
    <row r="148" spans="1:10" ht="14.65" customHeight="1">
      <c r="A148" s="22"/>
      <c r="B148" s="19"/>
      <c r="C148" s="20"/>
      <c r="D148" s="20"/>
      <c r="E148" s="23"/>
      <c r="F148" s="23"/>
      <c r="G148" s="20"/>
      <c r="H148" s="21" t="str">
        <f t="shared" si="2"/>
        <v/>
      </c>
      <c r="I148" s="26"/>
      <c r="J148" s="26"/>
    </row>
    <row r="149" spans="1:10" ht="14.65" customHeight="1">
      <c r="A149" s="22"/>
      <c r="B149" s="19"/>
      <c r="C149" s="20"/>
      <c r="D149" s="20"/>
      <c r="E149" s="23"/>
      <c r="F149" s="23"/>
      <c r="G149" s="20"/>
      <c r="H149" s="21" t="str">
        <f t="shared" si="2"/>
        <v/>
      </c>
      <c r="I149" s="26"/>
      <c r="J149" s="26"/>
    </row>
    <row r="150" spans="1:10" ht="14.65" customHeight="1">
      <c r="A150" s="22"/>
      <c r="B150" s="19"/>
      <c r="C150" s="20"/>
      <c r="D150" s="20"/>
      <c r="E150" s="23"/>
      <c r="F150" s="23"/>
      <c r="G150" s="20"/>
      <c r="H150" s="21" t="str">
        <f t="shared" si="2"/>
        <v/>
      </c>
      <c r="I150" s="26"/>
      <c r="J150" s="26"/>
    </row>
    <row r="151" spans="1:10" ht="14.65" customHeight="1">
      <c r="A151" s="22"/>
      <c r="B151" s="19"/>
      <c r="C151" s="20"/>
      <c r="D151" s="20"/>
      <c r="E151" s="23"/>
      <c r="F151" s="23"/>
      <c r="G151" s="20"/>
      <c r="H151" s="21" t="str">
        <f t="shared" si="2"/>
        <v/>
      </c>
      <c r="I151" s="26"/>
      <c r="J151" s="26"/>
    </row>
    <row r="152" spans="1:10" ht="14.65" customHeight="1">
      <c r="A152" s="22"/>
      <c r="B152" s="19"/>
      <c r="C152" s="20"/>
      <c r="D152" s="20"/>
      <c r="E152" s="23"/>
      <c r="F152" s="23"/>
      <c r="G152" s="20"/>
      <c r="H152" s="21" t="str">
        <f t="shared" si="2"/>
        <v/>
      </c>
      <c r="I152" s="26"/>
      <c r="J152" s="26"/>
    </row>
    <row r="153" spans="1:10" ht="14.65" customHeight="1">
      <c r="A153" s="22"/>
      <c r="B153" s="19"/>
      <c r="C153" s="20"/>
      <c r="D153" s="20"/>
      <c r="E153" s="23"/>
      <c r="F153" s="23"/>
      <c r="G153" s="20"/>
      <c r="H153" s="21" t="str">
        <f t="shared" si="2"/>
        <v/>
      </c>
      <c r="I153" s="26"/>
      <c r="J153" s="26"/>
    </row>
    <row r="154" spans="1:10" ht="14.65" customHeight="1">
      <c r="A154" s="22"/>
      <c r="B154" s="19"/>
      <c r="C154" s="20"/>
      <c r="D154" s="20"/>
      <c r="E154" s="23"/>
      <c r="F154" s="23"/>
      <c r="G154" s="20"/>
      <c r="H154" s="21" t="str">
        <f t="shared" si="2"/>
        <v/>
      </c>
      <c r="I154" s="26"/>
      <c r="J154" s="26"/>
    </row>
    <row r="155" spans="1:10" ht="14.65" customHeight="1">
      <c r="A155" s="22"/>
      <c r="B155" s="19"/>
      <c r="C155" s="20"/>
      <c r="D155" s="20"/>
      <c r="E155" s="23"/>
      <c r="F155" s="23"/>
      <c r="G155" s="20"/>
      <c r="H155" s="21" t="str">
        <f t="shared" si="2"/>
        <v/>
      </c>
      <c r="I155" s="26"/>
      <c r="J155" s="26"/>
    </row>
    <row r="156" spans="1:10" ht="14.65" customHeight="1">
      <c r="A156" s="22"/>
      <c r="B156" s="19"/>
      <c r="C156" s="20"/>
      <c r="D156" s="20"/>
      <c r="E156" s="23"/>
      <c r="F156" s="23"/>
      <c r="G156" s="20"/>
      <c r="H156" s="21" t="str">
        <f t="shared" si="2"/>
        <v/>
      </c>
      <c r="I156" s="26"/>
      <c r="J156" s="26"/>
    </row>
    <row r="157" spans="1:10" ht="14.65" customHeight="1">
      <c r="A157" s="22"/>
      <c r="B157" s="19"/>
      <c r="C157" s="20"/>
      <c r="D157" s="20"/>
      <c r="E157" s="23"/>
      <c r="F157" s="23"/>
      <c r="G157" s="20"/>
      <c r="H157" s="21" t="str">
        <f t="shared" si="2"/>
        <v/>
      </c>
      <c r="I157" s="26"/>
      <c r="J157" s="26"/>
    </row>
    <row r="158" spans="1:10" ht="14.65" customHeight="1">
      <c r="A158" s="22"/>
      <c r="B158" s="19"/>
      <c r="C158" s="20"/>
      <c r="D158" s="20"/>
      <c r="E158" s="23"/>
      <c r="F158" s="23"/>
      <c r="G158" s="20"/>
      <c r="H158" s="21" t="str">
        <f t="shared" si="2"/>
        <v/>
      </c>
      <c r="I158" s="26"/>
      <c r="J158" s="26"/>
    </row>
    <row r="159" spans="1:10" ht="14.65" customHeight="1">
      <c r="A159" s="22"/>
      <c r="B159" s="19"/>
      <c r="C159" s="20"/>
      <c r="D159" s="20"/>
      <c r="E159" s="23"/>
      <c r="F159" s="23"/>
      <c r="G159" s="20"/>
      <c r="H159" s="21" t="str">
        <f t="shared" si="2"/>
        <v/>
      </c>
      <c r="I159" s="26"/>
      <c r="J159" s="26"/>
    </row>
    <row r="160" spans="1:10" ht="14.65" customHeight="1">
      <c r="A160" s="22"/>
      <c r="B160" s="19"/>
      <c r="C160" s="20"/>
      <c r="D160" s="20"/>
      <c r="E160" s="23"/>
      <c r="F160" s="23"/>
      <c r="G160" s="20"/>
      <c r="H160" s="21" t="str">
        <f t="shared" si="2"/>
        <v/>
      </c>
      <c r="I160" s="26"/>
      <c r="J160" s="26"/>
    </row>
    <row r="161" spans="1:10" ht="14.65" customHeight="1">
      <c r="A161" s="22"/>
      <c r="B161" s="19"/>
      <c r="C161" s="20"/>
      <c r="D161" s="20"/>
      <c r="E161" s="23"/>
      <c r="F161" s="23"/>
      <c r="G161" s="20"/>
      <c r="H161" s="21" t="str">
        <f t="shared" si="2"/>
        <v/>
      </c>
      <c r="I161" s="26"/>
      <c r="J161" s="26"/>
    </row>
    <row r="162" spans="1:10" ht="14.65" customHeight="1">
      <c r="A162" s="22"/>
      <c r="B162" s="19"/>
      <c r="C162" s="20"/>
      <c r="D162" s="20"/>
      <c r="E162" s="23"/>
      <c r="F162" s="23"/>
      <c r="G162" s="20"/>
      <c r="H162" s="21" t="str">
        <f t="shared" si="2"/>
        <v/>
      </c>
      <c r="I162" s="26"/>
      <c r="J162" s="26"/>
    </row>
    <row r="163" spans="1:10" ht="14.65" customHeight="1">
      <c r="A163" s="22"/>
      <c r="B163" s="19"/>
      <c r="C163" s="20"/>
      <c r="D163" s="20"/>
      <c r="E163" s="23"/>
      <c r="F163" s="23"/>
      <c r="G163" s="20"/>
      <c r="H163" s="21" t="str">
        <f t="shared" si="2"/>
        <v/>
      </c>
      <c r="I163" s="26"/>
      <c r="J163" s="26"/>
    </row>
    <row r="164" spans="1:10" ht="14.65" customHeight="1">
      <c r="A164" s="22"/>
      <c r="B164" s="19"/>
      <c r="C164" s="20"/>
      <c r="D164" s="20"/>
      <c r="E164" s="23"/>
      <c r="F164" s="23"/>
      <c r="G164" s="20"/>
      <c r="H164" s="21" t="str">
        <f t="shared" si="2"/>
        <v/>
      </c>
      <c r="I164" s="26"/>
      <c r="J164" s="26"/>
    </row>
    <row r="165" spans="1:10" ht="14.65" customHeight="1">
      <c r="A165" s="22"/>
      <c r="B165" s="19"/>
      <c r="C165" s="20"/>
      <c r="D165" s="20"/>
      <c r="E165" s="23"/>
      <c r="F165" s="23"/>
      <c r="G165" s="20"/>
      <c r="H165" s="21" t="str">
        <f t="shared" si="2"/>
        <v/>
      </c>
      <c r="I165" s="26"/>
      <c r="J165" s="26"/>
    </row>
    <row r="166" spans="1:10" ht="14.65" customHeight="1">
      <c r="A166" s="22"/>
      <c r="B166" s="19"/>
      <c r="C166" s="20"/>
      <c r="D166" s="20"/>
      <c r="E166" s="23"/>
      <c r="F166" s="23"/>
      <c r="G166" s="20"/>
      <c r="H166" s="21" t="str">
        <f t="shared" si="2"/>
        <v/>
      </c>
      <c r="I166" s="26"/>
      <c r="J166" s="26"/>
    </row>
    <row r="167" spans="1:10" ht="14.65" customHeight="1">
      <c r="A167" s="22"/>
      <c r="B167" s="19"/>
      <c r="C167" s="20"/>
      <c r="D167" s="20"/>
      <c r="E167" s="23"/>
      <c r="F167" s="23"/>
      <c r="G167" s="20"/>
      <c r="H167" s="21" t="str">
        <f t="shared" si="2"/>
        <v/>
      </c>
      <c r="I167" s="26"/>
      <c r="J167" s="26"/>
    </row>
    <row r="168" spans="1:10" ht="14.65" customHeight="1">
      <c r="A168" s="22"/>
      <c r="B168" s="19"/>
      <c r="C168" s="20"/>
      <c r="D168" s="20"/>
      <c r="E168" s="23"/>
      <c r="F168" s="23"/>
      <c r="G168" s="20"/>
      <c r="H168" s="21" t="str">
        <f t="shared" si="2"/>
        <v/>
      </c>
      <c r="I168" s="26"/>
      <c r="J168" s="26"/>
    </row>
    <row r="169" spans="1:10" ht="14.65" customHeight="1">
      <c r="A169" s="22"/>
      <c r="B169" s="19"/>
      <c r="C169" s="20"/>
      <c r="D169" s="20"/>
      <c r="E169" s="23"/>
      <c r="F169" s="23"/>
      <c r="G169" s="20"/>
      <c r="H169" s="21" t="str">
        <f t="shared" si="2"/>
        <v/>
      </c>
      <c r="I169" s="26"/>
      <c r="J169" s="26"/>
    </row>
    <row r="170" spans="1:10" ht="14.65" customHeight="1">
      <c r="A170" s="22"/>
      <c r="B170" s="19"/>
      <c r="C170" s="20"/>
      <c r="D170" s="20"/>
      <c r="E170" s="23"/>
      <c r="F170" s="23"/>
      <c r="G170" s="20"/>
      <c r="H170" s="21" t="str">
        <f t="shared" si="2"/>
        <v/>
      </c>
      <c r="I170" s="26"/>
      <c r="J170" s="26"/>
    </row>
    <row r="171" spans="1:10" ht="14.65" customHeight="1">
      <c r="A171" s="22"/>
      <c r="B171" s="19"/>
      <c r="C171" s="20"/>
      <c r="D171" s="20"/>
      <c r="E171" s="23"/>
      <c r="F171" s="23"/>
      <c r="G171" s="20"/>
      <c r="H171" s="21" t="str">
        <f t="shared" si="2"/>
        <v/>
      </c>
      <c r="I171" s="26"/>
      <c r="J171" s="26"/>
    </row>
    <row r="172" spans="1:10" ht="14.65" customHeight="1">
      <c r="A172" s="22"/>
      <c r="B172" s="19"/>
      <c r="C172" s="20"/>
      <c r="D172" s="20"/>
      <c r="E172" s="23"/>
      <c r="F172" s="23"/>
      <c r="G172" s="20"/>
      <c r="H172" s="21" t="str">
        <f t="shared" si="2"/>
        <v/>
      </c>
      <c r="I172" s="26"/>
      <c r="J172" s="26"/>
    </row>
    <row r="173" spans="1:10" ht="14.65" customHeight="1">
      <c r="A173" s="22"/>
      <c r="B173" s="19"/>
      <c r="C173" s="20"/>
      <c r="D173" s="20"/>
      <c r="E173" s="23"/>
      <c r="F173" s="23"/>
      <c r="G173" s="20"/>
      <c r="H173" s="21" t="str">
        <f t="shared" si="2"/>
        <v/>
      </c>
      <c r="I173" s="26"/>
      <c r="J173" s="26"/>
    </row>
    <row r="174" spans="1:10" ht="14.65" customHeight="1">
      <c r="A174" s="22"/>
      <c r="B174" s="19"/>
      <c r="C174" s="20"/>
      <c r="D174" s="20"/>
      <c r="E174" s="23"/>
      <c r="F174" s="23"/>
      <c r="G174" s="20"/>
      <c r="H174" s="21" t="str">
        <f t="shared" si="2"/>
        <v/>
      </c>
      <c r="I174" s="26"/>
      <c r="J174" s="26"/>
    </row>
    <row r="175" spans="1:10" ht="14.65" customHeight="1">
      <c r="A175" s="22"/>
      <c r="B175" s="19"/>
      <c r="C175" s="20"/>
      <c r="D175" s="20"/>
      <c r="E175" s="23"/>
      <c r="F175" s="23"/>
      <c r="G175" s="20"/>
      <c r="H175" s="21" t="str">
        <f t="shared" si="2"/>
        <v/>
      </c>
      <c r="I175" s="26"/>
      <c r="J175" s="26"/>
    </row>
    <row r="176" spans="1:10" ht="14.65" customHeight="1">
      <c r="A176" s="22"/>
      <c r="B176" s="19"/>
      <c r="C176" s="20"/>
      <c r="D176" s="20"/>
      <c r="E176" s="23"/>
      <c r="F176" s="23"/>
      <c r="G176" s="20"/>
      <c r="H176" s="21" t="str">
        <f t="shared" si="2"/>
        <v/>
      </c>
      <c r="I176" s="26"/>
      <c r="J176" s="26"/>
    </row>
    <row r="177" spans="1:10" ht="14.65" customHeight="1">
      <c r="A177" s="22"/>
      <c r="B177" s="19"/>
      <c r="C177" s="20"/>
      <c r="D177" s="20"/>
      <c r="E177" s="23"/>
      <c r="F177" s="23"/>
      <c r="G177" s="20"/>
      <c r="H177" s="21" t="str">
        <f t="shared" si="2"/>
        <v/>
      </c>
      <c r="I177" s="26"/>
      <c r="J177" s="26"/>
    </row>
    <row r="178" spans="1:10" ht="14.65" customHeight="1">
      <c r="A178" s="22"/>
      <c r="B178" s="19"/>
      <c r="C178" s="20"/>
      <c r="D178" s="20"/>
      <c r="E178" s="23"/>
      <c r="F178" s="23"/>
      <c r="G178" s="20"/>
      <c r="H178" s="21" t="str">
        <f t="shared" si="2"/>
        <v/>
      </c>
      <c r="I178" s="26"/>
      <c r="J178" s="26"/>
    </row>
    <row r="179" spans="1:10" ht="14.65" customHeight="1">
      <c r="A179" s="22"/>
      <c r="B179" s="19"/>
      <c r="C179" s="20"/>
      <c r="D179" s="20"/>
      <c r="E179" s="23"/>
      <c r="F179" s="23"/>
      <c r="G179" s="20"/>
      <c r="H179" s="21" t="str">
        <f t="shared" si="2"/>
        <v/>
      </c>
      <c r="I179" s="26"/>
      <c r="J179" s="26"/>
    </row>
    <row r="180" spans="1:10" ht="14.65" customHeight="1">
      <c r="A180" s="22"/>
      <c r="B180" s="19"/>
      <c r="C180" s="20"/>
      <c r="D180" s="20"/>
      <c r="E180" s="23"/>
      <c r="F180" s="23"/>
      <c r="G180" s="20"/>
      <c r="H180" s="21" t="str">
        <f t="shared" si="2"/>
        <v/>
      </c>
      <c r="I180" s="26"/>
      <c r="J180" s="26"/>
    </row>
    <row r="181" spans="1:10" ht="14.65" customHeight="1">
      <c r="A181" s="22"/>
      <c r="B181" s="19"/>
      <c r="C181" s="20"/>
      <c r="D181" s="20"/>
      <c r="E181" s="23"/>
      <c r="F181" s="23"/>
      <c r="G181" s="20"/>
      <c r="H181" s="21" t="str">
        <f t="shared" si="2"/>
        <v/>
      </c>
      <c r="I181" s="26"/>
      <c r="J181" s="26"/>
    </row>
    <row r="182" spans="1:10" ht="14.65" customHeight="1">
      <c r="A182" s="22"/>
      <c r="B182" s="19"/>
      <c r="C182" s="20"/>
      <c r="D182" s="20"/>
      <c r="E182" s="23"/>
      <c r="F182" s="23"/>
      <c r="G182" s="20"/>
      <c r="H182" s="21" t="str">
        <f t="shared" si="2"/>
        <v/>
      </c>
      <c r="I182" s="26"/>
      <c r="J182" s="26"/>
    </row>
    <row r="183" spans="1:10" ht="14.65" customHeight="1">
      <c r="A183" s="22"/>
      <c r="B183" s="19"/>
      <c r="C183" s="20"/>
      <c r="D183" s="20"/>
      <c r="E183" s="23"/>
      <c r="F183" s="23"/>
      <c r="G183" s="20"/>
      <c r="H183" s="21" t="str">
        <f t="shared" si="2"/>
        <v/>
      </c>
      <c r="I183" s="26"/>
      <c r="J183" s="26"/>
    </row>
    <row r="184" spans="1:10" ht="14.65" customHeight="1">
      <c r="A184" s="22"/>
      <c r="B184" s="19"/>
      <c r="C184" s="20"/>
      <c r="D184" s="20"/>
      <c r="E184" s="23"/>
      <c r="F184" s="23"/>
      <c r="G184" s="20"/>
      <c r="H184" s="21" t="str">
        <f t="shared" si="2"/>
        <v/>
      </c>
      <c r="I184" s="26"/>
      <c r="J184" s="26"/>
    </row>
    <row r="185" spans="1:10" ht="14.65" customHeight="1">
      <c r="A185" s="22"/>
      <c r="B185" s="19"/>
      <c r="C185" s="20"/>
      <c r="D185" s="20"/>
      <c r="E185" s="23"/>
      <c r="F185" s="23"/>
      <c r="G185" s="20"/>
      <c r="H185" s="21" t="str">
        <f t="shared" si="2"/>
        <v/>
      </c>
      <c r="I185" s="26"/>
      <c r="J185" s="26"/>
    </row>
    <row r="186" spans="1:10" ht="14.65" customHeight="1">
      <c r="A186" s="22"/>
      <c r="B186" s="19"/>
      <c r="C186" s="20"/>
      <c r="D186" s="20"/>
      <c r="E186" s="23"/>
      <c r="F186" s="23"/>
      <c r="G186" s="20"/>
      <c r="H186" s="21" t="str">
        <f t="shared" si="2"/>
        <v/>
      </c>
      <c r="I186" s="26"/>
      <c r="J186" s="26"/>
    </row>
    <row r="187" spans="1:10" ht="14.65" customHeight="1">
      <c r="A187" s="22"/>
      <c r="B187" s="19"/>
      <c r="C187" s="20"/>
      <c r="D187" s="20"/>
      <c r="E187" s="23"/>
      <c r="F187" s="23"/>
      <c r="G187" s="20"/>
      <c r="H187" s="21" t="str">
        <f t="shared" si="2"/>
        <v/>
      </c>
      <c r="I187" s="26"/>
      <c r="J187" s="26"/>
    </row>
    <row r="188" spans="1:10" ht="14.65" customHeight="1">
      <c r="A188" s="22"/>
      <c r="B188" s="19"/>
      <c r="C188" s="20"/>
      <c r="D188" s="20"/>
      <c r="E188" s="23"/>
      <c r="F188" s="23"/>
      <c r="G188" s="20"/>
      <c r="H188" s="21" t="str">
        <f t="shared" si="2"/>
        <v/>
      </c>
      <c r="I188" s="26"/>
      <c r="J188" s="26"/>
    </row>
    <row r="189" spans="1:10" ht="14.65" customHeight="1">
      <c r="A189" s="22"/>
      <c r="B189" s="19"/>
      <c r="C189" s="20"/>
      <c r="D189" s="20"/>
      <c r="E189" s="23"/>
      <c r="F189" s="23"/>
      <c r="G189" s="20"/>
      <c r="H189" s="21" t="str">
        <f t="shared" si="2"/>
        <v/>
      </c>
      <c r="I189" s="26"/>
      <c r="J189" s="26"/>
    </row>
    <row r="190" spans="1:10" ht="14.65" customHeight="1">
      <c r="A190" s="22"/>
      <c r="B190" s="19"/>
      <c r="C190" s="20"/>
      <c r="D190" s="20"/>
      <c r="E190" s="23"/>
      <c r="F190" s="23"/>
      <c r="G190" s="20"/>
      <c r="H190" s="21" t="str">
        <f t="shared" si="2"/>
        <v/>
      </c>
      <c r="I190" s="26"/>
      <c r="J190" s="26"/>
    </row>
    <row r="191" spans="1:10" ht="14.65" customHeight="1">
      <c r="A191" s="22"/>
      <c r="B191" s="19"/>
      <c r="C191" s="20"/>
      <c r="D191" s="20"/>
      <c r="E191" s="23"/>
      <c r="F191" s="23"/>
      <c r="G191" s="20"/>
      <c r="H191" s="21" t="str">
        <f t="shared" si="2"/>
        <v/>
      </c>
      <c r="I191" s="26"/>
      <c r="J191" s="26"/>
    </row>
    <row r="192" spans="1:10" ht="14.65" customHeight="1">
      <c r="A192" s="22"/>
      <c r="B192" s="19"/>
      <c r="C192" s="20"/>
      <c r="D192" s="20"/>
      <c r="E192" s="23"/>
      <c r="F192" s="23"/>
      <c r="G192" s="20"/>
      <c r="H192" s="21" t="str">
        <f t="shared" si="2"/>
        <v/>
      </c>
      <c r="I192" s="26"/>
      <c r="J192" s="26"/>
    </row>
    <row r="193" spans="1:10" ht="14.65" customHeight="1">
      <c r="A193" s="22"/>
      <c r="B193" s="19"/>
      <c r="C193" s="20"/>
      <c r="D193" s="20"/>
      <c r="E193" s="23"/>
      <c r="F193" s="23"/>
      <c r="G193" s="20"/>
      <c r="H193" s="21" t="str">
        <f t="shared" si="2"/>
        <v/>
      </c>
      <c r="I193" s="26"/>
      <c r="J193" s="26"/>
    </row>
    <row r="194" spans="1:10" ht="14.65" customHeight="1">
      <c r="A194" s="22"/>
      <c r="B194" s="19"/>
      <c r="C194" s="20"/>
      <c r="D194" s="20"/>
      <c r="E194" s="23"/>
      <c r="F194" s="23"/>
      <c r="G194" s="20"/>
      <c r="H194" s="21" t="str">
        <f t="shared" si="2"/>
        <v/>
      </c>
      <c r="I194" s="26"/>
      <c r="J194" s="26"/>
    </row>
    <row r="195" spans="1:10" ht="14.65" customHeight="1">
      <c r="A195" s="22"/>
      <c r="B195" s="19"/>
      <c r="C195" s="20"/>
      <c r="D195" s="20"/>
      <c r="E195" s="23"/>
      <c r="F195" s="23"/>
      <c r="G195" s="20"/>
      <c r="H195" s="21" t="str">
        <f t="shared" si="2"/>
        <v/>
      </c>
      <c r="I195" s="26"/>
      <c r="J195" s="26"/>
    </row>
    <row r="196" spans="1:10" ht="14.65" customHeight="1">
      <c r="A196" s="22"/>
      <c r="B196" s="19"/>
      <c r="C196" s="20"/>
      <c r="D196" s="20"/>
      <c r="E196" s="23"/>
      <c r="F196" s="23"/>
      <c r="G196" s="20"/>
      <c r="H196" s="21" t="str">
        <f t="shared" si="2"/>
        <v/>
      </c>
      <c r="I196" s="26"/>
      <c r="J196" s="26"/>
    </row>
    <row r="197" spans="1:10" ht="14.65" customHeight="1">
      <c r="A197" s="22"/>
      <c r="B197" s="19"/>
      <c r="C197" s="20"/>
      <c r="D197" s="20"/>
      <c r="E197" s="23"/>
      <c r="F197" s="23"/>
      <c r="G197" s="20"/>
      <c r="H197" s="21" t="str">
        <f t="shared" si="2"/>
        <v/>
      </c>
      <c r="I197" s="26"/>
      <c r="J197" s="26"/>
    </row>
    <row r="198" spans="1:10" ht="14.65" customHeight="1">
      <c r="A198" s="22"/>
      <c r="B198" s="19"/>
      <c r="C198" s="20"/>
      <c r="D198" s="20"/>
      <c r="E198" s="23"/>
      <c r="F198" s="23"/>
      <c r="G198" s="20"/>
      <c r="H198" s="21" t="str">
        <f t="shared" si="2"/>
        <v/>
      </c>
      <c r="I198" s="26"/>
      <c r="J198" s="26"/>
    </row>
    <row r="199" spans="1:10" ht="14.65" customHeight="1">
      <c r="A199" s="22"/>
      <c r="B199" s="19"/>
      <c r="C199" s="20"/>
      <c r="D199" s="20"/>
      <c r="E199" s="23"/>
      <c r="F199" s="23"/>
      <c r="G199" s="20"/>
      <c r="H199" s="21" t="str">
        <f t="shared" si="2"/>
        <v/>
      </c>
      <c r="I199" s="26"/>
      <c r="J199" s="26"/>
    </row>
    <row r="200" spans="1:10" ht="14.65" customHeight="1">
      <c r="A200" s="22"/>
      <c r="B200" s="19"/>
      <c r="C200" s="20"/>
      <c r="D200" s="20"/>
      <c r="E200" s="23"/>
      <c r="F200" s="23"/>
      <c r="G200" s="20"/>
      <c r="H200" s="21" t="str">
        <f t="shared" si="2"/>
        <v/>
      </c>
      <c r="I200" s="26"/>
      <c r="J200" s="26"/>
    </row>
    <row r="201" spans="1:10" ht="14.65" customHeight="1">
      <c r="A201" s="22"/>
      <c r="B201" s="19"/>
      <c r="C201" s="20"/>
      <c r="D201" s="20"/>
      <c r="E201" s="23"/>
      <c r="F201" s="23"/>
      <c r="G201" s="20"/>
      <c r="H201" s="21" t="str">
        <f t="shared" si="2"/>
        <v/>
      </c>
      <c r="I201" s="26"/>
      <c r="J201" s="26"/>
    </row>
    <row r="202" spans="1:10" ht="14.65" customHeight="1">
      <c r="A202" s="22"/>
      <c r="B202" s="19"/>
      <c r="C202" s="20"/>
      <c r="D202" s="20"/>
      <c r="E202" s="23"/>
      <c r="F202" s="23"/>
      <c r="G202" s="20"/>
      <c r="H202" s="21" t="str">
        <f>IF(G202&lt;&gt;"",VLOOKUP(G202,ChartofAccountsTable,2,FALSE),"")</f>
        <v/>
      </c>
      <c r="I202" s="26"/>
      <c r="J202" s="26"/>
    </row>
    <row r="203" spans="1:10" ht="14.65" customHeight="1">
      <c r="A203" s="22"/>
      <c r="B203" s="19"/>
      <c r="C203" s="20"/>
      <c r="D203" s="20"/>
      <c r="E203" s="23"/>
      <c r="F203" s="23"/>
      <c r="G203" s="20"/>
      <c r="H203" s="21" t="str">
        <f>IF(G203&lt;&gt;"",VLOOKUP(G203,ChartofAccountsTable,2,FALSE),"")</f>
        <v/>
      </c>
      <c r="I203" s="26"/>
      <c r="J203" s="26"/>
    </row>
    <row r="204" spans="1:10" ht="14.65" customHeight="1">
      <c r="A204" s="22"/>
      <c r="B204" s="19"/>
      <c r="C204" s="20"/>
      <c r="D204" s="20"/>
      <c r="E204" s="23"/>
      <c r="F204" s="23"/>
      <c r="G204" s="20"/>
      <c r="H204" s="21" t="str">
        <f>IF(G204&lt;&gt;"",VLOOKUP(G204,ChartofAccountsTable,2,FALSE),"")</f>
        <v/>
      </c>
      <c r="I204" s="26"/>
      <c r="J204" s="26"/>
    </row>
    <row r="205" spans="1:10" ht="14.65" customHeight="1">
      <c r="A205" s="22"/>
      <c r="B205" s="19"/>
      <c r="C205" s="20"/>
      <c r="D205" s="20"/>
      <c r="E205" s="23"/>
      <c r="F205" s="23"/>
      <c r="G205" s="20"/>
      <c r="H205" s="21" t="str">
        <f>IF(G205&lt;&gt;"",VLOOKUP(G205,ChartofAccountsTable,2,FALSE),"")</f>
        <v/>
      </c>
      <c r="I205" s="26"/>
      <c r="J205" s="26"/>
    </row>
    <row r="206" spans="1:10" ht="14.65" customHeight="1">
      <c r="B206" s="19"/>
      <c r="C206" s="20"/>
      <c r="D206" s="20"/>
      <c r="E206" s="23"/>
      <c r="F206" s="23"/>
      <c r="G206" s="20"/>
      <c r="H206" s="21" t="str">
        <f>IF(G206&lt;&gt;"",VLOOKUP(G206,ChartofAccountsTable,2,FALSE),"")</f>
        <v/>
      </c>
      <c r="I206" s="26"/>
      <c r="J206" s="26"/>
    </row>
    <row r="207" spans="1:10" s="6" customFormat="1" ht="14.65" customHeight="1">
      <c r="A207" s="7"/>
      <c r="B207" s="11" t="s">
        <v>136</v>
      </c>
      <c r="C207" s="12"/>
      <c r="D207" s="12"/>
      <c r="G207" s="12"/>
      <c r="I207" s="24"/>
      <c r="J207" s="24"/>
    </row>
    <row r="208" spans="1:10" s="6" customFormat="1" ht="14.65" customHeight="1">
      <c r="A208" s="7"/>
      <c r="B208" s="11"/>
      <c r="C208" s="12"/>
      <c r="D208" s="12"/>
      <c r="G208" s="12"/>
      <c r="I208" s="24"/>
      <c r="J208" s="24"/>
    </row>
  </sheetData>
  <autoFilter ref="A6:N207" xr:uid="{00000000-0009-0000-0000-000005000000}"/>
  <mergeCells count="8">
    <mergeCell ref="I7:J7"/>
    <mergeCell ref="B6:B7"/>
    <mergeCell ref="C6:C7"/>
    <mergeCell ref="D6:D7"/>
    <mergeCell ref="E6:E7"/>
    <mergeCell ref="F6:F7"/>
    <mergeCell ref="G6:G7"/>
    <mergeCell ref="H6:H7"/>
  </mergeCells>
  <conditionalFormatting sqref="I7">
    <cfRule type="expression" dxfId="1" priority="1">
      <formula>$I$7="Tidak Seimbang"</formula>
    </cfRule>
  </conditionalFormatting>
  <dataValidations count="1">
    <dataValidation type="list" allowBlank="1" showInputMessage="1" showErrorMessage="1" sqref="G8:G206" xr:uid="{00000000-0002-0000-0500-000000000000}">
      <formula1>ChartofAccounts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375" defaultRowHeight="15.6" customHeight="1"/>
  <cols>
    <col min="1" max="1" width="12.375" style="2" customWidth="1"/>
    <col min="2" max="16384" width="12.375" style="2"/>
  </cols>
  <sheetData>
    <row r="4" spans="1:1" s="1" customFormat="1" ht="15.6" customHeight="1">
      <c r="A4" s="3"/>
    </row>
    <row r="5" spans="1:1" s="1" customFormat="1" ht="15.6" customHeight="1">
      <c r="A5" s="4"/>
    </row>
    <row r="40" spans="1:15" s="1" customFormat="1" ht="30" customHeight="1">
      <c r="A40" s="439" t="s">
        <v>137</v>
      </c>
      <c r="B40" s="439"/>
      <c r="C40" s="439"/>
      <c r="D40" s="439"/>
      <c r="E40" s="439"/>
      <c r="F40" s="439"/>
      <c r="G40" s="439"/>
      <c r="H40" s="439"/>
      <c r="I40" s="439"/>
      <c r="J40" s="439"/>
      <c r="K40" s="439"/>
      <c r="L40" s="439"/>
      <c r="M40" s="3"/>
      <c r="N40" s="3"/>
      <c r="O40" s="3"/>
    </row>
    <row r="41" spans="1:15" s="1" customFormat="1" ht="30" customHeight="1">
      <c r="A41" s="440" t="s">
        <v>138</v>
      </c>
      <c r="B41" s="440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5"/>
      <c r="N41" s="5"/>
      <c r="O41" s="5"/>
    </row>
  </sheetData>
  <mergeCells count="2">
    <mergeCell ref="A40:L40"/>
    <mergeCell ref="A41:L41"/>
  </mergeCells>
  <hyperlinks>
    <hyperlink ref="A41" r:id="rId1" xr:uid="{00000000-0004-0000-0600-000000000000}"/>
    <hyperlink ref="A41:L41" r:id="rId2" display="https://exceltemplate.net/support/" xr:uid="{00000000-0004-0000-0600-000001000000}"/>
  </hyperlinks>
  <pageMargins left="0.7" right="0.7" top="0.75" bottom="0.75" header="0.3" footer="0.3"/>
  <pageSetup orientation="portrait" horizontalDpi="1200" verticalDpi="120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Y3356"/>
  <sheetViews>
    <sheetView showGridLines="0" tabSelected="1" zoomScale="85" zoomScaleNormal="85" workbookViewId="0">
      <pane ySplit="7" topLeftCell="I594" activePane="bottomLeft" state="frozen"/>
      <selection pane="bottomLeft" activeCell="L615" sqref="L615"/>
    </sheetView>
  </sheetViews>
  <sheetFormatPr defaultColWidth="8.75" defaultRowHeight="15" customHeight="1" zeroHeight="1"/>
  <cols>
    <col min="1" max="1" width="5.75" style="94" customWidth="1"/>
    <col min="2" max="2" width="13.625" style="8" customWidth="1"/>
    <col min="3" max="3" width="16.375" style="100" hidden="1" customWidth="1"/>
    <col min="4" max="4" width="21.5" style="100" customWidth="1"/>
    <col min="5" max="5" width="16.375" style="100" customWidth="1"/>
    <col min="6" max="6" width="20.625" style="9" customWidth="1"/>
    <col min="7" max="7" width="19.625" style="9" customWidth="1"/>
    <col min="8" max="8" width="17.75" style="9" customWidth="1"/>
    <col min="9" max="9" width="15.5" style="97" customWidth="1"/>
    <col min="10" max="10" width="13.5" customWidth="1"/>
    <col min="11" max="11" width="10.75" style="143" customWidth="1"/>
    <col min="12" max="12" width="40.75" customWidth="1"/>
    <col min="13" max="14" width="16.75" style="10" customWidth="1"/>
    <col min="15" max="15" width="32" style="76" customWidth="1"/>
    <col min="16" max="16" width="10.75" style="6" customWidth="1"/>
    <col min="17" max="20" width="8.75" customWidth="1"/>
  </cols>
  <sheetData>
    <row r="1" spans="1:16" ht="15" customHeight="1">
      <c r="B1" s="237" t="s">
        <v>139</v>
      </c>
      <c r="E1" s="9"/>
      <c r="M1" s="134"/>
      <c r="N1" s="134"/>
    </row>
    <row r="2" spans="1:16" s="6" customFormat="1" ht="14.65" customHeight="1">
      <c r="A2" s="94"/>
      <c r="B2" s="113" t="str">
        <f>'PAYMENT RECEIPTS'!B2</f>
        <v>DISTRIBUTION AND HAULING OF PETROLEUM PRODUCTS</v>
      </c>
      <c r="C2" s="111"/>
      <c r="D2" s="111"/>
      <c r="E2" s="12"/>
      <c r="F2" s="12"/>
      <c r="G2" s="12"/>
      <c r="H2" s="12"/>
      <c r="I2" s="99"/>
      <c r="K2" s="144"/>
      <c r="M2" s="13"/>
      <c r="N2" s="13"/>
      <c r="O2" s="76"/>
    </row>
    <row r="3" spans="1:16" ht="18.399999999999999" customHeight="1">
      <c r="A3" s="95"/>
      <c r="B3" s="109" t="s">
        <v>140</v>
      </c>
      <c r="C3" s="112"/>
      <c r="D3" s="112"/>
      <c r="E3" s="15"/>
      <c r="F3" s="110"/>
      <c r="G3" s="13"/>
      <c r="H3" s="13"/>
      <c r="I3" s="110"/>
      <c r="J3" s="13"/>
      <c r="K3" s="145"/>
      <c r="L3" s="13"/>
      <c r="M3" s="13"/>
      <c r="N3" s="13"/>
      <c r="O3" s="93"/>
      <c r="P3" s="13"/>
    </row>
    <row r="4" spans="1:16" s="6" customFormat="1" ht="10.5" customHeight="1">
      <c r="A4" s="94"/>
      <c r="B4" s="11"/>
      <c r="C4" s="111"/>
      <c r="D4" s="111"/>
      <c r="E4" s="12"/>
      <c r="F4" s="12"/>
      <c r="G4" s="12"/>
      <c r="H4" s="12"/>
      <c r="I4" s="99"/>
      <c r="K4" s="144"/>
      <c r="M4" s="13"/>
      <c r="N4" s="13"/>
      <c r="O4" s="76"/>
    </row>
    <row r="5" spans="1:16" ht="14.65" customHeight="1">
      <c r="B5" s="11" t="s">
        <v>95</v>
      </c>
      <c r="C5" s="111"/>
      <c r="D5" s="111"/>
      <c r="E5" s="12"/>
      <c r="F5" s="12"/>
      <c r="G5" s="65">
        <f>MAX(B131:B1291)</f>
        <v>46049</v>
      </c>
      <c r="H5" s="65"/>
      <c r="I5" s="98"/>
      <c r="J5" s="6"/>
      <c r="K5" s="144"/>
      <c r="L5" s="6"/>
      <c r="M5" s="13"/>
      <c r="N5" s="13">
        <f>N6-M6</f>
        <v>0</v>
      </c>
    </row>
    <row r="6" spans="1:16" s="6" customFormat="1" ht="13.9" customHeight="1">
      <c r="A6" s="94"/>
      <c r="B6" s="11"/>
      <c r="C6" s="111"/>
      <c r="D6" s="111"/>
      <c r="E6" s="75"/>
      <c r="F6" s="12"/>
      <c r="G6" s="12"/>
      <c r="H6" s="12"/>
      <c r="I6" s="99"/>
      <c r="K6" s="144"/>
      <c r="M6" s="13">
        <f>SUBTOTAL(9,M9:M820167)</f>
        <v>24141215</v>
      </c>
      <c r="N6" s="13">
        <f>SUBTOTAL(9,N9:N820167)</f>
        <v>24141215</v>
      </c>
      <c r="O6" s="76"/>
    </row>
    <row r="7" spans="1:16" ht="14.65" customHeight="1">
      <c r="B7" s="414" t="s">
        <v>141</v>
      </c>
      <c r="C7" s="416" t="s">
        <v>142</v>
      </c>
      <c r="D7" s="424" t="s">
        <v>99</v>
      </c>
      <c r="E7" s="424" t="s">
        <v>100</v>
      </c>
      <c r="F7" s="418" t="s">
        <v>143</v>
      </c>
      <c r="G7" s="418" t="s">
        <v>98</v>
      </c>
      <c r="H7" s="418" t="s">
        <v>101</v>
      </c>
      <c r="I7" s="422" t="s">
        <v>144</v>
      </c>
      <c r="J7" s="418" t="s">
        <v>145</v>
      </c>
      <c r="K7" s="420" t="s">
        <v>102</v>
      </c>
      <c r="L7" s="418" t="s">
        <v>3</v>
      </c>
      <c r="M7" s="135" t="s">
        <v>103</v>
      </c>
      <c r="N7" s="135" t="s">
        <v>104</v>
      </c>
    </row>
    <row r="8" spans="1:16" ht="14.65" customHeight="1">
      <c r="A8" s="101"/>
      <c r="B8" s="415"/>
      <c r="C8" s="417"/>
      <c r="D8" s="425"/>
      <c r="E8" s="425"/>
      <c r="F8" s="419"/>
      <c r="G8" s="419"/>
      <c r="H8" s="419"/>
      <c r="I8" s="423"/>
      <c r="J8" s="419"/>
      <c r="K8" s="421"/>
      <c r="L8" s="419"/>
      <c r="M8" s="413" t="str">
        <f>IF(SUM(M9:M194)=SUM(N9:N194),"Balance","Not Balance")</f>
        <v>Balance</v>
      </c>
      <c r="N8" s="413"/>
    </row>
    <row r="9" spans="1:16" s="199" customFormat="1" ht="14.65" customHeight="1">
      <c r="A9" s="282"/>
      <c r="B9" s="340">
        <v>46025</v>
      </c>
      <c r="C9" s="341">
        <v>1156</v>
      </c>
      <c r="D9" s="363">
        <v>53113</v>
      </c>
      <c r="E9" s="343" t="s">
        <v>146</v>
      </c>
      <c r="F9" s="344" t="s">
        <v>147</v>
      </c>
      <c r="G9" s="341" t="s">
        <v>148</v>
      </c>
      <c r="H9" s="263" t="s">
        <v>149</v>
      </c>
      <c r="I9" s="263">
        <v>1</v>
      </c>
      <c r="J9" s="358" t="s">
        <v>150</v>
      </c>
      <c r="K9" s="344">
        <v>21000</v>
      </c>
      <c r="L9" s="360" t="str">
        <f>IF(K9&lt;&gt;"",VLOOKUP(K9,ChartofAccountsTable,2,FALSE),"")</f>
        <v>Unearned Revenue - DHPP</v>
      </c>
      <c r="M9" s="361">
        <v>51800</v>
      </c>
      <c r="N9" s="361"/>
      <c r="O9" s="342"/>
    </row>
    <row r="10" spans="1:16" s="199" customFormat="1" ht="14.65" customHeight="1">
      <c r="A10" s="282"/>
      <c r="B10" s="339"/>
      <c r="C10" s="341"/>
      <c r="D10" s="363"/>
      <c r="E10" s="343"/>
      <c r="F10" s="263"/>
      <c r="G10" s="341"/>
      <c r="H10" s="263"/>
      <c r="I10" s="263"/>
      <c r="J10" s="358" t="s">
        <v>150</v>
      </c>
      <c r="K10" s="344">
        <v>40000</v>
      </c>
      <c r="L10" s="360" t="str">
        <f>IF(K10&lt;&gt;"",VLOOKUP(K10,ChartofAccountsTable,2,FALSE),"")</f>
        <v>Sales -Fuel Hauling</v>
      </c>
      <c r="M10" s="361"/>
      <c r="N10" s="361">
        <v>51800</v>
      </c>
      <c r="O10" s="342"/>
    </row>
    <row r="11" spans="1:16" s="199" customFormat="1" ht="14.65" customHeight="1">
      <c r="A11" s="282"/>
      <c r="B11" s="340">
        <v>46025</v>
      </c>
      <c r="C11" s="341">
        <v>1157</v>
      </c>
      <c r="E11" s="343" t="s">
        <v>151</v>
      </c>
      <c r="F11" s="263"/>
      <c r="G11" s="362" t="s">
        <v>152</v>
      </c>
      <c r="H11" s="263" t="s">
        <v>149</v>
      </c>
      <c r="I11" s="263">
        <v>1</v>
      </c>
      <c r="J11" s="358" t="s">
        <v>150</v>
      </c>
      <c r="K11" s="342">
        <v>21000</v>
      </c>
      <c r="L11" s="360" t="str">
        <f>IF(K11&lt;&gt;"",VLOOKUP(K11,ChartofAccountsTable,2,FALSE),"")</f>
        <v>Unearned Revenue - DHPP</v>
      </c>
      <c r="M11" s="361">
        <v>51950</v>
      </c>
      <c r="N11" s="361"/>
      <c r="O11" s="342"/>
    </row>
    <row r="12" spans="1:16" s="199" customFormat="1" ht="14.65" customHeight="1">
      <c r="A12" s="282"/>
      <c r="B12" s="339"/>
      <c r="C12" s="341"/>
      <c r="D12" s="363"/>
      <c r="E12" s="343"/>
      <c r="F12" s="263"/>
      <c r="G12" s="341"/>
      <c r="H12" s="263"/>
      <c r="I12" s="263"/>
      <c r="J12" s="358" t="s">
        <v>150</v>
      </c>
      <c r="K12" s="342">
        <v>40000</v>
      </c>
      <c r="L12" s="360" t="str">
        <f>IF(K12&lt;&gt;"",VLOOKUP(K12,ChartofAccountsTable,2,FALSE),"")</f>
        <v>Sales -Fuel Hauling</v>
      </c>
      <c r="M12" s="361"/>
      <c r="N12" s="361">
        <v>51950</v>
      </c>
      <c r="O12" s="342"/>
    </row>
    <row r="13" spans="1:16" s="199" customFormat="1" ht="14.65" customHeight="1">
      <c r="A13" s="282"/>
      <c r="B13" s="340">
        <v>46025</v>
      </c>
      <c r="C13" s="341">
        <v>1159</v>
      </c>
      <c r="D13" s="363"/>
      <c r="E13" s="343" t="s">
        <v>153</v>
      </c>
      <c r="F13" s="263"/>
      <c r="G13" s="362" t="s">
        <v>154</v>
      </c>
      <c r="H13" s="263" t="s">
        <v>149</v>
      </c>
      <c r="I13" s="263">
        <v>1</v>
      </c>
      <c r="J13" s="358" t="s">
        <v>150</v>
      </c>
      <c r="K13" s="342">
        <v>21000</v>
      </c>
      <c r="L13" s="360" t="str">
        <f>IF(K13&lt;&gt;"",VLOOKUP(K13,ChartofAccountsTable,2,FALSE),"")</f>
        <v>Unearned Revenue - DHPP</v>
      </c>
      <c r="M13" s="361">
        <v>51950</v>
      </c>
      <c r="N13" s="361"/>
      <c r="O13" s="342"/>
    </row>
    <row r="14" spans="1:16" s="199" customFormat="1" ht="14.65" customHeight="1">
      <c r="A14" s="282"/>
      <c r="B14" s="339"/>
      <c r="C14" s="341"/>
      <c r="D14" s="363"/>
      <c r="E14" s="343"/>
      <c r="F14" s="263"/>
      <c r="G14" s="341"/>
      <c r="H14" s="263"/>
      <c r="I14" s="263"/>
      <c r="J14" s="358" t="s">
        <v>150</v>
      </c>
      <c r="K14" s="342">
        <v>40000</v>
      </c>
      <c r="L14" s="360" t="str">
        <f>IF(K14&lt;&gt;"",VLOOKUP(K14,ChartofAccountsTable,2,FALSE),"")</f>
        <v>Sales -Fuel Hauling</v>
      </c>
      <c r="M14" s="361"/>
      <c r="N14" s="361">
        <v>51950</v>
      </c>
      <c r="O14" s="342"/>
    </row>
    <row r="15" spans="1:16" s="199" customFormat="1" ht="14.65" customHeight="1">
      <c r="A15" s="282"/>
      <c r="B15" s="340">
        <v>46025</v>
      </c>
      <c r="C15" s="341">
        <v>1159</v>
      </c>
      <c r="D15" s="363"/>
      <c r="E15" s="343" t="s">
        <v>155</v>
      </c>
      <c r="F15" s="263"/>
      <c r="G15" s="341" t="s">
        <v>154</v>
      </c>
      <c r="H15" s="263" t="s">
        <v>149</v>
      </c>
      <c r="I15" s="263">
        <v>1</v>
      </c>
      <c r="J15" s="358" t="s">
        <v>150</v>
      </c>
      <c r="K15" s="342">
        <v>21000</v>
      </c>
      <c r="L15" s="360" t="str">
        <f>IF(K15&lt;&gt;"",VLOOKUP(K15,ChartofAccountsTable,2,FALSE),"")</f>
        <v>Unearned Revenue - DHPP</v>
      </c>
      <c r="M15" s="361">
        <v>102400</v>
      </c>
      <c r="N15" s="361"/>
      <c r="O15" s="344" t="s">
        <v>156</v>
      </c>
    </row>
    <row r="16" spans="1:16" s="199" customFormat="1" ht="14.65" customHeight="1">
      <c r="A16" s="282"/>
      <c r="B16" s="339"/>
      <c r="C16" s="341"/>
      <c r="E16" s="343"/>
      <c r="F16" s="263"/>
      <c r="G16" s="341"/>
      <c r="H16" s="263"/>
      <c r="I16" s="263"/>
      <c r="J16" s="358" t="s">
        <v>150</v>
      </c>
      <c r="K16" s="342">
        <v>40000</v>
      </c>
      <c r="L16" s="360" t="str">
        <f>IF(K16&lt;&gt;"",VLOOKUP(K16,ChartofAccountsTable,2,FALSE),"")</f>
        <v>Sales -Fuel Hauling</v>
      </c>
      <c r="M16" s="361"/>
      <c r="N16" s="361">
        <v>102400</v>
      </c>
      <c r="O16" s="342"/>
    </row>
    <row r="17" spans="1:15" s="199" customFormat="1" ht="14.65" customHeight="1">
      <c r="A17" s="282"/>
      <c r="B17" s="340">
        <v>46026</v>
      </c>
      <c r="C17" s="341">
        <v>1160</v>
      </c>
      <c r="D17" s="363"/>
      <c r="E17" s="343" t="s">
        <v>157</v>
      </c>
      <c r="F17" s="263"/>
      <c r="G17" s="341" t="s">
        <v>158</v>
      </c>
      <c r="H17" s="263" t="s">
        <v>159</v>
      </c>
      <c r="I17" s="263">
        <v>0.5</v>
      </c>
      <c r="J17" s="358" t="s">
        <v>150</v>
      </c>
      <c r="K17" s="342">
        <v>21000</v>
      </c>
      <c r="L17" s="360" t="str">
        <f>IF(K17&lt;&gt;"",VLOOKUP(K17,ChartofAccountsTable,2,FALSE),"")</f>
        <v>Unearned Revenue - DHPP</v>
      </c>
      <c r="M17" s="361">
        <v>24450</v>
      </c>
      <c r="N17" s="361"/>
      <c r="O17" s="342"/>
    </row>
    <row r="18" spans="1:15" s="199" customFormat="1" ht="14.65" customHeight="1">
      <c r="A18" s="282"/>
      <c r="B18" s="339"/>
      <c r="C18" s="341"/>
      <c r="D18" s="363"/>
      <c r="E18" s="343"/>
      <c r="F18" s="263"/>
      <c r="G18" s="341"/>
      <c r="H18" s="263"/>
      <c r="I18" s="263"/>
      <c r="J18" s="358" t="s">
        <v>150</v>
      </c>
      <c r="K18" s="342">
        <v>40000</v>
      </c>
      <c r="L18" s="360" t="str">
        <f>IF(K18&lt;&gt;"",VLOOKUP(K18,ChartofAccountsTable,2,FALSE),"")</f>
        <v>Sales -Fuel Hauling</v>
      </c>
      <c r="M18" s="361"/>
      <c r="N18" s="361">
        <v>24450</v>
      </c>
      <c r="O18" s="342"/>
    </row>
    <row r="19" spans="1:15" s="199" customFormat="1" ht="14.65" customHeight="1">
      <c r="A19" s="282"/>
      <c r="B19" s="340">
        <v>46026</v>
      </c>
      <c r="C19" s="341">
        <v>1161</v>
      </c>
      <c r="D19" s="363"/>
      <c r="E19" s="343" t="s">
        <v>160</v>
      </c>
      <c r="F19" s="263"/>
      <c r="G19" s="341" t="s">
        <v>161</v>
      </c>
      <c r="H19" s="263" t="s">
        <v>162</v>
      </c>
      <c r="I19" s="263">
        <v>0.5</v>
      </c>
      <c r="J19" s="358" t="s">
        <v>150</v>
      </c>
      <c r="K19" s="342">
        <v>21000</v>
      </c>
      <c r="L19" s="360" t="str">
        <f>IF(K19&lt;&gt;"",VLOOKUP(K19,ChartofAccountsTable,2,FALSE),"")</f>
        <v>Unearned Revenue - DHPP</v>
      </c>
      <c r="M19" s="361">
        <v>51900</v>
      </c>
      <c r="N19" s="361"/>
      <c r="O19" s="342"/>
    </row>
    <row r="20" spans="1:15" s="199" customFormat="1" ht="14.65" customHeight="1">
      <c r="A20" s="282"/>
      <c r="B20" s="339"/>
      <c r="C20" s="341"/>
      <c r="D20" s="363"/>
      <c r="E20" s="343"/>
      <c r="F20" s="263"/>
      <c r="G20" s="341"/>
      <c r="H20" s="263"/>
      <c r="I20" s="263"/>
      <c r="J20" s="358" t="s">
        <v>150</v>
      </c>
      <c r="K20" s="342">
        <v>12030</v>
      </c>
      <c r="L20" s="360" t="str">
        <f>IF(K20&lt;&gt;"",VLOOKUP(K20,ChartofAccountsTable,2,FALSE),"")</f>
        <v>A/Receivables - Fuel Clients</v>
      </c>
      <c r="M20" s="361">
        <v>200</v>
      </c>
      <c r="N20" s="361"/>
      <c r="O20" s="342"/>
    </row>
    <row r="21" spans="1:15" s="199" customFormat="1" ht="14.65" customHeight="1">
      <c r="A21" s="282"/>
      <c r="B21" s="339"/>
      <c r="C21" s="341"/>
      <c r="D21" s="363"/>
      <c r="E21" s="343"/>
      <c r="F21" s="263"/>
      <c r="G21" s="341"/>
      <c r="H21" s="263"/>
      <c r="I21" s="263"/>
      <c r="J21" s="358" t="s">
        <v>150</v>
      </c>
      <c r="K21" s="342">
        <v>40000</v>
      </c>
      <c r="L21" s="360" t="str">
        <f>IF(K21&lt;&gt;"",VLOOKUP(K21,ChartofAccountsTable,2,FALSE),"")</f>
        <v>Sales -Fuel Hauling</v>
      </c>
      <c r="M21" s="361"/>
      <c r="N21" s="361">
        <v>52100</v>
      </c>
      <c r="O21" s="342"/>
    </row>
    <row r="22" spans="1:15" s="199" customFormat="1" ht="14.65" customHeight="1">
      <c r="A22" s="282"/>
      <c r="B22" s="340">
        <v>46027</v>
      </c>
      <c r="C22" s="341">
        <v>1162</v>
      </c>
      <c r="D22" s="363"/>
      <c r="E22" s="343" t="s">
        <v>163</v>
      </c>
      <c r="F22" s="263"/>
      <c r="G22" s="341" t="s">
        <v>164</v>
      </c>
      <c r="H22" s="263" t="s">
        <v>149</v>
      </c>
      <c r="I22" s="263">
        <v>1</v>
      </c>
      <c r="J22" s="358" t="s">
        <v>165</v>
      </c>
      <c r="K22" s="345">
        <v>21000</v>
      </c>
      <c r="L22" s="360" t="str">
        <f>IF(K22&lt;&gt;"",VLOOKUP(K22,ChartofAccountsTable,2,FALSE),"")</f>
        <v>Unearned Revenue - DHPP</v>
      </c>
      <c r="M22" s="361">
        <v>24725</v>
      </c>
      <c r="N22" s="361"/>
      <c r="O22" s="342"/>
    </row>
    <row r="23" spans="1:15" s="199" customFormat="1" ht="14.65" customHeight="1">
      <c r="A23" s="282"/>
      <c r="B23" s="339"/>
      <c r="C23" s="341"/>
      <c r="D23" s="363"/>
      <c r="E23" s="343"/>
      <c r="F23" s="263"/>
      <c r="G23" s="341"/>
      <c r="H23" s="263"/>
      <c r="I23" s="263"/>
      <c r="J23" s="358" t="s">
        <v>165</v>
      </c>
      <c r="K23" s="345">
        <v>12030</v>
      </c>
      <c r="L23" s="360" t="str">
        <f>IF(K23&lt;&gt;"",VLOOKUP(K23,ChartofAccountsTable,2,FALSE),"")</f>
        <v>A/Receivables - Fuel Clients</v>
      </c>
      <c r="M23" s="361">
        <v>24725</v>
      </c>
      <c r="N23" s="361"/>
      <c r="O23" s="342"/>
    </row>
    <row r="24" spans="1:15" s="199" customFormat="1" ht="14.65" customHeight="1">
      <c r="A24" s="282"/>
      <c r="B24" s="339"/>
      <c r="C24" s="341"/>
      <c r="D24" s="363"/>
      <c r="E24" s="343"/>
      <c r="F24" s="263"/>
      <c r="G24" s="341"/>
      <c r="H24" s="263"/>
      <c r="I24" s="263"/>
      <c r="J24" s="358" t="s">
        <v>165</v>
      </c>
      <c r="K24" s="345">
        <v>40000</v>
      </c>
      <c r="L24" s="360" t="str">
        <f>IF(K24&lt;&gt;"",VLOOKUP(K24,ChartofAccountsTable,2,FALSE),"")</f>
        <v>Sales -Fuel Hauling</v>
      </c>
      <c r="M24" s="361"/>
      <c r="N24" s="361">
        <v>49450</v>
      </c>
      <c r="O24" s="342"/>
    </row>
    <row r="25" spans="1:15" s="199" customFormat="1" ht="14.65" customHeight="1">
      <c r="A25" s="282"/>
      <c r="B25" s="340">
        <v>46027</v>
      </c>
      <c r="C25" s="341">
        <v>1163</v>
      </c>
      <c r="D25" s="363"/>
      <c r="E25" s="343" t="s">
        <v>166</v>
      </c>
      <c r="F25" s="263"/>
      <c r="G25" s="341" t="s">
        <v>167</v>
      </c>
      <c r="H25" s="263" t="s">
        <v>168</v>
      </c>
      <c r="I25" s="263">
        <v>0.5</v>
      </c>
      <c r="J25" s="358" t="s">
        <v>165</v>
      </c>
      <c r="K25" s="345">
        <v>21000</v>
      </c>
      <c r="L25" s="360" t="str">
        <f>IF(K25&lt;&gt;"",VLOOKUP(K25,ChartofAccountsTable,2,FALSE),"")</f>
        <v>Unearned Revenue - DHPP</v>
      </c>
      <c r="M25" s="361">
        <v>102650</v>
      </c>
      <c r="N25" s="361"/>
      <c r="O25" s="342"/>
    </row>
    <row r="26" spans="1:15" s="199" customFormat="1" ht="14.65" customHeight="1">
      <c r="A26" s="282"/>
      <c r="B26" s="339"/>
      <c r="C26" s="341"/>
      <c r="D26" s="363"/>
      <c r="E26" s="343"/>
      <c r="F26" s="263"/>
      <c r="G26" s="341"/>
      <c r="H26" s="263"/>
      <c r="I26" s="263"/>
      <c r="J26" s="358" t="s">
        <v>165</v>
      </c>
      <c r="K26" s="345">
        <v>12030</v>
      </c>
      <c r="L26" s="360" t="str">
        <f>IF(K26&lt;&gt;"",VLOOKUP(K26,ChartofAccountsTable,2,FALSE),"")</f>
        <v>A/Receivables - Fuel Clients</v>
      </c>
      <c r="M26" s="361">
        <v>150</v>
      </c>
      <c r="N26" s="361"/>
      <c r="O26" s="342" t="s">
        <v>169</v>
      </c>
    </row>
    <row r="27" spans="1:15" s="199" customFormat="1" ht="14.65" customHeight="1">
      <c r="A27" s="282"/>
      <c r="B27" s="339"/>
      <c r="C27" s="341"/>
      <c r="D27" s="363"/>
      <c r="E27" s="343"/>
      <c r="F27" s="263"/>
      <c r="G27" s="341"/>
      <c r="H27" s="263"/>
      <c r="I27" s="263"/>
      <c r="J27" s="358" t="s">
        <v>165</v>
      </c>
      <c r="K27" s="345">
        <v>40000</v>
      </c>
      <c r="L27" s="360" t="str">
        <f>IF(K27&lt;&gt;"",VLOOKUP(K27,ChartofAccountsTable,2,FALSE),"")</f>
        <v>Sales -Fuel Hauling</v>
      </c>
      <c r="M27" s="361"/>
      <c r="N27" s="361">
        <v>102800</v>
      </c>
      <c r="O27" s="342"/>
    </row>
    <row r="28" spans="1:15" s="199" customFormat="1" ht="14.65" customHeight="1">
      <c r="A28" s="282"/>
      <c r="B28" s="340">
        <v>46027</v>
      </c>
      <c r="C28" s="341">
        <v>1163</v>
      </c>
      <c r="D28" s="363"/>
      <c r="E28" s="343" t="s">
        <v>170</v>
      </c>
      <c r="F28" s="263"/>
      <c r="G28" s="341" t="s">
        <v>167</v>
      </c>
      <c r="H28" s="263" t="s">
        <v>168</v>
      </c>
      <c r="I28" s="263">
        <v>0.5</v>
      </c>
      <c r="J28" s="358" t="s">
        <v>165</v>
      </c>
      <c r="K28" s="345">
        <v>21000</v>
      </c>
      <c r="L28" s="360" t="str">
        <f>IF(K28&lt;&gt;"",VLOOKUP(K28,ChartofAccountsTable,2,FALSE),"")</f>
        <v>Unearned Revenue - DHPP</v>
      </c>
      <c r="M28" s="361">
        <v>51400</v>
      </c>
      <c r="N28" s="361"/>
      <c r="O28" s="342"/>
    </row>
    <row r="29" spans="1:15" s="199" customFormat="1" ht="14.65" customHeight="1">
      <c r="A29" s="282"/>
      <c r="B29" s="339"/>
      <c r="C29" s="341"/>
      <c r="D29" s="363"/>
      <c r="E29" s="343"/>
      <c r="F29" s="263"/>
      <c r="G29" s="341"/>
      <c r="H29" s="263"/>
      <c r="I29" s="263"/>
      <c r="J29" s="358" t="s">
        <v>165</v>
      </c>
      <c r="K29" s="345">
        <v>40000</v>
      </c>
      <c r="L29" s="360" t="str">
        <f>IF(K29&lt;&gt;"",VLOOKUP(K29,ChartofAccountsTable,2,FALSE),"")</f>
        <v>Sales -Fuel Hauling</v>
      </c>
      <c r="M29" s="361"/>
      <c r="N29" s="361">
        <v>51400</v>
      </c>
      <c r="O29" s="342"/>
    </row>
    <row r="30" spans="1:15" s="199" customFormat="1" ht="14.65" customHeight="1">
      <c r="A30" s="282"/>
      <c r="B30" s="347">
        <v>46025</v>
      </c>
      <c r="C30" s="341">
        <v>525</v>
      </c>
      <c r="D30" s="342"/>
      <c r="E30" s="343" t="s">
        <v>171</v>
      </c>
      <c r="F30" s="263"/>
      <c r="G30" s="341" t="s">
        <v>172</v>
      </c>
      <c r="H30" s="263" t="s">
        <v>173</v>
      </c>
      <c r="I30" s="263">
        <v>1.5</v>
      </c>
      <c r="J30" s="358" t="s">
        <v>174</v>
      </c>
      <c r="K30" s="345">
        <v>21000</v>
      </c>
      <c r="L30" s="360" t="str">
        <f>IF(K30&lt;&gt;"",VLOOKUP(K30,ChartofAccountsTable,2,FALSE),"")</f>
        <v>Unearned Revenue - DHPP</v>
      </c>
      <c r="M30" s="361">
        <v>500000</v>
      </c>
      <c r="N30" s="361"/>
      <c r="O30" s="342"/>
    </row>
    <row r="31" spans="1:15" s="199" customFormat="1" ht="14.65" customHeight="1">
      <c r="A31" s="282"/>
      <c r="B31" s="346"/>
      <c r="C31" s="341"/>
      <c r="D31" s="342"/>
      <c r="E31" s="343"/>
      <c r="F31" s="263"/>
      <c r="G31" s="341"/>
      <c r="H31" s="263"/>
      <c r="I31" s="263"/>
      <c r="J31" s="358" t="s">
        <v>174</v>
      </c>
      <c r="K31" s="345">
        <v>40000</v>
      </c>
      <c r="L31" s="360" t="str">
        <f>IF(K31&lt;&gt;"",VLOOKUP(K31,ChartofAccountsTable,2,FALSE),"")</f>
        <v>Sales -Fuel Hauling</v>
      </c>
      <c r="M31" s="361"/>
      <c r="N31" s="361">
        <v>500000</v>
      </c>
      <c r="O31" s="342"/>
    </row>
    <row r="32" spans="1:15" s="199" customFormat="1" ht="14.65" customHeight="1">
      <c r="A32" s="282"/>
      <c r="B32" s="347">
        <v>46025</v>
      </c>
      <c r="C32" s="341">
        <v>895</v>
      </c>
      <c r="D32" s="342"/>
      <c r="E32" s="343" t="s">
        <v>175</v>
      </c>
      <c r="F32" s="263"/>
      <c r="G32" s="341" t="s">
        <v>158</v>
      </c>
      <c r="H32" s="263" t="s">
        <v>176</v>
      </c>
      <c r="I32" s="263">
        <v>2.5</v>
      </c>
      <c r="J32" s="358" t="s">
        <v>174</v>
      </c>
      <c r="K32" s="345">
        <v>12030</v>
      </c>
      <c r="L32" s="360" t="str">
        <f>IF(K32&lt;&gt;"",VLOOKUP(K32,ChartofAccountsTable,2,FALSE),"")</f>
        <v>A/Receivables - Fuel Clients</v>
      </c>
      <c r="M32" s="361">
        <v>120750</v>
      </c>
      <c r="N32" s="361"/>
      <c r="O32" s="342"/>
    </row>
    <row r="33" spans="1:15" s="199" customFormat="1" ht="14.65" customHeight="1">
      <c r="A33" s="282"/>
      <c r="B33" s="346"/>
      <c r="C33" s="341"/>
      <c r="D33" s="342"/>
      <c r="E33" s="343"/>
      <c r="F33" s="263"/>
      <c r="G33" s="341"/>
      <c r="H33" s="263"/>
      <c r="I33" s="263"/>
      <c r="J33" s="358" t="s">
        <v>174</v>
      </c>
      <c r="K33" s="345">
        <v>40000</v>
      </c>
      <c r="L33" s="360" t="str">
        <f>IF(K33&lt;&gt;"",VLOOKUP(K33,ChartofAccountsTable,2,FALSE),"")</f>
        <v>Sales -Fuel Hauling</v>
      </c>
      <c r="M33" s="361"/>
      <c r="N33" s="361">
        <v>120750</v>
      </c>
      <c r="O33" s="342"/>
    </row>
    <row r="34" spans="1:15" s="199" customFormat="1" ht="14.65" customHeight="1">
      <c r="A34" s="282"/>
      <c r="B34" s="347">
        <v>46026</v>
      </c>
      <c r="C34" s="341">
        <v>900</v>
      </c>
      <c r="D34" s="342"/>
      <c r="E34" s="343" t="s">
        <v>177</v>
      </c>
      <c r="F34" s="263"/>
      <c r="G34" s="341" t="s">
        <v>178</v>
      </c>
      <c r="H34" s="263" t="s">
        <v>179</v>
      </c>
      <c r="I34" s="263">
        <v>1</v>
      </c>
      <c r="J34" s="358" t="s">
        <v>174</v>
      </c>
      <c r="K34" s="345">
        <v>21000</v>
      </c>
      <c r="L34" s="360" t="str">
        <f>IF(K34&lt;&gt;"",VLOOKUP(K34,ChartofAccountsTable,2,FALSE),"")</f>
        <v>Unearned Revenue - DHPP</v>
      </c>
      <c r="M34" s="361">
        <v>26050</v>
      </c>
      <c r="N34" s="361"/>
      <c r="O34" s="342"/>
    </row>
    <row r="35" spans="1:15" s="199" customFormat="1" ht="14.65" customHeight="1">
      <c r="A35" s="282"/>
      <c r="B35" s="346"/>
      <c r="C35" s="341"/>
      <c r="D35" s="342"/>
      <c r="E35" s="343"/>
      <c r="F35" s="263"/>
      <c r="G35" s="341"/>
      <c r="H35" s="263"/>
      <c r="I35" s="263"/>
      <c r="J35" s="358" t="s">
        <v>174</v>
      </c>
      <c r="K35" s="345">
        <v>12030</v>
      </c>
      <c r="L35" s="360" t="str">
        <f>IF(K35&lt;&gt;"",VLOOKUP(K35,ChartofAccountsTable,2,FALSE),"")</f>
        <v>A/Receivables - Fuel Clients</v>
      </c>
      <c r="M35" s="361">
        <v>26000</v>
      </c>
      <c r="N35" s="361"/>
      <c r="O35" s="342"/>
    </row>
    <row r="36" spans="1:15" s="199" customFormat="1" ht="14.65" customHeight="1">
      <c r="A36" s="282"/>
      <c r="B36" s="346"/>
      <c r="C36" s="341"/>
      <c r="D36" s="342"/>
      <c r="E36" s="343"/>
      <c r="F36" s="263"/>
      <c r="G36" s="341"/>
      <c r="H36" s="263"/>
      <c r="I36" s="263"/>
      <c r="J36" s="358" t="s">
        <v>174</v>
      </c>
      <c r="K36" s="345">
        <v>40000</v>
      </c>
      <c r="L36" s="360" t="str">
        <f>IF(K36&lt;&gt;"",VLOOKUP(K36,ChartofAccountsTable,2,FALSE),"")</f>
        <v>Sales -Fuel Hauling</v>
      </c>
      <c r="M36" s="361"/>
      <c r="N36" s="361">
        <v>52050</v>
      </c>
      <c r="O36" s="342"/>
    </row>
    <row r="37" spans="1:15" s="199" customFormat="1" ht="14.65" customHeight="1">
      <c r="A37" s="282"/>
      <c r="B37" s="347">
        <v>46027</v>
      </c>
      <c r="C37" s="341">
        <v>901</v>
      </c>
      <c r="D37" s="342"/>
      <c r="E37" s="348" t="s">
        <v>180</v>
      </c>
      <c r="F37" s="263"/>
      <c r="G37" s="341" t="s">
        <v>181</v>
      </c>
      <c r="H37" s="263" t="s">
        <v>182</v>
      </c>
      <c r="I37" s="263">
        <v>2</v>
      </c>
      <c r="J37" s="358" t="s">
        <v>174</v>
      </c>
      <c r="K37" s="345">
        <v>12030</v>
      </c>
      <c r="L37" s="360" t="str">
        <f>IF(K37&lt;&gt;"",VLOOKUP(K37,ChartofAccountsTable,2,FALSE),"")</f>
        <v>A/Receivables - Fuel Clients</v>
      </c>
      <c r="M37" s="361">
        <v>24600</v>
      </c>
      <c r="N37" s="361"/>
      <c r="O37" s="342"/>
    </row>
    <row r="38" spans="1:15" s="199" customFormat="1" ht="14.65" customHeight="1">
      <c r="A38" s="282"/>
      <c r="B38" s="346"/>
      <c r="C38" s="341"/>
      <c r="D38" s="342"/>
      <c r="E38" s="348"/>
      <c r="F38" s="263"/>
      <c r="G38" s="341"/>
      <c r="H38" s="263"/>
      <c r="I38" s="263"/>
      <c r="J38" s="358" t="s">
        <v>174</v>
      </c>
      <c r="K38" s="345">
        <v>40000</v>
      </c>
      <c r="L38" s="360" t="str">
        <f>IF(K38&lt;&gt;"",VLOOKUP(K38,ChartofAccountsTable,2,FALSE),"")</f>
        <v>Sales -Fuel Hauling</v>
      </c>
      <c r="M38" s="361"/>
      <c r="N38" s="361">
        <v>24600</v>
      </c>
      <c r="O38" s="342"/>
    </row>
    <row r="39" spans="1:15" s="199" customFormat="1" ht="14.65" customHeight="1">
      <c r="A39" s="282"/>
      <c r="B39" s="347">
        <v>46026</v>
      </c>
      <c r="C39" s="341">
        <v>899</v>
      </c>
      <c r="D39" s="342"/>
      <c r="E39" s="343" t="s">
        <v>183</v>
      </c>
      <c r="F39" s="263"/>
      <c r="G39" s="341" t="s">
        <v>184</v>
      </c>
      <c r="H39" s="263" t="s">
        <v>185</v>
      </c>
      <c r="I39" s="263">
        <v>1.5</v>
      </c>
      <c r="J39" s="358" t="s">
        <v>174</v>
      </c>
      <c r="K39" s="345">
        <v>21000</v>
      </c>
      <c r="L39" s="360" t="str">
        <f>IF(K39&lt;&gt;"",VLOOKUP(K39,ChartofAccountsTable,2,FALSE),"")</f>
        <v>Unearned Revenue - DHPP</v>
      </c>
      <c r="M39" s="361">
        <v>52050</v>
      </c>
      <c r="N39" s="361"/>
      <c r="O39" s="342"/>
    </row>
    <row r="40" spans="1:15" s="199" customFormat="1" ht="14.65" customHeight="1">
      <c r="A40" s="282"/>
      <c r="B40" s="346"/>
      <c r="C40" s="341"/>
      <c r="D40" s="342"/>
      <c r="E40" s="343"/>
      <c r="F40" s="263"/>
      <c r="G40" s="341"/>
      <c r="H40" s="263"/>
      <c r="I40" s="263"/>
      <c r="J40" s="358" t="s">
        <v>174</v>
      </c>
      <c r="K40" s="345">
        <v>40000</v>
      </c>
      <c r="L40" s="360" t="str">
        <f>IF(K40&lt;&gt;"",VLOOKUP(K40,ChartofAccountsTable,2,FALSE),"")</f>
        <v>Sales -Fuel Hauling</v>
      </c>
      <c r="M40" s="361"/>
      <c r="N40" s="361">
        <v>52050</v>
      </c>
      <c r="O40" s="342"/>
    </row>
    <row r="41" spans="1:15" s="199" customFormat="1" ht="14.65" customHeight="1">
      <c r="A41" s="282"/>
      <c r="B41" s="347">
        <v>46026</v>
      </c>
      <c r="C41" s="341">
        <v>896</v>
      </c>
      <c r="D41" s="342"/>
      <c r="E41" s="343" t="s">
        <v>186</v>
      </c>
      <c r="F41" s="263"/>
      <c r="G41" s="341" t="s">
        <v>187</v>
      </c>
      <c r="H41" s="263" t="s">
        <v>159</v>
      </c>
      <c r="I41" s="263">
        <v>0.5</v>
      </c>
      <c r="J41" s="358" t="s">
        <v>174</v>
      </c>
      <c r="K41" s="345">
        <v>21000</v>
      </c>
      <c r="L41" s="360" t="str">
        <f>IF(K41&lt;&gt;"",VLOOKUP(K41,ChartofAccountsTable,2,FALSE),"")</f>
        <v>Unearned Revenue - DHPP</v>
      </c>
      <c r="M41" s="361">
        <v>153700</v>
      </c>
      <c r="N41" s="361"/>
      <c r="O41" s="342"/>
    </row>
    <row r="42" spans="1:15" s="199" customFormat="1" ht="14.65" customHeight="1">
      <c r="A42" s="282"/>
      <c r="B42" s="346"/>
      <c r="C42" s="341"/>
      <c r="D42" s="342"/>
      <c r="E42" s="343"/>
      <c r="F42" s="263"/>
      <c r="G42" s="341"/>
      <c r="H42" s="263"/>
      <c r="I42" s="263"/>
      <c r="J42" s="358" t="s">
        <v>174</v>
      </c>
      <c r="K42" s="345">
        <v>40000</v>
      </c>
      <c r="L42" s="360" t="str">
        <f>IF(K42&lt;&gt;"",VLOOKUP(K42,ChartofAccountsTable,2,FALSE),"")</f>
        <v>Sales -Fuel Hauling</v>
      </c>
      <c r="M42" s="361"/>
      <c r="N42" s="361">
        <v>153700</v>
      </c>
      <c r="O42" s="342"/>
    </row>
    <row r="43" spans="1:15" s="199" customFormat="1" ht="14.65" customHeight="1">
      <c r="A43" s="282"/>
      <c r="B43" s="347">
        <v>46026</v>
      </c>
      <c r="C43" s="341">
        <v>897</v>
      </c>
      <c r="D43" s="342"/>
      <c r="E43" s="343" t="s">
        <v>188</v>
      </c>
      <c r="F43" s="263"/>
      <c r="G43" s="349" t="s">
        <v>189</v>
      </c>
      <c r="H43" s="263" t="s">
        <v>149</v>
      </c>
      <c r="I43" s="263">
        <v>1</v>
      </c>
      <c r="J43" s="358" t="s">
        <v>174</v>
      </c>
      <c r="K43" s="345">
        <v>21000</v>
      </c>
      <c r="L43" s="360" t="str">
        <f>IF(K43&lt;&gt;"",VLOOKUP(K43,ChartofAccountsTable,2,FALSE),"")</f>
        <v>Unearned Revenue - DHPP</v>
      </c>
      <c r="M43" s="361">
        <v>49450</v>
      </c>
      <c r="N43" s="361"/>
      <c r="O43" s="342"/>
    </row>
    <row r="44" spans="1:15" s="199" customFormat="1" ht="14.65" customHeight="1">
      <c r="A44" s="282"/>
      <c r="B44" s="346"/>
      <c r="C44" s="341"/>
      <c r="D44" s="342"/>
      <c r="E44" s="343"/>
      <c r="F44" s="263"/>
      <c r="G44" s="349"/>
      <c r="H44" s="263"/>
      <c r="I44" s="263"/>
      <c r="J44" s="358" t="s">
        <v>174</v>
      </c>
      <c r="K44" s="345">
        <v>40000</v>
      </c>
      <c r="L44" s="360" t="str">
        <f>IF(K44&lt;&gt;"",VLOOKUP(K44,ChartofAccountsTable,2,FALSE),"")</f>
        <v>Sales -Fuel Hauling</v>
      </c>
      <c r="M44" s="361"/>
      <c r="N44" s="361">
        <v>49450</v>
      </c>
      <c r="O44" s="342"/>
    </row>
    <row r="45" spans="1:15" s="199" customFormat="1" ht="14.65" customHeight="1">
      <c r="A45" s="282"/>
      <c r="B45" s="347">
        <v>46026</v>
      </c>
      <c r="C45" s="341">
        <v>898</v>
      </c>
      <c r="D45" s="342"/>
      <c r="E45" s="343" t="s">
        <v>190</v>
      </c>
      <c r="F45" s="263"/>
      <c r="G45" s="341" t="s">
        <v>191</v>
      </c>
      <c r="H45" s="263" t="s">
        <v>192</v>
      </c>
      <c r="I45" s="263">
        <v>1</v>
      </c>
      <c r="J45" s="358" t="s">
        <v>174</v>
      </c>
      <c r="K45" s="345">
        <v>21000</v>
      </c>
      <c r="L45" s="360" t="str">
        <f>IF(K45&lt;&gt;"",VLOOKUP(K45,ChartofAccountsTable,2,FALSE),"")</f>
        <v>Unearned Revenue - DHPP</v>
      </c>
      <c r="M45" s="361">
        <v>77825</v>
      </c>
      <c r="N45" s="361"/>
      <c r="O45" s="342"/>
    </row>
    <row r="46" spans="1:15" s="199" customFormat="1" ht="14.65" customHeight="1">
      <c r="A46" s="282"/>
      <c r="B46" s="346"/>
      <c r="C46" s="341"/>
      <c r="D46" s="342"/>
      <c r="E46" s="343"/>
      <c r="F46" s="263"/>
      <c r="G46" s="341"/>
      <c r="H46" s="263"/>
      <c r="I46" s="263"/>
      <c r="J46" s="358" t="s">
        <v>174</v>
      </c>
      <c r="K46" s="345">
        <v>40000</v>
      </c>
      <c r="L46" s="360" t="str">
        <f>IF(K46&lt;&gt;"",VLOOKUP(K46,ChartofAccountsTable,2,FALSE),"")</f>
        <v>Sales -Fuel Hauling</v>
      </c>
      <c r="M46" s="361"/>
      <c r="N46" s="361">
        <v>77825</v>
      </c>
      <c r="O46" s="342"/>
    </row>
    <row r="47" spans="1:15" s="199" customFormat="1" ht="14.65" customHeight="1">
      <c r="A47" s="282"/>
      <c r="B47" s="347">
        <v>46025</v>
      </c>
      <c r="C47" s="341">
        <v>201</v>
      </c>
      <c r="D47" s="342"/>
      <c r="E47" s="343" t="s">
        <v>193</v>
      </c>
      <c r="F47" s="263"/>
      <c r="G47" s="341" t="s">
        <v>194</v>
      </c>
      <c r="H47" s="263" t="s">
        <v>149</v>
      </c>
      <c r="I47" s="263">
        <v>1</v>
      </c>
      <c r="J47" s="358" t="s">
        <v>195</v>
      </c>
      <c r="K47" s="342">
        <v>21000</v>
      </c>
      <c r="L47" s="360" t="str">
        <f>IF(K47&lt;&gt;"",VLOOKUP(K47,ChartofAccountsTable,2,FALSE),"")</f>
        <v>Unearned Revenue - DHPP</v>
      </c>
      <c r="M47" s="361">
        <v>51950</v>
      </c>
      <c r="N47" s="361"/>
      <c r="O47" s="342"/>
    </row>
    <row r="48" spans="1:15" s="199" customFormat="1" ht="14.65" customHeight="1">
      <c r="A48" s="282"/>
      <c r="B48" s="347"/>
      <c r="C48" s="341"/>
      <c r="D48" s="342"/>
      <c r="E48" s="343"/>
      <c r="F48" s="263"/>
      <c r="G48" s="341"/>
      <c r="H48" s="263"/>
      <c r="I48" s="263"/>
      <c r="J48" s="358" t="s">
        <v>195</v>
      </c>
      <c r="K48" s="345">
        <v>40000</v>
      </c>
      <c r="L48" s="360" t="str">
        <f>IF(K48&lt;&gt;"",VLOOKUP(K48,ChartofAccountsTable,2,FALSE),"")</f>
        <v>Sales -Fuel Hauling</v>
      </c>
      <c r="M48" s="361"/>
      <c r="N48" s="361">
        <v>51950</v>
      </c>
      <c r="O48" s="342"/>
    </row>
    <row r="49" spans="1:18" s="199" customFormat="1" ht="14.65" customHeight="1">
      <c r="A49" s="282"/>
      <c r="B49" s="347">
        <v>46025</v>
      </c>
      <c r="C49" s="341">
        <v>203</v>
      </c>
      <c r="D49" s="342"/>
      <c r="E49" s="343" t="s">
        <v>196</v>
      </c>
      <c r="F49" s="263"/>
      <c r="G49" s="341" t="s">
        <v>197</v>
      </c>
      <c r="H49" s="263" t="s">
        <v>162</v>
      </c>
      <c r="I49" s="263">
        <v>0.5</v>
      </c>
      <c r="J49" s="358" t="s">
        <v>195</v>
      </c>
      <c r="K49" s="345">
        <v>21000</v>
      </c>
      <c r="L49" s="360" t="str">
        <f>IF(K49&lt;&gt;"",VLOOKUP(K49,ChartofAccountsTable,2,FALSE),"")</f>
        <v>Unearned Revenue - DHPP</v>
      </c>
      <c r="M49" s="361">
        <v>50425</v>
      </c>
      <c r="N49" s="361"/>
      <c r="O49" s="342"/>
    </row>
    <row r="50" spans="1:18" s="199" customFormat="1" ht="14.65" customHeight="1">
      <c r="A50" s="282"/>
      <c r="B50" s="346"/>
      <c r="C50" s="341"/>
      <c r="D50" s="342"/>
      <c r="E50" s="343"/>
      <c r="F50" s="263"/>
      <c r="G50" s="341"/>
      <c r="H50" s="263"/>
      <c r="I50" s="263"/>
      <c r="J50" s="358" t="s">
        <v>195</v>
      </c>
      <c r="K50" s="345">
        <v>12030</v>
      </c>
      <c r="L50" s="360" t="str">
        <f>IF(K50&lt;&gt;"",VLOOKUP(K50,ChartofAccountsTable,2,FALSE),"")</f>
        <v>A/Receivables - Fuel Clients</v>
      </c>
      <c r="M50" s="361">
        <v>50</v>
      </c>
      <c r="N50" s="361"/>
      <c r="O50" s="342" t="s">
        <v>198</v>
      </c>
    </row>
    <row r="51" spans="1:18" s="199" customFormat="1" ht="14.65" customHeight="1">
      <c r="A51" s="282"/>
      <c r="B51" s="346"/>
      <c r="C51" s="341"/>
      <c r="D51" s="342"/>
      <c r="E51" s="343"/>
      <c r="F51" s="263"/>
      <c r="G51" s="341"/>
      <c r="H51" s="263"/>
      <c r="I51" s="263"/>
      <c r="J51" s="358" t="s">
        <v>195</v>
      </c>
      <c r="K51" s="345">
        <v>40000</v>
      </c>
      <c r="L51" s="360" t="str">
        <f>IF(K51&lt;&gt;"",VLOOKUP(K51,ChartofAccountsTable,2,FALSE),"")</f>
        <v>Sales -Fuel Hauling</v>
      </c>
      <c r="M51" s="361"/>
      <c r="N51" s="361">
        <v>50475</v>
      </c>
      <c r="O51" s="342"/>
    </row>
    <row r="52" spans="1:18" s="199" customFormat="1" ht="14.65" customHeight="1">
      <c r="A52" s="282"/>
      <c r="B52" s="347">
        <v>46025</v>
      </c>
      <c r="C52" s="341">
        <v>202</v>
      </c>
      <c r="D52" s="342"/>
      <c r="E52" s="343" t="s">
        <v>199</v>
      </c>
      <c r="F52" s="263"/>
      <c r="G52" s="341" t="s">
        <v>200</v>
      </c>
      <c r="H52" s="263" t="s">
        <v>185</v>
      </c>
      <c r="I52" s="263">
        <v>1.5</v>
      </c>
      <c r="J52" s="358" t="s">
        <v>195</v>
      </c>
      <c r="K52" s="345">
        <v>21000</v>
      </c>
      <c r="L52" s="360" t="str">
        <f>IF(K52&lt;&gt;"",VLOOKUP(K52,ChartofAccountsTable,2,FALSE),"")</f>
        <v>Unearned Revenue - DHPP</v>
      </c>
      <c r="M52" s="361">
        <v>51950</v>
      </c>
      <c r="N52" s="361"/>
      <c r="O52" s="342"/>
    </row>
    <row r="53" spans="1:18" s="199" customFormat="1" ht="14.65" customHeight="1">
      <c r="A53" s="282"/>
      <c r="B53" s="346"/>
      <c r="C53" s="341"/>
      <c r="D53" s="342"/>
      <c r="E53" s="343"/>
      <c r="F53" s="263"/>
      <c r="G53" s="341"/>
      <c r="H53" s="263"/>
      <c r="I53" s="263"/>
      <c r="J53" s="358" t="s">
        <v>195</v>
      </c>
      <c r="K53" s="345">
        <v>40000</v>
      </c>
      <c r="L53" s="360" t="str">
        <f>IF(K53&lt;&gt;"",VLOOKUP(K53,ChartofAccountsTable,2,FALSE),"")</f>
        <v>Sales -Fuel Hauling</v>
      </c>
      <c r="M53" s="361"/>
      <c r="N53" s="361">
        <v>51950</v>
      </c>
      <c r="O53" s="342"/>
    </row>
    <row r="54" spans="1:18" s="199" customFormat="1" ht="14.65" customHeight="1">
      <c r="A54" s="282"/>
      <c r="B54" s="347">
        <v>46025</v>
      </c>
      <c r="C54" s="341">
        <v>207</v>
      </c>
      <c r="D54" s="342"/>
      <c r="E54" s="348" t="s">
        <v>201</v>
      </c>
      <c r="F54" s="263"/>
      <c r="G54" s="341" t="s">
        <v>202</v>
      </c>
      <c r="H54" s="263" t="s">
        <v>149</v>
      </c>
      <c r="I54" s="263">
        <v>1</v>
      </c>
      <c r="J54" s="358" t="s">
        <v>195</v>
      </c>
      <c r="K54" s="345">
        <v>21000</v>
      </c>
      <c r="L54" s="360" t="str">
        <f>IF(K54&lt;&gt;"",VLOOKUP(K54,ChartofAccountsTable,2,FALSE),"")</f>
        <v>Unearned Revenue - DHPP</v>
      </c>
      <c r="M54" s="361">
        <v>51700</v>
      </c>
      <c r="N54" s="361"/>
      <c r="O54" s="342"/>
      <c r="P54" s="249"/>
      <c r="Q54" s="249"/>
      <c r="R54" s="249"/>
    </row>
    <row r="55" spans="1:18" s="199" customFormat="1" ht="14.65" customHeight="1">
      <c r="A55" s="282"/>
      <c r="B55" s="346"/>
      <c r="C55" s="341"/>
      <c r="D55" s="342"/>
      <c r="E55" s="348"/>
      <c r="F55" s="263"/>
      <c r="G55" s="341"/>
      <c r="H55" s="263"/>
      <c r="I55" s="263"/>
      <c r="J55" s="358" t="s">
        <v>195</v>
      </c>
      <c r="K55" s="345">
        <v>40000</v>
      </c>
      <c r="L55" s="360" t="str">
        <f>IF(K55&lt;&gt;"",VLOOKUP(K55,ChartofAccountsTable,2,FALSE),"")</f>
        <v>Sales -Fuel Hauling</v>
      </c>
      <c r="M55" s="361"/>
      <c r="N55" s="361">
        <v>51700</v>
      </c>
      <c r="O55" s="342"/>
      <c r="P55" s="249"/>
      <c r="Q55" s="249"/>
      <c r="R55" s="249"/>
    </row>
    <row r="56" spans="1:18" s="199" customFormat="1" ht="14.65" customHeight="1">
      <c r="A56" s="282"/>
      <c r="B56" s="347">
        <v>46025</v>
      </c>
      <c r="C56" s="341">
        <v>205</v>
      </c>
      <c r="D56" s="342"/>
      <c r="E56" s="343" t="s">
        <v>203</v>
      </c>
      <c r="F56" s="263"/>
      <c r="G56" s="341" t="s">
        <v>204</v>
      </c>
      <c r="H56" s="263" t="s">
        <v>162</v>
      </c>
      <c r="I56" s="263">
        <v>0.5</v>
      </c>
      <c r="J56" s="358" t="s">
        <v>195</v>
      </c>
      <c r="K56" s="345">
        <v>21000</v>
      </c>
      <c r="L56" s="360" t="str">
        <f>IF(K56&lt;&gt;"",VLOOKUP(K56,ChartofAccountsTable,2,FALSE),"")</f>
        <v>Unearned Revenue - DHPP</v>
      </c>
      <c r="M56" s="361">
        <v>75650</v>
      </c>
      <c r="N56" s="361"/>
      <c r="O56" s="342"/>
      <c r="P56" s="249"/>
      <c r="Q56" s="249"/>
      <c r="R56" s="249"/>
    </row>
    <row r="57" spans="1:18" s="199" customFormat="1" ht="14.65" customHeight="1">
      <c r="A57" s="282"/>
      <c r="B57" s="346"/>
      <c r="C57" s="341"/>
      <c r="D57" s="342"/>
      <c r="E57" s="343"/>
      <c r="F57" s="263"/>
      <c r="G57" s="341"/>
      <c r="H57" s="263"/>
      <c r="I57" s="263"/>
      <c r="J57" s="358" t="s">
        <v>195</v>
      </c>
      <c r="K57" s="345">
        <v>21000</v>
      </c>
      <c r="L57" s="360" t="str">
        <f>IF(K57&lt;&gt;"",VLOOKUP(K57,ChartofAccountsTable,2,FALSE),"")</f>
        <v>Unearned Revenue - DHPP</v>
      </c>
      <c r="M57" s="361">
        <v>650</v>
      </c>
      <c r="N57" s="361"/>
      <c r="O57" s="342" t="s">
        <v>205</v>
      </c>
      <c r="P57" s="249"/>
      <c r="Q57" s="249"/>
      <c r="R57" s="249"/>
    </row>
    <row r="58" spans="1:18" s="199" customFormat="1" ht="14.65" customHeight="1">
      <c r="A58" s="282"/>
      <c r="B58" s="346"/>
      <c r="C58" s="341"/>
      <c r="D58" s="342"/>
      <c r="E58" s="343"/>
      <c r="F58" s="263"/>
      <c r="G58" s="341"/>
      <c r="H58" s="263"/>
      <c r="I58" s="263"/>
      <c r="J58" s="358" t="s">
        <v>195</v>
      </c>
      <c r="K58" s="345">
        <v>40000</v>
      </c>
      <c r="L58" s="360" t="str">
        <f>IF(K58&lt;&gt;"",VLOOKUP(K58,ChartofAccountsTable,2,FALSE),"")</f>
        <v>Sales -Fuel Hauling</v>
      </c>
      <c r="M58" s="361"/>
      <c r="N58" s="361">
        <v>76300</v>
      </c>
      <c r="O58" s="342"/>
      <c r="P58" s="249"/>
      <c r="Q58" s="249"/>
      <c r="R58" s="249"/>
    </row>
    <row r="59" spans="1:18" s="199" customFormat="1" ht="14.65" customHeight="1">
      <c r="A59" s="282"/>
      <c r="B59" s="347">
        <v>46025</v>
      </c>
      <c r="C59" s="341">
        <v>204</v>
      </c>
      <c r="D59" s="342"/>
      <c r="E59" s="343" t="s">
        <v>206</v>
      </c>
      <c r="F59" s="263"/>
      <c r="G59" s="341" t="s">
        <v>207</v>
      </c>
      <c r="H59" s="263" t="s">
        <v>162</v>
      </c>
      <c r="I59" s="263">
        <v>0.5</v>
      </c>
      <c r="J59" s="358" t="s">
        <v>195</v>
      </c>
      <c r="K59" s="345">
        <v>21000</v>
      </c>
      <c r="L59" s="360" t="str">
        <f>IF(K59&lt;&gt;"",VLOOKUP(K59,ChartofAccountsTable,2,FALSE),"")</f>
        <v>Unearned Revenue - DHPP</v>
      </c>
      <c r="M59" s="361">
        <v>51800</v>
      </c>
      <c r="N59" s="361"/>
      <c r="O59" s="342"/>
      <c r="P59" s="249"/>
      <c r="Q59" s="249"/>
      <c r="R59" s="249"/>
    </row>
    <row r="60" spans="1:18" s="199" customFormat="1" ht="14.65" customHeight="1">
      <c r="A60" s="282"/>
      <c r="B60" s="346"/>
      <c r="C60" s="341"/>
      <c r="D60" s="342"/>
      <c r="E60" s="343"/>
      <c r="F60" s="263"/>
      <c r="G60" s="341"/>
      <c r="H60" s="263"/>
      <c r="I60" s="263"/>
      <c r="J60" s="358" t="s">
        <v>195</v>
      </c>
      <c r="K60" s="345">
        <v>40000</v>
      </c>
      <c r="L60" s="360" t="str">
        <f>IF(K60&lt;&gt;"",VLOOKUP(K60,ChartofAccountsTable,2,FALSE),"")</f>
        <v>Sales -Fuel Hauling</v>
      </c>
      <c r="M60" s="361"/>
      <c r="N60" s="361">
        <v>51800</v>
      </c>
      <c r="O60" s="342"/>
      <c r="P60" s="249"/>
      <c r="Q60" s="249"/>
      <c r="R60" s="249"/>
    </row>
    <row r="61" spans="1:18" s="199" customFormat="1" ht="14.65" customHeight="1">
      <c r="A61" s="282"/>
      <c r="B61" s="347">
        <v>46025</v>
      </c>
      <c r="C61" s="341">
        <v>206</v>
      </c>
      <c r="D61" s="342"/>
      <c r="E61" s="343" t="s">
        <v>208</v>
      </c>
      <c r="F61" s="263"/>
      <c r="G61" s="341" t="s">
        <v>209</v>
      </c>
      <c r="H61" s="263" t="s">
        <v>149</v>
      </c>
      <c r="I61" s="263">
        <v>1</v>
      </c>
      <c r="J61" s="358" t="s">
        <v>195</v>
      </c>
      <c r="K61" s="345">
        <v>21000</v>
      </c>
      <c r="L61" s="360" t="str">
        <f>IF(K61&lt;&gt;"",VLOOKUP(K61,ChartofAccountsTable,2,FALSE),"")</f>
        <v>Unearned Revenue - DHPP</v>
      </c>
      <c r="M61" s="361">
        <v>255850</v>
      </c>
      <c r="N61" s="361"/>
      <c r="O61" s="342"/>
      <c r="P61" s="249"/>
      <c r="Q61" s="249"/>
      <c r="R61" s="249"/>
    </row>
    <row r="62" spans="1:18" s="199" customFormat="1" ht="14.65" customHeight="1">
      <c r="A62" s="282"/>
      <c r="B62" s="346"/>
      <c r="C62" s="341"/>
      <c r="D62" s="342"/>
      <c r="E62" s="343"/>
      <c r="F62" s="263"/>
      <c r="G62" s="341"/>
      <c r="H62" s="263"/>
      <c r="I62" s="263"/>
      <c r="J62" s="358" t="s">
        <v>195</v>
      </c>
      <c r="K62" s="345">
        <v>40000</v>
      </c>
      <c r="L62" s="360" t="str">
        <f>IF(K62&lt;&gt;"",VLOOKUP(K62,ChartofAccountsTable,2,FALSE),"")</f>
        <v>Sales -Fuel Hauling</v>
      </c>
      <c r="M62" s="361"/>
      <c r="N62" s="361">
        <v>255850</v>
      </c>
      <c r="O62" s="342"/>
      <c r="P62" s="249"/>
      <c r="Q62" s="249"/>
      <c r="R62" s="249"/>
    </row>
    <row r="63" spans="1:18" s="199" customFormat="1" ht="14.65" customHeight="1">
      <c r="A63" s="282"/>
      <c r="B63" s="347">
        <v>46025</v>
      </c>
      <c r="C63" s="341">
        <v>208</v>
      </c>
      <c r="D63" s="342"/>
      <c r="E63" s="343" t="s">
        <v>210</v>
      </c>
      <c r="F63" s="263"/>
      <c r="G63" s="341" t="s">
        <v>211</v>
      </c>
      <c r="H63" s="263" t="s">
        <v>212</v>
      </c>
      <c r="I63" s="263">
        <v>2</v>
      </c>
      <c r="J63" s="358" t="s">
        <v>195</v>
      </c>
      <c r="K63" s="345">
        <v>21000</v>
      </c>
      <c r="L63" s="360" t="str">
        <f>IF(K63&lt;&gt;"",VLOOKUP(K63,ChartofAccountsTable,2,FALSE),"")</f>
        <v>Unearned Revenue - DHPP</v>
      </c>
      <c r="M63" s="361">
        <v>51950</v>
      </c>
      <c r="N63" s="361"/>
      <c r="O63" s="342"/>
      <c r="P63" s="249"/>
      <c r="Q63" s="249"/>
      <c r="R63" s="249"/>
    </row>
    <row r="64" spans="1:18" s="199" customFormat="1" ht="14.65" customHeight="1">
      <c r="A64" s="282"/>
      <c r="B64" s="346"/>
      <c r="C64" s="341"/>
      <c r="D64" s="342"/>
      <c r="E64" s="343"/>
      <c r="F64" s="263"/>
      <c r="G64" s="341"/>
      <c r="H64" s="263"/>
      <c r="I64" s="263"/>
      <c r="J64" s="358" t="s">
        <v>195</v>
      </c>
      <c r="K64" s="345">
        <v>40000</v>
      </c>
      <c r="L64" s="360" t="str">
        <f>IF(K64&lt;&gt;"",VLOOKUP(K64,ChartofAccountsTable,2,FALSE),"")</f>
        <v>Sales -Fuel Hauling</v>
      </c>
      <c r="M64" s="361"/>
      <c r="N64" s="361">
        <v>51950</v>
      </c>
      <c r="O64" s="342"/>
      <c r="P64" s="249"/>
      <c r="Q64" s="249"/>
      <c r="R64" s="249"/>
    </row>
    <row r="65" spans="1:20" s="199" customFormat="1" ht="14.65" customHeight="1">
      <c r="A65" s="282"/>
      <c r="B65" s="347">
        <v>46024</v>
      </c>
      <c r="C65" s="341">
        <v>1013</v>
      </c>
      <c r="D65" s="342"/>
      <c r="E65" s="343" t="s">
        <v>213</v>
      </c>
      <c r="F65" s="263"/>
      <c r="G65" s="341" t="s">
        <v>214</v>
      </c>
      <c r="H65" s="263" t="s">
        <v>149</v>
      </c>
      <c r="I65" s="263">
        <v>1</v>
      </c>
      <c r="J65" s="358" t="s">
        <v>215</v>
      </c>
      <c r="K65" s="345">
        <v>21000</v>
      </c>
      <c r="L65" s="360" t="str">
        <f>IF(K65&lt;&gt;"",VLOOKUP(K65,ChartofAccountsTable,2,FALSE),"")</f>
        <v>Unearned Revenue - DHPP</v>
      </c>
      <c r="M65" s="361">
        <v>51700</v>
      </c>
      <c r="N65" s="361"/>
      <c r="O65" s="342"/>
      <c r="P65" s="249"/>
      <c r="Q65" s="249"/>
      <c r="R65" s="249"/>
    </row>
    <row r="66" spans="1:20" s="199" customFormat="1" ht="14.65" customHeight="1">
      <c r="A66" s="282"/>
      <c r="B66" s="346"/>
      <c r="C66" s="341"/>
      <c r="D66" s="342"/>
      <c r="E66" s="343"/>
      <c r="F66" s="263"/>
      <c r="G66" s="341"/>
      <c r="H66" s="263"/>
      <c r="I66" s="263"/>
      <c r="J66" s="358" t="s">
        <v>215</v>
      </c>
      <c r="K66" s="345">
        <v>21000</v>
      </c>
      <c r="L66" s="360" t="str">
        <f>IF(K66&lt;&gt;"",VLOOKUP(K66,ChartofAccountsTable,2,FALSE),"")</f>
        <v>Unearned Revenue - DHPP</v>
      </c>
      <c r="M66" s="361">
        <v>250</v>
      </c>
      <c r="N66" s="361"/>
      <c r="O66" s="342" t="s">
        <v>216</v>
      </c>
      <c r="P66" s="250"/>
      <c r="Q66" s="250"/>
      <c r="R66" s="250"/>
      <c r="S66" s="251"/>
    </row>
    <row r="67" spans="1:20" s="199" customFormat="1" ht="14.65" customHeight="1">
      <c r="A67" s="282"/>
      <c r="B67" s="346"/>
      <c r="C67" s="341"/>
      <c r="D67" s="342"/>
      <c r="E67" s="343"/>
      <c r="F67" s="263"/>
      <c r="G67" s="341"/>
      <c r="H67" s="263"/>
      <c r="I67" s="263"/>
      <c r="J67" s="358" t="s">
        <v>215</v>
      </c>
      <c r="K67" s="345">
        <v>40000</v>
      </c>
      <c r="L67" s="360" t="str">
        <f>IF(K67&lt;&gt;"",VLOOKUP(K67,ChartofAccountsTable,2,FALSE),"")</f>
        <v>Sales -Fuel Hauling</v>
      </c>
      <c r="M67" s="361"/>
      <c r="N67" s="361">
        <v>51950</v>
      </c>
      <c r="O67" s="342"/>
      <c r="P67" s="250"/>
      <c r="Q67" s="250"/>
      <c r="R67" s="250"/>
      <c r="S67" s="251"/>
    </row>
    <row r="68" spans="1:20" s="199" customFormat="1" ht="14.65" customHeight="1">
      <c r="A68" s="282"/>
      <c r="B68" s="347">
        <v>46024</v>
      </c>
      <c r="C68" s="341">
        <v>1014</v>
      </c>
      <c r="D68" s="342"/>
      <c r="E68" s="343" t="s">
        <v>217</v>
      </c>
      <c r="F68" s="263"/>
      <c r="G68" s="341" t="s">
        <v>218</v>
      </c>
      <c r="H68" s="263" t="s">
        <v>159</v>
      </c>
      <c r="I68" s="263">
        <v>0.5</v>
      </c>
      <c r="J68" s="358" t="s">
        <v>219</v>
      </c>
      <c r="K68" s="345">
        <v>21000</v>
      </c>
      <c r="L68" s="360" t="str">
        <f>IF(K68&lt;&gt;"",VLOOKUP(K68,ChartofAccountsTable,2,FALSE),"")</f>
        <v>Unearned Revenue - DHPP</v>
      </c>
      <c r="M68" s="361">
        <v>51950</v>
      </c>
      <c r="N68" s="361"/>
      <c r="O68" s="342"/>
      <c r="P68" s="250"/>
      <c r="Q68" s="250"/>
      <c r="R68" s="250"/>
      <c r="S68" s="251"/>
    </row>
    <row r="69" spans="1:20" s="199" customFormat="1" ht="14.65" customHeight="1">
      <c r="A69" s="282"/>
      <c r="B69" s="346"/>
      <c r="C69" s="341"/>
      <c r="D69" s="342"/>
      <c r="E69" s="343"/>
      <c r="F69" s="263"/>
      <c r="G69" s="341"/>
      <c r="H69" s="263"/>
      <c r="I69" s="263"/>
      <c r="J69" s="358" t="s">
        <v>219</v>
      </c>
      <c r="K69" s="345">
        <v>40000</v>
      </c>
      <c r="L69" s="360" t="str">
        <f>IF(K69&lt;&gt;"",VLOOKUP(K69,ChartofAccountsTable,2,FALSE),"")</f>
        <v>Sales -Fuel Hauling</v>
      </c>
      <c r="M69" s="361"/>
      <c r="N69" s="361">
        <v>51950</v>
      </c>
      <c r="O69" s="342"/>
      <c r="P69" s="250"/>
      <c r="Q69" s="250"/>
      <c r="R69" s="250"/>
      <c r="S69" s="251"/>
    </row>
    <row r="70" spans="1:20" s="199" customFormat="1" ht="14.65" customHeight="1">
      <c r="A70" s="282"/>
      <c r="B70" s="347">
        <v>46024</v>
      </c>
      <c r="C70" s="341">
        <v>1019</v>
      </c>
      <c r="D70" s="342"/>
      <c r="E70" s="343" t="s">
        <v>220</v>
      </c>
      <c r="F70" s="350"/>
      <c r="G70" s="341" t="s">
        <v>187</v>
      </c>
      <c r="H70" s="263" t="s">
        <v>149</v>
      </c>
      <c r="I70" s="263">
        <v>1</v>
      </c>
      <c r="J70" s="358" t="s">
        <v>195</v>
      </c>
      <c r="K70" s="345">
        <v>21000</v>
      </c>
      <c r="L70" s="360" t="str">
        <f>IF(K70&lt;&gt;"",VLOOKUP(K70,ChartofAccountsTable,2,FALSE),"")</f>
        <v>Unearned Revenue - DHPP</v>
      </c>
      <c r="M70" s="361">
        <v>406600</v>
      </c>
      <c r="N70" s="361"/>
      <c r="O70" s="342"/>
      <c r="P70" s="250"/>
      <c r="Q70" s="250"/>
      <c r="R70" s="250"/>
      <c r="S70" s="251"/>
    </row>
    <row r="71" spans="1:20" s="199" customFormat="1" ht="14.65" customHeight="1">
      <c r="A71" s="282"/>
      <c r="B71" s="346"/>
      <c r="C71" s="341"/>
      <c r="D71" s="342"/>
      <c r="E71" s="343"/>
      <c r="F71" s="350"/>
      <c r="G71" s="341"/>
      <c r="H71" s="263"/>
      <c r="I71" s="263"/>
      <c r="J71" s="358" t="s">
        <v>195</v>
      </c>
      <c r="K71" s="345">
        <v>12030</v>
      </c>
      <c r="L71" s="360" t="str">
        <f>IF(K71&lt;&gt;"",VLOOKUP(K71,ChartofAccountsTable,2,FALSE),"")</f>
        <v>A/Receivables - Fuel Clients</v>
      </c>
      <c r="M71" s="361">
        <v>1100</v>
      </c>
      <c r="N71" s="361"/>
      <c r="O71" s="344" t="s">
        <v>221</v>
      </c>
      <c r="P71" s="250"/>
      <c r="Q71" s="250"/>
      <c r="R71" s="250"/>
      <c r="S71" s="251"/>
    </row>
    <row r="72" spans="1:20" s="199" customFormat="1" ht="14.65" customHeight="1">
      <c r="A72" s="282"/>
      <c r="B72" s="346"/>
      <c r="C72" s="341"/>
      <c r="D72" s="342"/>
      <c r="E72" s="343"/>
      <c r="F72" s="350"/>
      <c r="G72" s="341"/>
      <c r="H72" s="263"/>
      <c r="I72" s="263"/>
      <c r="J72" s="358" t="s">
        <v>195</v>
      </c>
      <c r="K72" s="345">
        <v>40000</v>
      </c>
      <c r="L72" s="360" t="str">
        <f>IF(K72&lt;&gt;"",VLOOKUP(K72,ChartofAccountsTable,2,FALSE),"")</f>
        <v>Sales -Fuel Hauling</v>
      </c>
      <c r="M72" s="361"/>
      <c r="N72" s="361">
        <v>407700</v>
      </c>
      <c r="O72" s="342"/>
      <c r="P72" s="250"/>
      <c r="Q72" s="250"/>
      <c r="R72" s="250"/>
      <c r="S72" s="251"/>
    </row>
    <row r="73" spans="1:20" s="199" customFormat="1" ht="14.65" customHeight="1">
      <c r="A73" s="282"/>
      <c r="B73" s="347">
        <v>46024</v>
      </c>
      <c r="C73" s="341">
        <v>1020</v>
      </c>
      <c r="D73" s="342"/>
      <c r="E73" s="343" t="s">
        <v>222</v>
      </c>
      <c r="F73" s="263"/>
      <c r="G73" s="341" t="s">
        <v>187</v>
      </c>
      <c r="H73" s="263" t="s">
        <v>168</v>
      </c>
      <c r="I73" s="263">
        <v>0.5</v>
      </c>
      <c r="J73" s="358" t="s">
        <v>223</v>
      </c>
      <c r="K73" s="345">
        <v>21000</v>
      </c>
      <c r="L73" s="360" t="str">
        <f>IF(K73&lt;&gt;"",VLOOKUP(K73,ChartofAccountsTable,2,FALSE),"")</f>
        <v>Unearned Revenue - DHPP</v>
      </c>
      <c r="M73" s="361">
        <v>153700</v>
      </c>
      <c r="N73" s="361"/>
      <c r="O73" s="342"/>
      <c r="P73" s="250"/>
      <c r="Q73" s="250"/>
      <c r="R73" s="250"/>
      <c r="S73" s="251"/>
    </row>
    <row r="74" spans="1:20" s="199" customFormat="1" ht="14.65" customHeight="1">
      <c r="A74" s="282"/>
      <c r="B74" s="346"/>
      <c r="C74" s="341"/>
      <c r="D74" s="342"/>
      <c r="E74" s="343"/>
      <c r="F74" s="263"/>
      <c r="G74" s="341"/>
      <c r="H74" s="263"/>
      <c r="I74" s="263"/>
      <c r="J74" s="358" t="s">
        <v>223</v>
      </c>
      <c r="K74" s="345">
        <v>40000</v>
      </c>
      <c r="L74" s="360" t="str">
        <f>IF(K74&lt;&gt;"",VLOOKUP(K74,ChartofAccountsTable,2,FALSE),"")</f>
        <v>Sales -Fuel Hauling</v>
      </c>
      <c r="M74" s="361"/>
      <c r="N74" s="361">
        <v>153700</v>
      </c>
      <c r="O74" s="342"/>
      <c r="P74" s="250"/>
      <c r="Q74" s="250"/>
      <c r="R74" s="250"/>
      <c r="S74" s="251"/>
    </row>
    <row r="75" spans="1:20" s="199" customFormat="1" ht="14.65" customHeight="1">
      <c r="A75" s="282"/>
      <c r="B75" s="347">
        <v>46024</v>
      </c>
      <c r="C75" s="341">
        <v>1015</v>
      </c>
      <c r="D75" s="342"/>
      <c r="E75" s="343" t="s">
        <v>224</v>
      </c>
      <c r="F75" s="263"/>
      <c r="G75" s="341" t="s">
        <v>225</v>
      </c>
      <c r="H75" s="263" t="s">
        <v>159</v>
      </c>
      <c r="I75" s="263">
        <v>0.5</v>
      </c>
      <c r="J75" s="358" t="s">
        <v>223</v>
      </c>
      <c r="K75" s="345">
        <v>21000</v>
      </c>
      <c r="L75" s="360" t="str">
        <f>IF(K75&lt;&gt;"",VLOOKUP(K75,ChartofAccountsTable,2,FALSE),"")</f>
        <v>Unearned Revenue - DHPP</v>
      </c>
      <c r="M75" s="361">
        <v>52050</v>
      </c>
      <c r="N75" s="361"/>
      <c r="O75" s="342"/>
      <c r="P75" s="250"/>
      <c r="Q75" s="250"/>
      <c r="R75" s="250"/>
      <c r="S75" s="251"/>
    </row>
    <row r="76" spans="1:20" s="199" customFormat="1" ht="14.65" customHeight="1">
      <c r="A76" s="282"/>
      <c r="B76" s="346"/>
      <c r="C76" s="341"/>
      <c r="D76" s="342"/>
      <c r="E76" s="343"/>
      <c r="F76" s="263"/>
      <c r="G76" s="341"/>
      <c r="H76" s="263"/>
      <c r="I76" s="263"/>
      <c r="J76" s="358" t="s">
        <v>223</v>
      </c>
      <c r="K76" s="345">
        <v>40000</v>
      </c>
      <c r="L76" s="360" t="str">
        <f>IF(K76&lt;&gt;"",VLOOKUP(K76,ChartofAccountsTable,2,FALSE),"")</f>
        <v>Sales -Fuel Hauling</v>
      </c>
      <c r="M76" s="361"/>
      <c r="N76" s="361">
        <v>52050</v>
      </c>
      <c r="O76" s="342"/>
      <c r="P76" s="250"/>
      <c r="Q76" s="250"/>
      <c r="R76" s="250"/>
      <c r="S76" s="251"/>
    </row>
    <row r="77" spans="1:20" s="199" customFormat="1" ht="14.65" customHeight="1">
      <c r="A77" s="282"/>
      <c r="B77" s="347">
        <v>46024</v>
      </c>
      <c r="C77" s="341">
        <v>1016</v>
      </c>
      <c r="D77" s="342"/>
      <c r="E77" s="343" t="s">
        <v>226</v>
      </c>
      <c r="F77" s="263"/>
      <c r="G77" s="341" t="s">
        <v>227</v>
      </c>
      <c r="H77" s="263" t="s">
        <v>149</v>
      </c>
      <c r="I77" s="263">
        <v>1</v>
      </c>
      <c r="J77" s="358" t="s">
        <v>223</v>
      </c>
      <c r="K77" s="345">
        <v>21000</v>
      </c>
      <c r="L77" s="360" t="str">
        <f>IF(K77&lt;&gt;"",VLOOKUP(K77,ChartofAccountsTable,2,FALSE),"")</f>
        <v>Unearned Revenue - DHPP</v>
      </c>
      <c r="M77" s="361">
        <v>130000</v>
      </c>
      <c r="N77" s="361"/>
      <c r="O77" s="342"/>
      <c r="P77" s="250"/>
      <c r="Q77" s="250"/>
      <c r="R77" s="250"/>
      <c r="S77" s="251"/>
    </row>
    <row r="78" spans="1:20" s="199" customFormat="1" ht="14.65" customHeight="1">
      <c r="A78" s="282"/>
      <c r="B78" s="346"/>
      <c r="C78" s="341"/>
      <c r="D78" s="342"/>
      <c r="E78" s="343"/>
      <c r="F78" s="263"/>
      <c r="G78" s="341"/>
      <c r="H78" s="263"/>
      <c r="I78" s="263"/>
      <c r="J78" s="358" t="s">
        <v>223</v>
      </c>
      <c r="K78" s="345">
        <v>12030</v>
      </c>
      <c r="L78" s="360" t="str">
        <f>IF(K78&lt;&gt;"",VLOOKUP(K78,ChartofAccountsTable,2,FALSE),"")</f>
        <v>A/Receivables - Fuel Clients</v>
      </c>
      <c r="M78" s="361">
        <v>72450</v>
      </c>
      <c r="N78" s="361"/>
      <c r="O78" s="342"/>
      <c r="P78" s="249"/>
      <c r="Q78" s="249"/>
      <c r="R78" s="249"/>
      <c r="S78" s="249"/>
      <c r="T78" s="249"/>
    </row>
    <row r="79" spans="1:20" s="199" customFormat="1" ht="14.65" customHeight="1">
      <c r="A79" s="282"/>
      <c r="B79" s="346"/>
      <c r="C79" s="341"/>
      <c r="D79" s="342"/>
      <c r="E79" s="343"/>
      <c r="F79" s="263"/>
      <c r="G79" s="341"/>
      <c r="H79" s="263"/>
      <c r="I79" s="263"/>
      <c r="J79" s="358" t="s">
        <v>223</v>
      </c>
      <c r="K79" s="345">
        <v>40000</v>
      </c>
      <c r="L79" s="360" t="str">
        <f>IF(K79&lt;&gt;"",VLOOKUP(K79,ChartofAccountsTable,2,FALSE),"")</f>
        <v>Sales -Fuel Hauling</v>
      </c>
      <c r="M79" s="361"/>
      <c r="N79" s="361">
        <v>202450</v>
      </c>
      <c r="O79" s="342"/>
      <c r="P79" s="249"/>
      <c r="Q79" s="249"/>
      <c r="R79" s="249"/>
      <c r="S79" s="249"/>
      <c r="T79" s="249"/>
    </row>
    <row r="80" spans="1:20" s="199" customFormat="1" ht="14.65" customHeight="1">
      <c r="A80" s="282"/>
      <c r="B80" s="347">
        <v>46024</v>
      </c>
      <c r="C80" s="341">
        <v>1018</v>
      </c>
      <c r="D80" s="342"/>
      <c r="E80" s="343" t="s">
        <v>228</v>
      </c>
      <c r="F80" s="263"/>
      <c r="G80" s="341" t="s">
        <v>229</v>
      </c>
      <c r="H80" s="263" t="s">
        <v>230</v>
      </c>
      <c r="I80" s="263">
        <v>1</v>
      </c>
      <c r="J80" s="358" t="s">
        <v>223</v>
      </c>
      <c r="K80" s="345">
        <v>21000</v>
      </c>
      <c r="L80" s="360" t="str">
        <f>IF(K80&lt;&gt;"",VLOOKUP(K80,ChartofAccountsTable,2,FALSE),"")</f>
        <v>Unearned Revenue - DHPP</v>
      </c>
      <c r="M80" s="361">
        <v>52050</v>
      </c>
      <c r="N80" s="361"/>
      <c r="O80" s="342"/>
      <c r="P80" s="249"/>
      <c r="Q80" s="249"/>
      <c r="R80" s="249"/>
      <c r="S80" s="249"/>
      <c r="T80" s="249"/>
    </row>
    <row r="81" spans="1:20" s="199" customFormat="1" ht="14.65" customHeight="1">
      <c r="A81" s="282"/>
      <c r="B81" s="346"/>
      <c r="C81" s="341"/>
      <c r="D81" s="342"/>
      <c r="E81" s="343"/>
      <c r="F81" s="263"/>
      <c r="G81" s="341"/>
      <c r="H81" s="263"/>
      <c r="I81" s="263"/>
      <c r="J81" s="358" t="s">
        <v>223</v>
      </c>
      <c r="K81" s="345">
        <v>40000</v>
      </c>
      <c r="L81" s="360" t="str">
        <f>IF(K81&lt;&gt;"",VLOOKUP(K81,ChartofAccountsTable,2,FALSE),"")</f>
        <v>Sales -Fuel Hauling</v>
      </c>
      <c r="M81" s="361"/>
      <c r="N81" s="361">
        <v>52050</v>
      </c>
      <c r="O81" s="342"/>
      <c r="P81" s="249"/>
      <c r="Q81" s="249"/>
      <c r="R81" s="249"/>
      <c r="S81" s="249"/>
      <c r="T81" s="249"/>
    </row>
    <row r="82" spans="1:20" s="199" customFormat="1" ht="14.65" customHeight="1">
      <c r="A82" s="282"/>
      <c r="B82" s="347">
        <v>46024</v>
      </c>
      <c r="C82" s="341">
        <v>1017</v>
      </c>
      <c r="D82" s="342"/>
      <c r="E82" s="343" t="s">
        <v>231</v>
      </c>
      <c r="F82" s="263"/>
      <c r="G82" s="341" t="s">
        <v>232</v>
      </c>
      <c r="H82" s="263" t="s">
        <v>185</v>
      </c>
      <c r="I82" s="263">
        <v>1.5</v>
      </c>
      <c r="J82" s="358" t="s">
        <v>223</v>
      </c>
      <c r="K82" s="345">
        <v>21000</v>
      </c>
      <c r="L82" s="360" t="str">
        <f>IF(K82&lt;&gt;"",VLOOKUP(K82,ChartofAccountsTable,2,FALSE),"")</f>
        <v>Unearned Revenue - DHPP</v>
      </c>
      <c r="M82" s="361">
        <v>359300</v>
      </c>
      <c r="N82" s="361"/>
      <c r="O82" s="342"/>
      <c r="P82" s="249"/>
      <c r="Q82" s="249"/>
      <c r="R82" s="249"/>
      <c r="S82" s="249"/>
      <c r="T82" s="249"/>
    </row>
    <row r="83" spans="1:20" s="199" customFormat="1" ht="14.65" customHeight="1">
      <c r="A83" s="282"/>
      <c r="B83" s="346"/>
      <c r="C83" s="341"/>
      <c r="D83" s="342"/>
      <c r="E83" s="343"/>
      <c r="F83" s="263"/>
      <c r="G83" s="341"/>
      <c r="H83" s="263"/>
      <c r="I83" s="263"/>
      <c r="J83" s="358" t="s">
        <v>223</v>
      </c>
      <c r="K83" s="345">
        <v>40000</v>
      </c>
      <c r="L83" s="360" t="str">
        <f>IF(K83&lt;&gt;"",VLOOKUP(K83,ChartofAccountsTable,2,FALSE),"")</f>
        <v>Sales -Fuel Hauling</v>
      </c>
      <c r="M83" s="361"/>
      <c r="N83" s="361">
        <v>359300</v>
      </c>
      <c r="O83" s="342"/>
      <c r="P83" s="249"/>
      <c r="Q83" s="249"/>
      <c r="R83" s="249"/>
      <c r="S83" s="249"/>
      <c r="T83" s="249"/>
    </row>
    <row r="84" spans="1:20" s="199" customFormat="1" ht="14.65" customHeight="1">
      <c r="A84" s="282"/>
      <c r="B84" s="347">
        <v>46025</v>
      </c>
      <c r="C84" s="341">
        <v>1021</v>
      </c>
      <c r="D84" s="342"/>
      <c r="E84" s="343" t="s">
        <v>233</v>
      </c>
      <c r="F84" s="263"/>
      <c r="G84" s="341" t="s">
        <v>164</v>
      </c>
      <c r="H84" s="263" t="s">
        <v>212</v>
      </c>
      <c r="I84" s="263">
        <v>2</v>
      </c>
      <c r="J84" s="358" t="s">
        <v>215</v>
      </c>
      <c r="K84" s="345">
        <v>12030</v>
      </c>
      <c r="L84" s="360" t="str">
        <f>IF(K84&lt;&gt;"",VLOOKUP(K84,ChartofAccountsTable,2,FALSE),"")</f>
        <v>A/Receivables - Fuel Clients</v>
      </c>
      <c r="M84" s="361">
        <v>51950</v>
      </c>
      <c r="N84" s="361"/>
      <c r="O84" s="342"/>
      <c r="P84" s="249"/>
      <c r="Q84" s="249"/>
      <c r="R84" s="249"/>
      <c r="S84" s="249"/>
      <c r="T84" s="249"/>
    </row>
    <row r="85" spans="1:20" s="199" customFormat="1" ht="14.65" customHeight="1">
      <c r="A85" s="282"/>
      <c r="B85" s="346"/>
      <c r="C85" s="341"/>
      <c r="D85" s="342"/>
      <c r="E85" s="343"/>
      <c r="F85" s="263"/>
      <c r="G85" s="341"/>
      <c r="H85" s="263"/>
      <c r="I85" s="263"/>
      <c r="J85" s="358" t="s">
        <v>215</v>
      </c>
      <c r="K85" s="345">
        <v>40000</v>
      </c>
      <c r="L85" s="360" t="str">
        <f>IF(K85&lt;&gt;"",VLOOKUP(K85,ChartofAccountsTable,2,FALSE),"")</f>
        <v>Sales -Fuel Hauling</v>
      </c>
      <c r="M85" s="361"/>
      <c r="N85" s="361">
        <v>51950</v>
      </c>
      <c r="O85" s="342"/>
      <c r="P85" s="249"/>
      <c r="Q85" s="249"/>
      <c r="R85" s="249"/>
      <c r="S85" s="249"/>
      <c r="T85" s="249"/>
    </row>
    <row r="86" spans="1:20" s="199" customFormat="1" ht="14.65" customHeight="1">
      <c r="A86" s="282"/>
      <c r="B86" s="347">
        <v>46025</v>
      </c>
      <c r="C86" s="341">
        <v>1021</v>
      </c>
      <c r="D86" s="342"/>
      <c r="E86" s="343" t="s">
        <v>234</v>
      </c>
      <c r="F86" s="263"/>
      <c r="G86" s="341" t="s">
        <v>164</v>
      </c>
      <c r="H86" s="263" t="s">
        <v>182</v>
      </c>
      <c r="I86" s="263">
        <v>2</v>
      </c>
      <c r="J86" s="358" t="s">
        <v>215</v>
      </c>
      <c r="K86" s="345">
        <v>12030</v>
      </c>
      <c r="L86" s="360" t="str">
        <f>IF(K86&lt;&gt;"",VLOOKUP(K86,ChartofAccountsTable,2,FALSE),"")</f>
        <v>A/Receivables - Fuel Clients</v>
      </c>
      <c r="M86" s="361">
        <v>25725</v>
      </c>
      <c r="N86" s="361"/>
      <c r="O86" s="342"/>
      <c r="P86" s="249"/>
      <c r="Q86" s="249"/>
      <c r="R86" s="249"/>
      <c r="S86" s="249"/>
      <c r="T86" s="249"/>
    </row>
    <row r="87" spans="1:20" s="199" customFormat="1" ht="14.65" customHeight="1">
      <c r="A87" s="282"/>
      <c r="B87" s="346"/>
      <c r="C87" s="341"/>
      <c r="D87" s="342"/>
      <c r="E87" s="343"/>
      <c r="F87" s="263"/>
      <c r="G87" s="341"/>
      <c r="H87" s="263"/>
      <c r="I87" s="263"/>
      <c r="J87" s="358" t="s">
        <v>215</v>
      </c>
      <c r="K87" s="345">
        <v>40000</v>
      </c>
      <c r="L87" s="360" t="str">
        <f>IF(K87&lt;&gt;"",VLOOKUP(K87,ChartofAccountsTable,2,FALSE),"")</f>
        <v>Sales -Fuel Hauling</v>
      </c>
      <c r="M87" s="361"/>
      <c r="N87" s="361">
        <v>25725</v>
      </c>
      <c r="O87" s="342"/>
      <c r="P87" s="249"/>
      <c r="Q87" s="249"/>
      <c r="R87" s="249"/>
      <c r="S87" s="249"/>
      <c r="T87" s="249"/>
    </row>
    <row r="88" spans="1:20" s="199" customFormat="1" ht="14.65" customHeight="1">
      <c r="A88" s="282"/>
      <c r="B88" s="347">
        <v>46025</v>
      </c>
      <c r="C88" s="341">
        <v>1022</v>
      </c>
      <c r="D88" s="342"/>
      <c r="E88" s="343" t="s">
        <v>235</v>
      </c>
      <c r="F88" s="263"/>
      <c r="G88" s="341" t="s">
        <v>236</v>
      </c>
      <c r="H88" s="263" t="s">
        <v>149</v>
      </c>
      <c r="I88" s="263">
        <v>1</v>
      </c>
      <c r="J88" s="358" t="s">
        <v>215</v>
      </c>
      <c r="K88" s="345">
        <v>12030</v>
      </c>
      <c r="L88" s="360" t="str">
        <f>IF(K88&lt;&gt;"",VLOOKUP(K88,ChartofAccountsTable,2,FALSE),"")</f>
        <v>A/Receivables - Fuel Clients</v>
      </c>
      <c r="M88" s="361">
        <v>50250</v>
      </c>
      <c r="N88" s="361"/>
      <c r="O88" s="342"/>
    </row>
    <row r="89" spans="1:20" s="199" customFormat="1" ht="14.65" customHeight="1">
      <c r="A89" s="282"/>
      <c r="B89" s="346"/>
      <c r="C89" s="341"/>
      <c r="D89" s="342"/>
      <c r="E89" s="343"/>
      <c r="F89" s="263"/>
      <c r="G89" s="341"/>
      <c r="H89" s="263"/>
      <c r="I89" s="263"/>
      <c r="J89" s="358" t="s">
        <v>215</v>
      </c>
      <c r="K89" s="345">
        <v>40000</v>
      </c>
      <c r="L89" s="360" t="str">
        <f>IF(K89&lt;&gt;"",VLOOKUP(K89,ChartofAccountsTable,2,FALSE),"")</f>
        <v>Sales -Fuel Hauling</v>
      </c>
      <c r="M89" s="361"/>
      <c r="N89" s="361">
        <v>50250</v>
      </c>
      <c r="O89" s="342"/>
    </row>
    <row r="90" spans="1:20" s="199" customFormat="1" ht="14.65" customHeight="1">
      <c r="A90" s="282"/>
      <c r="B90" s="347">
        <v>46025</v>
      </c>
      <c r="C90" s="341">
        <v>1025</v>
      </c>
      <c r="D90" s="342"/>
      <c r="E90" s="343" t="s">
        <v>237</v>
      </c>
      <c r="F90" s="263"/>
      <c r="G90" s="341" t="s">
        <v>238</v>
      </c>
      <c r="H90" s="263" t="s">
        <v>149</v>
      </c>
      <c r="I90" s="263">
        <v>1</v>
      </c>
      <c r="J90" s="358" t="s">
        <v>215</v>
      </c>
      <c r="K90" s="345">
        <v>21000</v>
      </c>
      <c r="L90" s="360" t="str">
        <f>IF(K90&lt;&gt;"",VLOOKUP(K90,ChartofAccountsTable,2,FALSE),"")</f>
        <v>Unearned Revenue - DHPP</v>
      </c>
      <c r="M90" s="361">
        <v>101000</v>
      </c>
      <c r="N90" s="361"/>
      <c r="O90" s="342"/>
    </row>
    <row r="91" spans="1:20" s="199" customFormat="1" ht="14.65" customHeight="1">
      <c r="A91" s="282"/>
      <c r="B91" s="346"/>
      <c r="C91" s="341"/>
      <c r="D91" s="342"/>
      <c r="E91" s="343"/>
      <c r="F91" s="263"/>
      <c r="G91" s="341"/>
      <c r="H91" s="263"/>
      <c r="I91" s="263"/>
      <c r="J91" s="358" t="s">
        <v>215</v>
      </c>
      <c r="K91" s="345">
        <v>40000</v>
      </c>
      <c r="L91" s="360" t="str">
        <f>IF(K91&lt;&gt;"",VLOOKUP(K91,ChartofAccountsTable,2,FALSE),"")</f>
        <v>Sales -Fuel Hauling</v>
      </c>
      <c r="M91" s="361"/>
      <c r="N91" s="361">
        <v>101000</v>
      </c>
      <c r="O91" s="342"/>
    </row>
    <row r="92" spans="1:20" s="199" customFormat="1" ht="14.65" customHeight="1">
      <c r="A92" s="282"/>
      <c r="B92" s="347">
        <v>46026</v>
      </c>
      <c r="C92" s="341">
        <v>1026</v>
      </c>
      <c r="D92" s="342"/>
      <c r="E92" s="343" t="s">
        <v>239</v>
      </c>
      <c r="F92" s="263"/>
      <c r="G92" s="341" t="s">
        <v>240</v>
      </c>
      <c r="H92" s="263" t="s">
        <v>149</v>
      </c>
      <c r="I92" s="263">
        <v>1</v>
      </c>
      <c r="J92" s="358" t="s">
        <v>215</v>
      </c>
      <c r="K92" s="345">
        <v>21000</v>
      </c>
      <c r="L92" s="360" t="str">
        <f>IF(K92&lt;&gt;"",VLOOKUP(K92,ChartofAccountsTable,2,FALSE),"")</f>
        <v>Unearned Revenue - DHPP</v>
      </c>
      <c r="M92" s="361">
        <v>52200</v>
      </c>
      <c r="N92" s="361"/>
      <c r="O92" s="342"/>
    </row>
    <row r="93" spans="1:20" s="199" customFormat="1" ht="14.65" customHeight="1">
      <c r="A93" s="282"/>
      <c r="B93" s="346"/>
      <c r="C93" s="341"/>
      <c r="D93" s="342"/>
      <c r="E93" s="343"/>
      <c r="F93" s="263"/>
      <c r="G93" s="341"/>
      <c r="H93" s="263"/>
      <c r="I93" s="263"/>
      <c r="J93" s="358" t="s">
        <v>215</v>
      </c>
      <c r="K93" s="345">
        <v>40000</v>
      </c>
      <c r="L93" s="360" t="str">
        <f>IF(K93&lt;&gt;"",VLOOKUP(K93,ChartofAccountsTable,2,FALSE),"")</f>
        <v>Sales -Fuel Hauling</v>
      </c>
      <c r="M93" s="361"/>
      <c r="N93" s="361">
        <v>52200</v>
      </c>
      <c r="O93" s="342"/>
    </row>
    <row r="94" spans="1:20" s="199" customFormat="1" ht="14.65" customHeight="1">
      <c r="A94" s="282"/>
      <c r="B94" s="347">
        <v>46026</v>
      </c>
      <c r="C94" s="341">
        <v>1027</v>
      </c>
      <c r="D94" s="342"/>
      <c r="E94" s="343" t="s">
        <v>241</v>
      </c>
      <c r="F94" s="342"/>
      <c r="G94" s="341" t="s">
        <v>242</v>
      </c>
      <c r="H94" s="263" t="s">
        <v>149</v>
      </c>
      <c r="I94" s="263">
        <v>1</v>
      </c>
      <c r="J94" s="358" t="s">
        <v>215</v>
      </c>
      <c r="K94" s="345">
        <v>21000</v>
      </c>
      <c r="L94" s="360" t="str">
        <f>IF(K94&lt;&gt;"",VLOOKUP(K94,ChartofAccountsTable,2,FALSE),"")</f>
        <v>Unearned Revenue - DHPP</v>
      </c>
      <c r="M94" s="361">
        <v>101600</v>
      </c>
      <c r="N94" s="361"/>
      <c r="O94" s="342"/>
    </row>
    <row r="95" spans="1:20" s="199" customFormat="1" ht="14.65" customHeight="1">
      <c r="A95" s="282"/>
      <c r="B95" s="346"/>
      <c r="C95" s="341"/>
      <c r="D95" s="342"/>
      <c r="E95" s="343"/>
      <c r="F95" s="342"/>
      <c r="G95" s="341"/>
      <c r="H95" s="263"/>
      <c r="I95" s="263"/>
      <c r="J95" s="358" t="s">
        <v>215</v>
      </c>
      <c r="K95" s="345">
        <v>40000</v>
      </c>
      <c r="L95" s="360" t="str">
        <f>IF(K95&lt;&gt;"",VLOOKUP(K95,ChartofAccountsTable,2,FALSE),"")</f>
        <v>Sales -Fuel Hauling</v>
      </c>
      <c r="M95" s="361"/>
      <c r="N95" s="361">
        <v>101600</v>
      </c>
      <c r="O95" s="342"/>
    </row>
    <row r="96" spans="1:20" s="199" customFormat="1" ht="14.65" customHeight="1">
      <c r="A96" s="282"/>
      <c r="B96" s="347">
        <v>46026</v>
      </c>
      <c r="C96" s="341">
        <v>1026</v>
      </c>
      <c r="D96" s="342"/>
      <c r="E96" s="343" t="s">
        <v>243</v>
      </c>
      <c r="F96" s="342"/>
      <c r="G96" s="341" t="s">
        <v>244</v>
      </c>
      <c r="H96" s="263" t="s">
        <v>245</v>
      </c>
      <c r="I96" s="263">
        <v>3</v>
      </c>
      <c r="J96" s="358" t="s">
        <v>215</v>
      </c>
      <c r="K96" s="345">
        <v>21000</v>
      </c>
      <c r="L96" s="360" t="str">
        <f>IF(K96&lt;&gt;"",VLOOKUP(K96,ChartofAccountsTable,2,FALSE),"")</f>
        <v>Unearned Revenue - DHPP</v>
      </c>
      <c r="M96" s="361">
        <v>51950</v>
      </c>
      <c r="N96" s="361"/>
      <c r="O96" s="342"/>
    </row>
    <row r="97" spans="1:15" s="199" customFormat="1" ht="14.65" customHeight="1">
      <c r="A97" s="282"/>
      <c r="B97" s="346"/>
      <c r="C97" s="341"/>
      <c r="D97" s="342"/>
      <c r="E97" s="343"/>
      <c r="F97" s="342"/>
      <c r="G97" s="341"/>
      <c r="H97" s="263"/>
      <c r="I97" s="263"/>
      <c r="J97" s="358" t="s">
        <v>215</v>
      </c>
      <c r="K97" s="345">
        <v>40000</v>
      </c>
      <c r="L97" s="360" t="str">
        <f>IF(K97&lt;&gt;"",VLOOKUP(K97,ChartofAccountsTable,2,FALSE),"")</f>
        <v>Sales -Fuel Hauling</v>
      </c>
      <c r="M97" s="361"/>
      <c r="N97" s="361">
        <v>51950</v>
      </c>
      <c r="O97" s="342"/>
    </row>
    <row r="98" spans="1:15" s="199" customFormat="1" ht="14.65" customHeight="1">
      <c r="A98" s="282"/>
      <c r="B98" s="347">
        <v>46026</v>
      </c>
      <c r="C98" s="341">
        <v>969</v>
      </c>
      <c r="D98" s="342"/>
      <c r="E98" s="343" t="s">
        <v>246</v>
      </c>
      <c r="F98" s="342"/>
      <c r="G98" s="341" t="s">
        <v>247</v>
      </c>
      <c r="H98" s="263" t="s">
        <v>149</v>
      </c>
      <c r="I98" s="263">
        <v>1</v>
      </c>
      <c r="J98" s="358" t="s">
        <v>215</v>
      </c>
      <c r="K98" s="345">
        <v>21000</v>
      </c>
      <c r="L98" s="360" t="str">
        <f>IF(K98&lt;&gt;"",VLOOKUP(K98,ChartofAccountsTable,2,FALSE),"")</f>
        <v>Unearned Revenue - DHPP</v>
      </c>
      <c r="M98" s="361">
        <v>353750</v>
      </c>
      <c r="N98" s="361"/>
      <c r="O98" s="342"/>
    </row>
    <row r="99" spans="1:15" s="199" customFormat="1" ht="14.65" customHeight="1">
      <c r="A99" s="282"/>
      <c r="B99" s="346"/>
      <c r="C99" s="341"/>
      <c r="D99" s="342"/>
      <c r="E99" s="343"/>
      <c r="F99" s="342"/>
      <c r="G99" s="341"/>
      <c r="H99" s="263"/>
      <c r="I99" s="263"/>
      <c r="J99" s="358" t="s">
        <v>215</v>
      </c>
      <c r="K99" s="345">
        <v>40000</v>
      </c>
      <c r="L99" s="360" t="str">
        <f>IF(K99&lt;&gt;"",VLOOKUP(K99,ChartofAccountsTable,2,FALSE),"")</f>
        <v>Sales -Fuel Hauling</v>
      </c>
      <c r="M99" s="361"/>
      <c r="N99" s="361">
        <v>353750</v>
      </c>
      <c r="O99" s="342"/>
    </row>
    <row r="100" spans="1:15" s="199" customFormat="1" ht="14.65" customHeight="1">
      <c r="A100" s="282"/>
      <c r="B100" s="347">
        <v>46025</v>
      </c>
      <c r="C100" s="341">
        <v>503</v>
      </c>
      <c r="D100" s="342"/>
      <c r="E100" s="343" t="s">
        <v>248</v>
      </c>
      <c r="F100" s="342"/>
      <c r="G100" s="341" t="s">
        <v>249</v>
      </c>
      <c r="H100" s="263" t="s">
        <v>149</v>
      </c>
      <c r="I100" s="263">
        <v>1</v>
      </c>
      <c r="J100" s="358" t="s">
        <v>250</v>
      </c>
      <c r="K100" s="345">
        <v>21000</v>
      </c>
      <c r="L100" s="360" t="str">
        <f>IF(K100&lt;&gt;"",VLOOKUP(K100,ChartofAccountsTable,2,FALSE),"")</f>
        <v>Unearned Revenue - DHPP</v>
      </c>
      <c r="M100" s="361">
        <v>51500</v>
      </c>
      <c r="N100" s="361"/>
      <c r="O100" s="342"/>
    </row>
    <row r="101" spans="1:15" s="199" customFormat="1" ht="14.65" customHeight="1">
      <c r="A101" s="282"/>
      <c r="B101" s="346"/>
      <c r="C101" s="341"/>
      <c r="D101" s="342"/>
      <c r="E101" s="343"/>
      <c r="F101" s="342"/>
      <c r="G101" s="341"/>
      <c r="H101" s="263"/>
      <c r="I101" s="263"/>
      <c r="J101" s="358" t="s">
        <v>250</v>
      </c>
      <c r="K101" s="345">
        <v>40000</v>
      </c>
      <c r="L101" s="360" t="str">
        <f>IF(K101&lt;&gt;"",VLOOKUP(K101,ChartofAccountsTable,2,FALSE),"")</f>
        <v>Sales -Fuel Hauling</v>
      </c>
      <c r="M101" s="361"/>
      <c r="N101" s="361">
        <v>51500</v>
      </c>
      <c r="O101" s="342"/>
    </row>
    <row r="102" spans="1:15" s="199" customFormat="1" ht="14.65" customHeight="1">
      <c r="A102" s="282"/>
      <c r="B102" s="347">
        <v>46025</v>
      </c>
      <c r="C102" s="341">
        <v>504</v>
      </c>
      <c r="D102" s="342"/>
      <c r="E102" s="343" t="s">
        <v>251</v>
      </c>
      <c r="F102" s="342"/>
      <c r="G102" s="341" t="s">
        <v>252</v>
      </c>
      <c r="H102" s="263" t="s">
        <v>149</v>
      </c>
      <c r="I102" s="263">
        <v>1</v>
      </c>
      <c r="J102" s="358" t="s">
        <v>250</v>
      </c>
      <c r="K102" s="345">
        <v>21000</v>
      </c>
      <c r="L102" s="360" t="str">
        <f>IF(K102&lt;&gt;"",VLOOKUP(K102,ChartofAccountsTable,2,FALSE),"")</f>
        <v>Unearned Revenue - DHPP</v>
      </c>
      <c r="M102" s="361">
        <v>153650</v>
      </c>
      <c r="N102" s="361"/>
      <c r="O102" s="342"/>
    </row>
    <row r="103" spans="1:15" s="199" customFormat="1" ht="14.65" customHeight="1">
      <c r="A103" s="282"/>
      <c r="B103" s="346"/>
      <c r="C103" s="341"/>
      <c r="D103" s="342"/>
      <c r="E103" s="343"/>
      <c r="F103" s="342"/>
      <c r="G103" s="341"/>
      <c r="H103" s="263"/>
      <c r="I103" s="263"/>
      <c r="J103" s="358" t="s">
        <v>250</v>
      </c>
      <c r="K103" s="345">
        <v>40000</v>
      </c>
      <c r="L103" s="360" t="str">
        <f>IF(K103&lt;&gt;"",VLOOKUP(K103,ChartofAccountsTable,2,FALSE),"")</f>
        <v>Sales -Fuel Hauling</v>
      </c>
      <c r="M103" s="361"/>
      <c r="N103" s="361">
        <v>153650</v>
      </c>
      <c r="O103" s="342"/>
    </row>
    <row r="104" spans="1:15" s="199" customFormat="1" ht="14.65" customHeight="1">
      <c r="A104" s="282"/>
      <c r="B104" s="347">
        <v>46026</v>
      </c>
      <c r="C104" s="341">
        <v>505</v>
      </c>
      <c r="D104" s="342"/>
      <c r="E104" s="343" t="s">
        <v>253</v>
      </c>
      <c r="F104" s="342"/>
      <c r="G104" s="341" t="s">
        <v>254</v>
      </c>
      <c r="H104" s="350" t="s">
        <v>149</v>
      </c>
      <c r="I104" s="350">
        <v>1</v>
      </c>
      <c r="J104" s="358" t="s">
        <v>250</v>
      </c>
      <c r="K104" s="345">
        <v>21000</v>
      </c>
      <c r="L104" s="360" t="str">
        <f>IF(K104&lt;&gt;"",VLOOKUP(K104,ChartofAccountsTable,2,FALSE),"")</f>
        <v>Unearned Revenue - DHPP</v>
      </c>
      <c r="M104" s="361">
        <v>100550</v>
      </c>
      <c r="N104" s="361"/>
      <c r="O104" s="342"/>
    </row>
    <row r="105" spans="1:15" s="199" customFormat="1" ht="14.65" customHeight="1">
      <c r="A105" s="282"/>
      <c r="B105" s="346"/>
      <c r="C105" s="341"/>
      <c r="D105" s="342"/>
      <c r="E105" s="343"/>
      <c r="F105" s="342"/>
      <c r="G105" s="341"/>
      <c r="H105" s="350"/>
      <c r="I105" s="350"/>
      <c r="J105" s="358" t="s">
        <v>250</v>
      </c>
      <c r="K105" s="345">
        <v>12030</v>
      </c>
      <c r="L105" s="360" t="str">
        <f>IF(K105&lt;&gt;"",VLOOKUP(K105,ChartofAccountsTable,2,FALSE),"")</f>
        <v>A/Receivables - Fuel Clients</v>
      </c>
      <c r="M105" s="361">
        <v>450</v>
      </c>
      <c r="N105" s="361"/>
      <c r="O105" s="342"/>
    </row>
    <row r="106" spans="1:15" s="199" customFormat="1" ht="14.65" customHeight="1">
      <c r="A106" s="282"/>
      <c r="B106" s="346"/>
      <c r="C106" s="341"/>
      <c r="D106" s="342"/>
      <c r="E106" s="343"/>
      <c r="F106" s="342"/>
      <c r="G106" s="341"/>
      <c r="H106" s="350"/>
      <c r="I106" s="350"/>
      <c r="J106" s="358" t="s">
        <v>250</v>
      </c>
      <c r="K106" s="345">
        <v>40000</v>
      </c>
      <c r="L106" s="360" t="str">
        <f>IF(K106&lt;&gt;"",VLOOKUP(K106,ChartofAccountsTable,2,FALSE),"")</f>
        <v>Sales -Fuel Hauling</v>
      </c>
      <c r="M106" s="361"/>
      <c r="N106" s="361">
        <v>101000</v>
      </c>
      <c r="O106" s="342"/>
    </row>
    <row r="107" spans="1:15" s="199" customFormat="1" ht="14.65" customHeight="1">
      <c r="A107" s="282"/>
      <c r="B107" s="347">
        <v>46026</v>
      </c>
      <c r="C107" s="341">
        <v>506</v>
      </c>
      <c r="D107" s="342"/>
      <c r="E107" s="343" t="s">
        <v>255</v>
      </c>
      <c r="F107" s="342"/>
      <c r="G107" s="341" t="s">
        <v>256</v>
      </c>
      <c r="H107" s="263" t="s">
        <v>149</v>
      </c>
      <c r="I107" s="263">
        <v>1</v>
      </c>
      <c r="J107" s="358" t="s">
        <v>250</v>
      </c>
      <c r="K107" s="345">
        <v>12030</v>
      </c>
      <c r="L107" s="360" t="str">
        <f>IF(K107&lt;&gt;"",VLOOKUP(K107,ChartofAccountsTable,2,FALSE),"")</f>
        <v>A/Receivables - Fuel Clients</v>
      </c>
      <c r="M107" s="361">
        <v>207100</v>
      </c>
      <c r="N107" s="361"/>
      <c r="O107" s="342"/>
    </row>
    <row r="108" spans="1:15" s="199" customFormat="1" ht="14.65" customHeight="1">
      <c r="A108" s="282"/>
      <c r="B108" s="346"/>
      <c r="C108" s="341"/>
      <c r="D108" s="342"/>
      <c r="E108" s="343"/>
      <c r="F108" s="342"/>
      <c r="G108" s="341"/>
      <c r="H108" s="263"/>
      <c r="I108" s="263"/>
      <c r="J108" s="358" t="s">
        <v>250</v>
      </c>
      <c r="K108" s="345">
        <v>40000</v>
      </c>
      <c r="L108" s="360" t="str">
        <f>IF(K108&lt;&gt;"",VLOOKUP(K108,ChartofAccountsTable,2,FALSE),"")</f>
        <v>Sales -Fuel Hauling</v>
      </c>
      <c r="M108" s="361"/>
      <c r="N108" s="361">
        <v>207100</v>
      </c>
      <c r="O108" s="342"/>
    </row>
    <row r="109" spans="1:15" s="199" customFormat="1" ht="14.65" customHeight="1">
      <c r="A109" s="282"/>
      <c r="B109" s="347">
        <v>46026</v>
      </c>
      <c r="C109" s="341">
        <v>511</v>
      </c>
      <c r="D109" s="342"/>
      <c r="E109" s="343" t="s">
        <v>257</v>
      </c>
      <c r="F109" s="342"/>
      <c r="G109" s="341" t="s">
        <v>258</v>
      </c>
      <c r="H109" s="263" t="s">
        <v>149</v>
      </c>
      <c r="I109" s="350">
        <v>1</v>
      </c>
      <c r="J109" s="358" t="s">
        <v>250</v>
      </c>
      <c r="K109" s="345">
        <v>21000</v>
      </c>
      <c r="L109" s="360" t="str">
        <f>IF(K109&lt;&gt;"",VLOOKUP(K109,ChartofAccountsTable,2,FALSE),"")</f>
        <v>Unearned Revenue - DHPP</v>
      </c>
      <c r="M109" s="361">
        <v>51900</v>
      </c>
      <c r="N109" s="361"/>
      <c r="O109" s="342"/>
    </row>
    <row r="110" spans="1:15" s="199" customFormat="1" ht="14.65" customHeight="1">
      <c r="A110" s="282"/>
      <c r="B110" s="346"/>
      <c r="C110" s="341"/>
      <c r="D110" s="342"/>
      <c r="E110" s="343"/>
      <c r="F110" s="342"/>
      <c r="G110" s="341"/>
      <c r="H110" s="263"/>
      <c r="I110" s="350"/>
      <c r="J110" s="358" t="s">
        <v>250</v>
      </c>
      <c r="K110" s="345">
        <v>40000</v>
      </c>
      <c r="L110" s="360" t="str">
        <f>IF(K110&lt;&gt;"",VLOOKUP(K110,ChartofAccountsTable,2,FALSE),"")</f>
        <v>Sales -Fuel Hauling</v>
      </c>
      <c r="M110" s="361"/>
      <c r="N110" s="361">
        <v>51900</v>
      </c>
      <c r="O110" s="342"/>
    </row>
    <row r="111" spans="1:15" s="199" customFormat="1" ht="14.65" customHeight="1">
      <c r="A111" s="282"/>
      <c r="B111" s="347">
        <v>46026</v>
      </c>
      <c r="C111" s="341">
        <v>507</v>
      </c>
      <c r="D111" s="342"/>
      <c r="E111" s="343" t="s">
        <v>259</v>
      </c>
      <c r="F111" s="342"/>
      <c r="G111" s="341" t="s">
        <v>260</v>
      </c>
      <c r="H111" s="263" t="s">
        <v>149</v>
      </c>
      <c r="I111" s="350">
        <v>1</v>
      </c>
      <c r="J111" s="358" t="s">
        <v>250</v>
      </c>
      <c r="K111" s="345">
        <v>21000</v>
      </c>
      <c r="L111" s="360" t="str">
        <f>IF(K111&lt;&gt;"",VLOOKUP(K111,ChartofAccountsTable,2,FALSE),"")</f>
        <v>Unearned Revenue - DHPP</v>
      </c>
      <c r="M111" s="361">
        <v>30000</v>
      </c>
      <c r="N111" s="361"/>
      <c r="O111" s="342"/>
    </row>
    <row r="112" spans="1:15" s="199" customFormat="1" ht="14.65" customHeight="1">
      <c r="A112" s="282"/>
      <c r="B112" s="346"/>
      <c r="C112" s="341"/>
      <c r="D112" s="342"/>
      <c r="E112" s="343"/>
      <c r="F112" s="342"/>
      <c r="G112" s="341"/>
      <c r="H112" s="263"/>
      <c r="I112" s="350"/>
      <c r="J112" s="358" t="s">
        <v>250</v>
      </c>
      <c r="K112" s="345">
        <v>12030</v>
      </c>
      <c r="L112" s="360" t="str">
        <f>IF(K112&lt;&gt;"",VLOOKUP(K112,ChartofAccountsTable,2,FALSE),"")</f>
        <v>A/Receivables - Fuel Clients</v>
      </c>
      <c r="M112" s="361">
        <v>21900</v>
      </c>
      <c r="N112" s="361"/>
      <c r="O112" s="342"/>
    </row>
    <row r="113" spans="1:15" s="199" customFormat="1" ht="14.65" customHeight="1">
      <c r="A113" s="282"/>
      <c r="B113" s="346"/>
      <c r="C113" s="341"/>
      <c r="D113" s="342"/>
      <c r="E113" s="343"/>
      <c r="F113" s="342"/>
      <c r="G113" s="341"/>
      <c r="H113" s="263"/>
      <c r="I113" s="350"/>
      <c r="J113" s="358" t="s">
        <v>250</v>
      </c>
      <c r="K113" s="345">
        <v>40000</v>
      </c>
      <c r="L113" s="360" t="str">
        <f>IF(K113&lt;&gt;"",VLOOKUP(K113,ChartofAccountsTable,2,FALSE),"")</f>
        <v>Sales -Fuel Hauling</v>
      </c>
      <c r="M113" s="361"/>
      <c r="N113" s="361">
        <v>51900</v>
      </c>
      <c r="O113" s="342"/>
    </row>
    <row r="114" spans="1:15" s="199" customFormat="1" ht="14.65" customHeight="1">
      <c r="A114" s="282"/>
      <c r="B114" s="347">
        <v>46026</v>
      </c>
      <c r="C114" s="341">
        <v>509</v>
      </c>
      <c r="D114" s="342"/>
      <c r="E114" s="343" t="s">
        <v>261</v>
      </c>
      <c r="F114" s="342"/>
      <c r="G114" s="341" t="s">
        <v>262</v>
      </c>
      <c r="H114" s="263" t="s">
        <v>149</v>
      </c>
      <c r="I114" s="350">
        <v>1</v>
      </c>
      <c r="J114" s="358" t="s">
        <v>250</v>
      </c>
      <c r="K114" s="345">
        <v>21000</v>
      </c>
      <c r="L114" s="360" t="str">
        <f>IF(K114&lt;&gt;"",VLOOKUP(K114,ChartofAccountsTable,2,FALSE),"")</f>
        <v>Unearned Revenue - DHPP</v>
      </c>
      <c r="M114" s="361">
        <v>50000</v>
      </c>
      <c r="N114" s="361"/>
      <c r="O114" s="342"/>
    </row>
    <row r="115" spans="1:15" s="199" customFormat="1" ht="14.65" customHeight="1">
      <c r="A115" s="282"/>
      <c r="B115" s="346"/>
      <c r="C115" s="341"/>
      <c r="D115" s="342"/>
      <c r="E115" s="343"/>
      <c r="F115" s="342"/>
      <c r="G115" s="341"/>
      <c r="H115" s="263"/>
      <c r="I115" s="350"/>
      <c r="J115" s="358" t="s">
        <v>250</v>
      </c>
      <c r="K115" s="345">
        <v>12030</v>
      </c>
      <c r="L115" s="360" t="str">
        <f>IF(K115&lt;&gt;"",VLOOKUP(K115,ChartofAccountsTable,2,FALSE),"")</f>
        <v>A/Receivables - Fuel Clients</v>
      </c>
      <c r="M115" s="361">
        <v>1900</v>
      </c>
      <c r="N115" s="361"/>
      <c r="O115" s="342"/>
    </row>
    <row r="116" spans="1:15" s="199" customFormat="1" ht="14.65" customHeight="1">
      <c r="A116" s="282"/>
      <c r="B116" s="346"/>
      <c r="C116" s="341"/>
      <c r="D116" s="342"/>
      <c r="E116" s="343"/>
      <c r="F116" s="342"/>
      <c r="G116" s="341"/>
      <c r="H116" s="263"/>
      <c r="I116" s="350"/>
      <c r="J116" s="358" t="s">
        <v>250</v>
      </c>
      <c r="K116" s="345">
        <v>40000</v>
      </c>
      <c r="L116" s="360" t="str">
        <f>IF(K116&lt;&gt;"",VLOOKUP(K116,ChartofAccountsTable,2,FALSE),"")</f>
        <v>Sales -Fuel Hauling</v>
      </c>
      <c r="M116" s="361"/>
      <c r="N116" s="361">
        <v>51900</v>
      </c>
      <c r="O116" s="342"/>
    </row>
    <row r="117" spans="1:15" s="199" customFormat="1" ht="14.65" customHeight="1">
      <c r="A117" s="282"/>
      <c r="B117" s="347">
        <v>46026</v>
      </c>
      <c r="C117" s="341">
        <v>508</v>
      </c>
      <c r="D117" s="342"/>
      <c r="E117" s="343" t="s">
        <v>263</v>
      </c>
      <c r="F117" s="342"/>
      <c r="G117" s="341" t="s">
        <v>264</v>
      </c>
      <c r="H117" s="263" t="s">
        <v>149</v>
      </c>
      <c r="I117" s="350">
        <v>1</v>
      </c>
      <c r="J117" s="358" t="s">
        <v>250</v>
      </c>
      <c r="K117" s="345">
        <v>21000</v>
      </c>
      <c r="L117" s="360" t="str">
        <f>IF(K117&lt;&gt;"",VLOOKUP(K117,ChartofAccountsTable,2,FALSE),"")</f>
        <v>Unearned Revenue - DHPP</v>
      </c>
      <c r="M117" s="361">
        <v>305350</v>
      </c>
      <c r="N117" s="361"/>
      <c r="O117" s="342"/>
    </row>
    <row r="118" spans="1:15" s="199" customFormat="1" ht="14.65" customHeight="1">
      <c r="A118" s="282"/>
      <c r="B118" s="346"/>
      <c r="C118" s="341"/>
      <c r="D118" s="342"/>
      <c r="E118" s="343"/>
      <c r="F118" s="342"/>
      <c r="G118" s="341"/>
      <c r="H118" s="263"/>
      <c r="I118" s="350"/>
      <c r="J118" s="358" t="s">
        <v>250</v>
      </c>
      <c r="K118" s="345">
        <v>40000</v>
      </c>
      <c r="L118" s="360" t="str">
        <f>IF(K118&lt;&gt;"",VLOOKUP(K118,ChartofAccountsTable,2,FALSE),"")</f>
        <v>Sales -Fuel Hauling</v>
      </c>
      <c r="M118" s="361"/>
      <c r="N118" s="361">
        <v>305350</v>
      </c>
      <c r="O118" s="342"/>
    </row>
    <row r="119" spans="1:15" s="199" customFormat="1" ht="14.65" customHeight="1">
      <c r="A119" s="282"/>
      <c r="B119" s="347">
        <v>46027</v>
      </c>
      <c r="C119" s="341">
        <v>513</v>
      </c>
      <c r="D119" s="342"/>
      <c r="E119" s="343" t="s">
        <v>265</v>
      </c>
      <c r="F119" s="342"/>
      <c r="G119" s="341" t="s">
        <v>266</v>
      </c>
      <c r="H119" s="263" t="s">
        <v>267</v>
      </c>
      <c r="I119" s="350">
        <v>4</v>
      </c>
      <c r="J119" s="358" t="s">
        <v>250</v>
      </c>
      <c r="K119" s="345">
        <v>21000</v>
      </c>
      <c r="L119" s="360" t="str">
        <f>IF(K119&lt;&gt;"",VLOOKUP(K119,ChartofAccountsTable,2,FALSE),"")</f>
        <v>Unearned Revenue - DHPP</v>
      </c>
      <c r="M119" s="361">
        <v>103900</v>
      </c>
      <c r="N119" s="361"/>
      <c r="O119" s="342"/>
    </row>
    <row r="120" spans="1:15" s="199" customFormat="1" ht="14.65" customHeight="1">
      <c r="A120" s="282"/>
      <c r="B120" s="346"/>
      <c r="C120" s="341"/>
      <c r="D120" s="342"/>
      <c r="E120" s="343"/>
      <c r="F120" s="342"/>
      <c r="G120" s="341"/>
      <c r="H120" s="263"/>
      <c r="I120" s="350"/>
      <c r="J120" s="358" t="s">
        <v>250</v>
      </c>
      <c r="K120" s="345">
        <v>40000</v>
      </c>
      <c r="L120" s="360" t="str">
        <f>IF(K120&lt;&gt;"",VLOOKUP(K120,ChartofAccountsTable,2,FALSE),"")</f>
        <v>Sales -Fuel Hauling</v>
      </c>
      <c r="M120" s="361"/>
      <c r="N120" s="361">
        <v>103900</v>
      </c>
      <c r="O120" s="342"/>
    </row>
    <row r="121" spans="1:15" s="199" customFormat="1" ht="14.65" customHeight="1">
      <c r="A121" s="282"/>
      <c r="B121" s="347">
        <v>46027</v>
      </c>
      <c r="C121" s="341">
        <v>512</v>
      </c>
      <c r="D121" s="342"/>
      <c r="E121" s="343" t="s">
        <v>268</v>
      </c>
      <c r="F121" s="342"/>
      <c r="G121" s="341" t="s">
        <v>269</v>
      </c>
      <c r="H121" s="258" t="s">
        <v>149</v>
      </c>
      <c r="I121" s="258">
        <v>1</v>
      </c>
      <c r="J121" s="358" t="s">
        <v>250</v>
      </c>
      <c r="K121" s="345">
        <v>21000</v>
      </c>
      <c r="L121" s="360" t="str">
        <f>IF(K121&lt;&gt;"",VLOOKUP(K121,ChartofAccountsTable,2,FALSE),"")</f>
        <v>Unearned Revenue - DHPP</v>
      </c>
      <c r="M121" s="361">
        <v>51800</v>
      </c>
      <c r="N121" s="361"/>
      <c r="O121" s="342"/>
    </row>
    <row r="122" spans="1:15" s="199" customFormat="1" ht="14.65" customHeight="1">
      <c r="A122" s="282"/>
      <c r="B122" s="346"/>
      <c r="C122" s="341"/>
      <c r="D122" s="342"/>
      <c r="E122" s="343"/>
      <c r="F122" s="342"/>
      <c r="G122" s="341"/>
      <c r="H122" s="258"/>
      <c r="I122" s="258"/>
      <c r="J122" s="358" t="s">
        <v>250</v>
      </c>
      <c r="K122" s="345">
        <v>12030</v>
      </c>
      <c r="L122" s="360" t="str">
        <f>IF(K122&lt;&gt;"",VLOOKUP(K122,ChartofAccountsTable,2,FALSE),"")</f>
        <v>A/Receivables - Fuel Clients</v>
      </c>
      <c r="M122" s="361">
        <v>150</v>
      </c>
      <c r="N122" s="361"/>
      <c r="O122" s="342"/>
    </row>
    <row r="123" spans="1:15" s="199" customFormat="1" ht="14.65" customHeight="1">
      <c r="A123" s="282"/>
      <c r="B123" s="346"/>
      <c r="C123" s="341"/>
      <c r="D123" s="342"/>
      <c r="E123" s="343"/>
      <c r="F123" s="342"/>
      <c r="G123" s="341"/>
      <c r="H123" s="258"/>
      <c r="I123" s="258"/>
      <c r="J123" s="358" t="s">
        <v>250</v>
      </c>
      <c r="K123" s="345">
        <v>40000</v>
      </c>
      <c r="L123" s="360" t="str">
        <f>IF(K123&lt;&gt;"",VLOOKUP(K123,ChartofAccountsTable,2,FALSE),"")</f>
        <v>Sales -Fuel Hauling</v>
      </c>
      <c r="M123" s="361"/>
      <c r="N123" s="361">
        <v>51950</v>
      </c>
      <c r="O123" s="342"/>
    </row>
    <row r="124" spans="1:15" s="199" customFormat="1" ht="14.65" customHeight="1">
      <c r="A124" s="282"/>
      <c r="B124" s="347">
        <v>46027</v>
      </c>
      <c r="C124" s="341">
        <v>512</v>
      </c>
      <c r="D124" s="342"/>
      <c r="E124" s="348" t="s">
        <v>270</v>
      </c>
      <c r="F124" s="342"/>
      <c r="G124" s="341" t="s">
        <v>269</v>
      </c>
      <c r="H124" s="263" t="s">
        <v>149</v>
      </c>
      <c r="I124" s="350">
        <v>1</v>
      </c>
      <c r="J124" s="358" t="s">
        <v>250</v>
      </c>
      <c r="K124" s="345">
        <v>21000</v>
      </c>
      <c r="L124" s="360" t="str">
        <f>IF(K124&lt;&gt;"",VLOOKUP(K124,ChartofAccountsTable,2,FALSE),"")</f>
        <v>Unearned Revenue - DHPP</v>
      </c>
      <c r="M124" s="361">
        <v>25425</v>
      </c>
      <c r="N124" s="361"/>
      <c r="O124" s="342"/>
    </row>
    <row r="125" spans="1:15" s="199" customFormat="1" ht="14.65" customHeight="1">
      <c r="A125" s="282"/>
      <c r="B125" s="346"/>
      <c r="C125" s="341"/>
      <c r="D125" s="342"/>
      <c r="E125" s="348"/>
      <c r="F125" s="342"/>
      <c r="G125" s="341"/>
      <c r="H125" s="263"/>
      <c r="I125" s="350"/>
      <c r="J125" s="358" t="s">
        <v>250</v>
      </c>
      <c r="K125" s="345">
        <v>12030</v>
      </c>
      <c r="L125" s="360" t="str">
        <f>IF(K125&lt;&gt;"",VLOOKUP(K125,ChartofAccountsTable,2,FALSE),"")</f>
        <v>A/Receivables - Fuel Clients</v>
      </c>
      <c r="M125" s="361">
        <v>200</v>
      </c>
      <c r="N125" s="361"/>
      <c r="O125" s="342"/>
    </row>
    <row r="126" spans="1:15" s="199" customFormat="1" ht="14.65" customHeight="1">
      <c r="A126" s="282"/>
      <c r="B126" s="346"/>
      <c r="C126" s="341"/>
      <c r="D126" s="342"/>
      <c r="E126" s="348"/>
      <c r="F126" s="342"/>
      <c r="G126" s="341"/>
      <c r="H126" s="263"/>
      <c r="I126" s="350"/>
      <c r="J126" s="358" t="s">
        <v>250</v>
      </c>
      <c r="K126" s="345">
        <v>40000</v>
      </c>
      <c r="L126" s="360" t="str">
        <f>IF(K126&lt;&gt;"",VLOOKUP(K126,ChartofAccountsTable,2,FALSE),"")</f>
        <v>Sales -Fuel Hauling</v>
      </c>
      <c r="M126" s="361"/>
      <c r="N126" s="361">
        <v>25625</v>
      </c>
      <c r="O126" s="342"/>
    </row>
    <row r="127" spans="1:15" s="199" customFormat="1" ht="14.65" customHeight="1">
      <c r="A127" s="282"/>
      <c r="B127" s="347">
        <v>46026</v>
      </c>
      <c r="C127" s="341">
        <v>505</v>
      </c>
      <c r="D127" s="342"/>
      <c r="E127" s="348" t="s">
        <v>271</v>
      </c>
      <c r="F127" s="342"/>
      <c r="G127" s="341" t="s">
        <v>254</v>
      </c>
      <c r="H127" s="263" t="s">
        <v>272</v>
      </c>
      <c r="I127" s="350">
        <v>10</v>
      </c>
      <c r="J127" s="358" t="s">
        <v>250</v>
      </c>
      <c r="K127" s="345">
        <v>12030</v>
      </c>
      <c r="L127" s="360" t="str">
        <f>IF(K127&lt;&gt;"",VLOOKUP(K127,ChartofAccountsTable,2,FALSE),"")</f>
        <v>A/Receivables - Fuel Clients</v>
      </c>
      <c r="M127" s="361">
        <v>25675</v>
      </c>
      <c r="N127" s="361"/>
      <c r="O127" s="344"/>
    </row>
    <row r="128" spans="1:15" s="199" customFormat="1" ht="14.65" customHeight="1">
      <c r="A128" s="282"/>
      <c r="B128" s="346"/>
      <c r="C128" s="341"/>
      <c r="D128" s="342"/>
      <c r="E128" s="348"/>
      <c r="F128" s="342"/>
      <c r="G128" s="341"/>
      <c r="H128" s="263"/>
      <c r="I128" s="350"/>
      <c r="J128" s="358" t="s">
        <v>250</v>
      </c>
      <c r="K128" s="345">
        <v>40000</v>
      </c>
      <c r="L128" s="360" t="str">
        <f>IF(K128&lt;&gt;"",VLOOKUP(K128,ChartofAccountsTable,2,FALSE),"")</f>
        <v>Sales -Fuel Hauling</v>
      </c>
      <c r="M128" s="361"/>
      <c r="N128" s="361">
        <v>25675</v>
      </c>
      <c r="O128" s="344"/>
    </row>
    <row r="129" spans="1:16" s="254" customFormat="1" ht="14.65" customHeight="1">
      <c r="A129" s="253"/>
      <c r="B129" s="347">
        <v>46026</v>
      </c>
      <c r="C129" s="341">
        <v>510</v>
      </c>
      <c r="D129" s="342"/>
      <c r="E129" s="220" t="s">
        <v>273</v>
      </c>
      <c r="F129" s="342"/>
      <c r="G129" s="341" t="s">
        <v>274</v>
      </c>
      <c r="H129" s="258" t="s">
        <v>149</v>
      </c>
      <c r="I129" s="258">
        <v>1</v>
      </c>
      <c r="J129" s="358" t="s">
        <v>250</v>
      </c>
      <c r="K129" s="351">
        <v>21000</v>
      </c>
      <c r="L129" s="360" t="str">
        <f>IF(K129&lt;&gt;"",VLOOKUP(K129,ChartofAccountsTable,2,FALSE),"")</f>
        <v>Unearned Revenue - DHPP</v>
      </c>
      <c r="M129" s="378">
        <v>151950</v>
      </c>
      <c r="N129" s="378"/>
      <c r="O129" s="342"/>
    </row>
    <row r="130" spans="1:16" s="254" customFormat="1" ht="14.65" customHeight="1">
      <c r="A130" s="253"/>
      <c r="B130" s="353"/>
      <c r="C130" s="354"/>
      <c r="D130" s="342"/>
      <c r="E130" s="355"/>
      <c r="F130" s="342"/>
      <c r="G130" s="356"/>
      <c r="H130" s="263"/>
      <c r="I130" s="263"/>
      <c r="J130" s="358"/>
      <c r="K130" s="342">
        <v>12030</v>
      </c>
      <c r="L130" s="360" t="str">
        <f>IF(K130&lt;&gt;"",VLOOKUP(K130,ChartofAccountsTable,2,FALSE),"")</f>
        <v>A/Receivables - Fuel Clients</v>
      </c>
      <c r="M130" s="361">
        <v>2650</v>
      </c>
      <c r="N130" s="361"/>
      <c r="O130" s="342"/>
    </row>
    <row r="131" spans="1:16" s="243" customFormat="1" ht="15" customHeight="1">
      <c r="A131" s="90"/>
      <c r="B131" s="353"/>
      <c r="C131" s="354"/>
      <c r="D131" s="342"/>
      <c r="E131" s="355"/>
      <c r="F131" s="342"/>
      <c r="G131" s="354"/>
      <c r="H131" s="357"/>
      <c r="I131" s="357"/>
      <c r="J131" s="358"/>
      <c r="K131" s="342">
        <v>40000</v>
      </c>
      <c r="L131" s="360" t="str">
        <f>IF(K131&lt;&gt;"",VLOOKUP(K131,ChartofAccountsTable,2,FALSE),"")</f>
        <v>Sales -Fuel Hauling</v>
      </c>
      <c r="M131" s="361"/>
      <c r="N131" s="361">
        <v>154600</v>
      </c>
      <c r="O131" s="342"/>
      <c r="P131" s="242"/>
    </row>
    <row r="132" spans="1:16" s="117" customFormat="1" ht="15" customHeight="1">
      <c r="A132" s="90"/>
      <c r="B132" s="365">
        <v>46028</v>
      </c>
      <c r="C132" s="341">
        <v>1167</v>
      </c>
      <c r="D132" s="342"/>
      <c r="E132" s="343" t="s">
        <v>275</v>
      </c>
      <c r="F132" s="342"/>
      <c r="G132" s="341" t="s">
        <v>276</v>
      </c>
      <c r="H132" s="263" t="s">
        <v>149</v>
      </c>
      <c r="I132" s="263">
        <v>1</v>
      </c>
      <c r="J132" s="358" t="s">
        <v>150</v>
      </c>
      <c r="K132" s="342">
        <v>21000</v>
      </c>
      <c r="L132" s="360" t="str">
        <f>IF(K132&lt;&gt;"",VLOOKUP(K132,ChartofAccountsTable,2,FALSE),"")</f>
        <v>Unearned Revenue - DHPP</v>
      </c>
      <c r="M132" s="361">
        <v>51700</v>
      </c>
      <c r="N132" s="361"/>
      <c r="O132" s="342"/>
      <c r="P132" s="118"/>
    </row>
    <row r="133" spans="1:16" s="117" customFormat="1" ht="15" customHeight="1">
      <c r="A133" s="90"/>
      <c r="B133" s="364"/>
      <c r="C133" s="341"/>
      <c r="D133" s="342"/>
      <c r="E133" s="343"/>
      <c r="F133" s="342"/>
      <c r="G133" s="341"/>
      <c r="H133" s="263"/>
      <c r="I133" s="263"/>
      <c r="J133" s="358"/>
      <c r="K133" s="342">
        <v>40000</v>
      </c>
      <c r="L133" s="360" t="str">
        <f>IF(K133&lt;&gt;"",VLOOKUP(K133,ChartofAccountsTable,2,FALSE),"")</f>
        <v>Sales -Fuel Hauling</v>
      </c>
      <c r="M133" s="361"/>
      <c r="N133" s="361">
        <v>51700</v>
      </c>
      <c r="O133" s="342"/>
      <c r="P133" s="118"/>
    </row>
    <row r="134" spans="1:16" s="117" customFormat="1" ht="15" customHeight="1">
      <c r="A134" s="90"/>
      <c r="B134" s="365">
        <v>46029</v>
      </c>
      <c r="C134" s="341">
        <v>1168</v>
      </c>
      <c r="D134" s="342"/>
      <c r="E134" s="343" t="s">
        <v>277</v>
      </c>
      <c r="F134" s="342"/>
      <c r="G134" s="341" t="s">
        <v>278</v>
      </c>
      <c r="H134" s="263" t="s">
        <v>185</v>
      </c>
      <c r="I134" s="263">
        <v>1.5</v>
      </c>
      <c r="J134" s="358" t="s">
        <v>150</v>
      </c>
      <c r="K134" s="366">
        <v>21000</v>
      </c>
      <c r="L134" s="360" t="str">
        <f>IF(K134&lt;&gt;"",VLOOKUP(K134,ChartofAccountsTable,2,FALSE),"")</f>
        <v>Unearned Revenue - DHPP</v>
      </c>
      <c r="M134" s="361">
        <v>76050</v>
      </c>
      <c r="N134" s="361"/>
      <c r="O134" s="342"/>
      <c r="P134" s="118"/>
    </row>
    <row r="135" spans="1:16" s="117" customFormat="1" ht="15" customHeight="1">
      <c r="A135" s="90"/>
      <c r="B135" s="364"/>
      <c r="C135" s="341"/>
      <c r="D135" s="342"/>
      <c r="E135" s="343"/>
      <c r="F135" s="342"/>
      <c r="G135" s="341"/>
      <c r="H135" s="263"/>
      <c r="I135" s="263"/>
      <c r="J135" s="358"/>
      <c r="K135" s="342">
        <v>21000</v>
      </c>
      <c r="L135" s="360" t="str">
        <f>IF(K135&lt;&gt;"",VLOOKUP(K135,ChartofAccountsTable,2,FALSE),"")</f>
        <v>Unearned Revenue - DHPP</v>
      </c>
      <c r="M135" s="361">
        <v>725</v>
      </c>
      <c r="N135" s="361"/>
      <c r="O135" s="342" t="s">
        <v>279</v>
      </c>
      <c r="P135" s="118"/>
    </row>
    <row r="136" spans="1:16" s="117" customFormat="1" ht="15" customHeight="1">
      <c r="A136" s="90"/>
      <c r="B136" s="364"/>
      <c r="C136" s="341"/>
      <c r="D136" s="342"/>
      <c r="E136" s="343"/>
      <c r="F136" s="342"/>
      <c r="G136" s="341"/>
      <c r="H136" s="263"/>
      <c r="I136" s="263"/>
      <c r="J136" s="358"/>
      <c r="K136" s="342">
        <v>40000</v>
      </c>
      <c r="L136" s="360" t="str">
        <f>IF(K136&lt;&gt;"",VLOOKUP(K136,ChartofAccountsTable,2,FALSE),"")</f>
        <v>Sales -Fuel Hauling</v>
      </c>
      <c r="M136" s="361"/>
      <c r="N136" s="361">
        <v>76775</v>
      </c>
      <c r="O136" s="342"/>
      <c r="P136" s="118"/>
    </row>
    <row r="137" spans="1:16" s="117" customFormat="1" ht="15" customHeight="1">
      <c r="A137" s="90"/>
      <c r="B137" s="365">
        <v>46029</v>
      </c>
      <c r="C137" s="341">
        <v>1169</v>
      </c>
      <c r="D137" s="342"/>
      <c r="E137" s="343" t="s">
        <v>280</v>
      </c>
      <c r="F137" s="342"/>
      <c r="G137" s="341" t="s">
        <v>281</v>
      </c>
      <c r="H137" s="263" t="s">
        <v>173</v>
      </c>
      <c r="I137" s="263">
        <v>1.5</v>
      </c>
      <c r="J137" s="358" t="s">
        <v>150</v>
      </c>
      <c r="K137" s="342">
        <v>21000</v>
      </c>
      <c r="L137" s="360" t="str">
        <f>IF(K137&lt;&gt;"",VLOOKUP(K137,ChartofAccountsTable,2,FALSE),"")</f>
        <v>Unearned Revenue - DHPP</v>
      </c>
      <c r="M137" s="361">
        <v>77675</v>
      </c>
      <c r="N137" s="361"/>
      <c r="O137" s="342"/>
      <c r="P137" s="118"/>
    </row>
    <row r="138" spans="1:16" s="117" customFormat="1" ht="15" customHeight="1">
      <c r="A138" s="90"/>
      <c r="B138" s="364"/>
      <c r="C138" s="341"/>
      <c r="D138" s="342"/>
      <c r="E138" s="343"/>
      <c r="F138" s="342"/>
      <c r="G138" s="341"/>
      <c r="H138" s="263"/>
      <c r="I138" s="263"/>
      <c r="J138" s="358"/>
      <c r="K138" s="342">
        <v>40000</v>
      </c>
      <c r="L138" s="360" t="str">
        <f>IF(K138&lt;&gt;"",VLOOKUP(K138,ChartofAccountsTable,2,FALSE),"")</f>
        <v>Sales -Fuel Hauling</v>
      </c>
      <c r="M138" s="361"/>
      <c r="N138" s="361">
        <v>77675</v>
      </c>
      <c r="O138" s="342"/>
      <c r="P138" s="118"/>
    </row>
    <row r="139" spans="1:16" s="117" customFormat="1" ht="15" customHeight="1">
      <c r="A139" s="90"/>
      <c r="B139" s="365">
        <v>46029</v>
      </c>
      <c r="C139" s="341">
        <v>1170</v>
      </c>
      <c r="D139" s="342"/>
      <c r="E139" s="348" t="s">
        <v>282</v>
      </c>
      <c r="F139" s="342"/>
      <c r="G139" s="341" t="s">
        <v>283</v>
      </c>
      <c r="H139" s="263" t="s">
        <v>149</v>
      </c>
      <c r="I139" s="263">
        <v>1</v>
      </c>
      <c r="J139" s="358" t="s">
        <v>150</v>
      </c>
      <c r="K139" s="342">
        <v>21000</v>
      </c>
      <c r="L139" s="360" t="str">
        <f>IF(K139&lt;&gt;"",VLOOKUP(K139,ChartofAccountsTable,2,FALSE),"")</f>
        <v>Unearned Revenue - DHPP</v>
      </c>
      <c r="M139" s="361">
        <v>51950</v>
      </c>
      <c r="N139" s="361"/>
      <c r="O139" s="342"/>
      <c r="P139" s="118"/>
    </row>
    <row r="140" spans="1:16" s="117" customFormat="1" ht="15" customHeight="1">
      <c r="A140" s="90"/>
      <c r="B140" s="364"/>
      <c r="C140" s="341"/>
      <c r="D140" s="342"/>
      <c r="E140" s="348"/>
      <c r="F140" s="342"/>
      <c r="G140" s="341"/>
      <c r="H140" s="263"/>
      <c r="I140" s="263"/>
      <c r="J140" s="358"/>
      <c r="K140" s="342">
        <v>40000</v>
      </c>
      <c r="L140" s="360" t="str">
        <f>IF(K140&lt;&gt;"",VLOOKUP(K140,ChartofAccountsTable,2,FALSE),"")</f>
        <v>Sales -Fuel Hauling</v>
      </c>
      <c r="M140" s="361"/>
      <c r="N140" s="361">
        <v>51950</v>
      </c>
      <c r="O140" s="342"/>
      <c r="P140" s="118"/>
    </row>
    <row r="141" spans="1:16" s="117" customFormat="1" ht="15" customHeight="1">
      <c r="A141" s="90"/>
      <c r="B141" s="365">
        <v>46029</v>
      </c>
      <c r="C141" s="341">
        <v>1171</v>
      </c>
      <c r="D141" s="342"/>
      <c r="E141" s="343" t="s">
        <v>284</v>
      </c>
      <c r="F141" s="342"/>
      <c r="G141" s="341" t="s">
        <v>158</v>
      </c>
      <c r="H141" s="263" t="s">
        <v>159</v>
      </c>
      <c r="I141" s="263">
        <v>0.5</v>
      </c>
      <c r="J141" s="358" t="s">
        <v>150</v>
      </c>
      <c r="K141" s="342">
        <v>12030</v>
      </c>
      <c r="L141" s="360" t="str">
        <f>IF(K141&lt;&gt;"",VLOOKUP(K141,ChartofAccountsTable,2,FALSE),"")</f>
        <v>A/Receivables - Fuel Clients</v>
      </c>
      <c r="M141" s="361">
        <v>24350</v>
      </c>
      <c r="N141" s="361"/>
      <c r="O141" s="342"/>
      <c r="P141" s="118"/>
    </row>
    <row r="142" spans="1:16" s="117" customFormat="1" ht="15.75" customHeight="1">
      <c r="A142" s="90"/>
      <c r="B142" s="364"/>
      <c r="C142" s="341"/>
      <c r="D142" s="342"/>
      <c r="E142" s="343"/>
      <c r="F142" s="342"/>
      <c r="G142" s="341"/>
      <c r="H142" s="263"/>
      <c r="I142" s="263"/>
      <c r="J142" s="358"/>
      <c r="K142" s="342">
        <v>40000</v>
      </c>
      <c r="L142" s="360" t="str">
        <f>IF(K142&lt;&gt;"",VLOOKUP(K142,ChartofAccountsTable,2,FALSE),"")</f>
        <v>Sales -Fuel Hauling</v>
      </c>
      <c r="M142" s="361"/>
      <c r="N142" s="361">
        <v>24350</v>
      </c>
      <c r="O142" s="342"/>
      <c r="P142" s="118"/>
    </row>
    <row r="143" spans="1:16" s="117" customFormat="1" ht="15" customHeight="1">
      <c r="A143" s="90"/>
      <c r="B143" s="365">
        <v>46029</v>
      </c>
      <c r="C143" s="341">
        <v>1172</v>
      </c>
      <c r="D143" s="342"/>
      <c r="E143" s="348" t="s">
        <v>285</v>
      </c>
      <c r="F143" s="342"/>
      <c r="G143" s="341" t="s">
        <v>161</v>
      </c>
      <c r="H143" s="263" t="s">
        <v>162</v>
      </c>
      <c r="I143" s="263">
        <v>0.5</v>
      </c>
      <c r="J143" s="358" t="s">
        <v>150</v>
      </c>
      <c r="K143" s="342">
        <v>21000</v>
      </c>
      <c r="L143" s="360" t="str">
        <f>IF(K143&lt;&gt;"",VLOOKUP(K143,ChartofAccountsTable,2,FALSE),"")</f>
        <v>Unearned Revenue - DHPP</v>
      </c>
      <c r="M143" s="361">
        <v>24850</v>
      </c>
      <c r="N143" s="361"/>
      <c r="O143" s="342"/>
      <c r="P143" s="118"/>
    </row>
    <row r="144" spans="1:16" s="117" customFormat="1" ht="15" customHeight="1">
      <c r="A144" s="90"/>
      <c r="B144" s="364"/>
      <c r="C144" s="341"/>
      <c r="D144" s="342"/>
      <c r="E144" s="348"/>
      <c r="F144" s="342"/>
      <c r="G144" s="341"/>
      <c r="H144" s="263"/>
      <c r="I144" s="263"/>
      <c r="J144" s="358"/>
      <c r="K144" s="342">
        <v>40000</v>
      </c>
      <c r="L144" s="360" t="str">
        <f>IF(K144&lt;&gt;"",VLOOKUP(K144,ChartofAccountsTable,2,FALSE),"")</f>
        <v>Sales -Fuel Hauling</v>
      </c>
      <c r="M144" s="361"/>
      <c r="N144" s="361">
        <v>24850</v>
      </c>
      <c r="O144" s="342"/>
      <c r="P144" s="118"/>
    </row>
    <row r="145" spans="1:16" s="117" customFormat="1" ht="15" customHeight="1">
      <c r="A145" s="90"/>
      <c r="B145" s="365">
        <v>46030</v>
      </c>
      <c r="C145" s="341">
        <v>1173</v>
      </c>
      <c r="D145" s="342"/>
      <c r="E145" s="343" t="s">
        <v>286</v>
      </c>
      <c r="F145" s="342"/>
      <c r="G145" s="341" t="s">
        <v>204</v>
      </c>
      <c r="H145" s="263" t="s">
        <v>149</v>
      </c>
      <c r="I145" s="263">
        <v>1</v>
      </c>
      <c r="J145" s="358" t="s">
        <v>150</v>
      </c>
      <c r="K145" s="342">
        <v>21000</v>
      </c>
      <c r="L145" s="360" t="str">
        <f>IF(K145&lt;&gt;"",VLOOKUP(K145,ChartofAccountsTable,2,FALSE),"")</f>
        <v>Unearned Revenue - DHPP</v>
      </c>
      <c r="M145" s="361">
        <v>51800</v>
      </c>
      <c r="N145" s="361"/>
      <c r="O145" s="342"/>
      <c r="P145" s="118"/>
    </row>
    <row r="146" spans="1:16" s="117" customFormat="1" ht="15" customHeight="1">
      <c r="A146" s="90"/>
      <c r="B146" s="364"/>
      <c r="C146" s="341"/>
      <c r="D146" s="342"/>
      <c r="E146" s="343"/>
      <c r="F146" s="342"/>
      <c r="G146" s="341"/>
      <c r="H146" s="263"/>
      <c r="I146" s="263"/>
      <c r="J146" s="358"/>
      <c r="K146" s="342">
        <v>40000</v>
      </c>
      <c r="L146" s="360" t="str">
        <f>IF(K146&lt;&gt;"",VLOOKUP(K146,ChartofAccountsTable,2,FALSE),"")</f>
        <v>Sales -Fuel Hauling</v>
      </c>
      <c r="M146" s="361"/>
      <c r="N146" s="361">
        <v>51800</v>
      </c>
      <c r="O146" s="342"/>
      <c r="P146" s="118"/>
    </row>
    <row r="147" spans="1:16" s="117" customFormat="1" ht="15" customHeight="1">
      <c r="A147" s="90"/>
      <c r="B147" s="365">
        <v>46030</v>
      </c>
      <c r="C147" s="341">
        <v>1174</v>
      </c>
      <c r="D147" s="342"/>
      <c r="E147" s="348" t="s">
        <v>287</v>
      </c>
      <c r="F147" s="342"/>
      <c r="G147" s="341" t="s">
        <v>178</v>
      </c>
      <c r="H147" s="263" t="s">
        <v>168</v>
      </c>
      <c r="I147" s="263">
        <v>0.5</v>
      </c>
      <c r="J147" s="358" t="s">
        <v>150</v>
      </c>
      <c r="K147" s="342">
        <v>21000</v>
      </c>
      <c r="L147" s="360" t="str">
        <f>IF(K147&lt;&gt;"",VLOOKUP(K147,ChartofAccountsTable,2,FALSE),"")</f>
        <v>Unearned Revenue - DHPP</v>
      </c>
      <c r="M147" s="361">
        <v>26025</v>
      </c>
      <c r="N147" s="361"/>
      <c r="O147" s="342"/>
      <c r="P147" s="118"/>
    </row>
    <row r="148" spans="1:16" s="117" customFormat="1" ht="15" customHeight="1">
      <c r="A148" s="90"/>
      <c r="B148" s="364"/>
      <c r="C148" s="341"/>
      <c r="D148" s="342"/>
      <c r="E148" s="348"/>
      <c r="F148" s="342"/>
      <c r="G148" s="341"/>
      <c r="H148" s="263"/>
      <c r="I148" s="263"/>
      <c r="J148" s="358"/>
      <c r="K148" s="342">
        <v>40000</v>
      </c>
      <c r="L148" s="360" t="str">
        <f>IF(K148&lt;&gt;"",VLOOKUP(K148,ChartofAccountsTable,2,FALSE),"")</f>
        <v>Sales -Fuel Hauling</v>
      </c>
      <c r="M148" s="361"/>
      <c r="N148" s="361">
        <v>26025</v>
      </c>
      <c r="O148" s="342"/>
      <c r="P148" s="118"/>
    </row>
    <row r="149" spans="1:16" s="117" customFormat="1" ht="15" customHeight="1">
      <c r="A149" s="90"/>
      <c r="B149" s="365">
        <v>46030</v>
      </c>
      <c r="C149" s="341">
        <v>1175</v>
      </c>
      <c r="D149" s="342"/>
      <c r="E149" s="343" t="s">
        <v>288</v>
      </c>
      <c r="F149" s="342"/>
      <c r="G149" s="341" t="s">
        <v>289</v>
      </c>
      <c r="H149" s="263" t="s">
        <v>168</v>
      </c>
      <c r="I149" s="263">
        <v>0.5</v>
      </c>
      <c r="J149" s="358" t="s">
        <v>150</v>
      </c>
      <c r="K149" s="342">
        <v>21000</v>
      </c>
      <c r="L149" s="360" t="str">
        <f>IF(K149&lt;&gt;"",VLOOKUP(K149,ChartofAccountsTable,2,FALSE),"")</f>
        <v>Unearned Revenue - DHPP</v>
      </c>
      <c r="M149" s="361">
        <v>25950</v>
      </c>
      <c r="N149" s="361"/>
      <c r="O149" s="342"/>
      <c r="P149" s="118"/>
    </row>
    <row r="150" spans="1:16" s="117" customFormat="1" ht="15" customHeight="1">
      <c r="A150" s="90"/>
      <c r="B150" s="364"/>
      <c r="C150" s="341"/>
      <c r="D150" s="342"/>
      <c r="E150" s="343"/>
      <c r="F150" s="342"/>
      <c r="G150" s="341"/>
      <c r="H150" s="263"/>
      <c r="I150" s="263"/>
      <c r="J150" s="358"/>
      <c r="K150" s="342">
        <v>40000</v>
      </c>
      <c r="L150" s="360" t="str">
        <f>IF(K150&lt;&gt;"",VLOOKUP(K150,ChartofAccountsTable,2,FALSE),"")</f>
        <v>Sales -Fuel Hauling</v>
      </c>
      <c r="M150" s="361"/>
      <c r="N150" s="361">
        <v>25950</v>
      </c>
      <c r="O150" s="342"/>
      <c r="P150" s="118"/>
    </row>
    <row r="151" spans="1:16" s="117" customFormat="1" ht="15" customHeight="1">
      <c r="A151" s="90"/>
      <c r="B151" s="365">
        <v>46030</v>
      </c>
      <c r="C151" s="341">
        <v>1176</v>
      </c>
      <c r="D151" s="342"/>
      <c r="E151" s="343" t="s">
        <v>290</v>
      </c>
      <c r="F151" s="342"/>
      <c r="G151" s="341" t="s">
        <v>194</v>
      </c>
      <c r="H151" s="263" t="s">
        <v>173</v>
      </c>
      <c r="I151" s="263">
        <v>1.5</v>
      </c>
      <c r="J151" s="358" t="s">
        <v>150</v>
      </c>
      <c r="K151" s="342">
        <v>21000</v>
      </c>
      <c r="L151" s="360" t="str">
        <f>IF(K151&lt;&gt;"",VLOOKUP(K151,ChartofAccountsTable,2,FALSE),"")</f>
        <v>Unearned Revenue - DHPP</v>
      </c>
      <c r="M151" s="361">
        <v>77525</v>
      </c>
      <c r="N151" s="361"/>
      <c r="O151" s="342"/>
      <c r="P151" s="118"/>
    </row>
    <row r="152" spans="1:16" s="117" customFormat="1" ht="15" customHeight="1">
      <c r="A152" s="90"/>
      <c r="B152" s="364"/>
      <c r="C152" s="341"/>
      <c r="D152" s="342"/>
      <c r="E152" s="343"/>
      <c r="F152" s="342"/>
      <c r="G152" s="341"/>
      <c r="H152" s="263"/>
      <c r="I152" s="263"/>
      <c r="J152" s="358"/>
      <c r="K152" s="342">
        <v>40000</v>
      </c>
      <c r="L152" s="360" t="str">
        <f>IF(K152&lt;&gt;"",VLOOKUP(K152,ChartofAccountsTable,2,FALSE),"")</f>
        <v>Sales -Fuel Hauling</v>
      </c>
      <c r="M152" s="361"/>
      <c r="N152" s="361">
        <v>77525</v>
      </c>
      <c r="O152" s="342"/>
      <c r="P152" s="118"/>
    </row>
    <row r="153" spans="1:16" s="117" customFormat="1" ht="15" customHeight="1">
      <c r="A153" s="90"/>
      <c r="B153" s="365">
        <v>46030</v>
      </c>
      <c r="C153" s="341">
        <v>1177</v>
      </c>
      <c r="D153" s="342"/>
      <c r="E153" s="343" t="s">
        <v>291</v>
      </c>
      <c r="F153" s="342"/>
      <c r="G153" s="341" t="s">
        <v>292</v>
      </c>
      <c r="H153" s="263" t="s">
        <v>176</v>
      </c>
      <c r="I153" s="263">
        <v>2.5</v>
      </c>
      <c r="J153" s="358" t="s">
        <v>150</v>
      </c>
      <c r="K153" s="342">
        <v>21000</v>
      </c>
      <c r="L153" s="360" t="str">
        <f>IF(K153&lt;&gt;"",VLOOKUP(K153,ChartofAccountsTable,2,FALSE),"")</f>
        <v>Unearned Revenue - DHPP</v>
      </c>
      <c r="M153" s="361">
        <v>129500</v>
      </c>
      <c r="N153" s="361"/>
      <c r="O153" s="342"/>
      <c r="P153" s="118"/>
    </row>
    <row r="154" spans="1:16" s="117" customFormat="1" ht="15" customHeight="1">
      <c r="A154" s="90"/>
      <c r="B154" s="364"/>
      <c r="C154" s="341"/>
      <c r="D154" s="342"/>
      <c r="E154" s="343"/>
      <c r="F154" s="342"/>
      <c r="G154" s="341"/>
      <c r="H154" s="263"/>
      <c r="I154" s="263"/>
      <c r="J154" s="358"/>
      <c r="K154" s="342">
        <v>40000</v>
      </c>
      <c r="L154" s="360" t="str">
        <f>IF(K154&lt;&gt;"",VLOOKUP(K154,ChartofAccountsTable,2,FALSE),"")</f>
        <v>Sales -Fuel Hauling</v>
      </c>
      <c r="M154" s="361"/>
      <c r="N154" s="361">
        <v>129500</v>
      </c>
      <c r="O154" s="342"/>
      <c r="P154" s="118"/>
    </row>
    <row r="155" spans="1:16" s="117" customFormat="1" ht="15" customHeight="1">
      <c r="A155" s="90"/>
      <c r="B155" s="365">
        <v>46031</v>
      </c>
      <c r="C155" s="341">
        <v>1179</v>
      </c>
      <c r="D155" s="342"/>
      <c r="E155" s="343" t="s">
        <v>293</v>
      </c>
      <c r="F155" s="342"/>
      <c r="G155" s="341" t="s">
        <v>294</v>
      </c>
      <c r="H155" s="263" t="s">
        <v>179</v>
      </c>
      <c r="I155" s="263">
        <v>1</v>
      </c>
      <c r="J155" s="358" t="s">
        <v>150</v>
      </c>
      <c r="K155" s="342">
        <v>21000</v>
      </c>
      <c r="L155" s="360" t="str">
        <f>IF(K155&lt;&gt;"",VLOOKUP(K155,ChartofAccountsTable,2,FALSE),"")</f>
        <v>Unearned Revenue - DHPP</v>
      </c>
      <c r="M155" s="361">
        <v>102050</v>
      </c>
      <c r="N155" s="361"/>
      <c r="O155" s="342"/>
      <c r="P155" s="118"/>
    </row>
    <row r="156" spans="1:16" s="117" customFormat="1" ht="15" customHeight="1">
      <c r="A156" s="90"/>
      <c r="B156" s="364"/>
      <c r="C156" s="341"/>
      <c r="D156" s="342"/>
      <c r="E156" s="343"/>
      <c r="F156" s="342"/>
      <c r="G156" s="341"/>
      <c r="H156" s="263"/>
      <c r="I156" s="263"/>
      <c r="J156" s="358"/>
      <c r="K156" s="342">
        <v>40000</v>
      </c>
      <c r="L156" s="360" t="str">
        <f>IF(K156&lt;&gt;"",VLOOKUP(K156,ChartofAccountsTable,2,FALSE),"")</f>
        <v>Sales -Fuel Hauling</v>
      </c>
      <c r="M156" s="361"/>
      <c r="N156" s="361">
        <v>102050</v>
      </c>
      <c r="O156" s="342"/>
      <c r="P156" s="118"/>
    </row>
    <row r="157" spans="1:16" s="117" customFormat="1" ht="15" customHeight="1">
      <c r="A157" s="90"/>
      <c r="B157" s="365">
        <v>46031</v>
      </c>
      <c r="C157" s="341">
        <v>1210</v>
      </c>
      <c r="D157" s="342"/>
      <c r="E157" s="343" t="s">
        <v>295</v>
      </c>
      <c r="F157" s="342"/>
      <c r="G157" s="341" t="s">
        <v>296</v>
      </c>
      <c r="H157" s="263" t="s">
        <v>182</v>
      </c>
      <c r="I157" s="263">
        <v>2</v>
      </c>
      <c r="J157" s="358" t="s">
        <v>150</v>
      </c>
      <c r="K157" s="342">
        <v>21000</v>
      </c>
      <c r="L157" s="360" t="str">
        <f>IF(K157&lt;&gt;"",VLOOKUP(K157,ChartofAccountsTable,2,FALSE),"")</f>
        <v>Unearned Revenue - DHPP</v>
      </c>
      <c r="M157" s="361">
        <v>103500</v>
      </c>
      <c r="N157" s="361"/>
      <c r="O157" s="342"/>
      <c r="P157" s="118"/>
    </row>
    <row r="158" spans="1:16" s="117" customFormat="1" ht="15" customHeight="1">
      <c r="A158" s="90"/>
      <c r="B158" s="364"/>
      <c r="C158" s="341"/>
      <c r="D158" s="342"/>
      <c r="E158" s="343"/>
      <c r="F158" s="342"/>
      <c r="G158" s="341"/>
      <c r="H158" s="263"/>
      <c r="I158" s="263"/>
      <c r="J158" s="358"/>
      <c r="K158" s="342">
        <v>40000</v>
      </c>
      <c r="L158" s="360" t="str">
        <f>IF(K158&lt;&gt;"",VLOOKUP(K158,ChartofAccountsTable,2,FALSE),"")</f>
        <v>Sales -Fuel Hauling</v>
      </c>
      <c r="M158" s="361"/>
      <c r="N158" s="361">
        <v>103500</v>
      </c>
      <c r="O158" s="342"/>
      <c r="P158" s="118"/>
    </row>
    <row r="159" spans="1:16" s="117" customFormat="1" ht="15" customHeight="1">
      <c r="A159" s="90"/>
      <c r="B159" s="365">
        <v>46031</v>
      </c>
      <c r="C159" s="341">
        <v>1211</v>
      </c>
      <c r="D159" s="342"/>
      <c r="E159" s="343" t="s">
        <v>297</v>
      </c>
      <c r="F159" s="342"/>
      <c r="G159" s="341" t="s">
        <v>154</v>
      </c>
      <c r="H159" s="263" t="s">
        <v>185</v>
      </c>
      <c r="I159" s="263">
        <v>1.5</v>
      </c>
      <c r="J159" s="358" t="s">
        <v>150</v>
      </c>
      <c r="K159" s="342">
        <v>21000</v>
      </c>
      <c r="L159" s="360" t="str">
        <f>IF(K159&lt;&gt;"",VLOOKUP(K159,ChartofAccountsTable,2,FALSE),"")</f>
        <v>Unearned Revenue - DHPP</v>
      </c>
      <c r="M159" s="361">
        <v>102050</v>
      </c>
      <c r="N159" s="361"/>
      <c r="O159" s="342"/>
      <c r="P159" s="118"/>
    </row>
    <row r="160" spans="1:16" s="117" customFormat="1" ht="15" customHeight="1">
      <c r="A160" s="90"/>
      <c r="B160" s="364"/>
      <c r="C160" s="341"/>
      <c r="D160" s="342"/>
      <c r="E160" s="343"/>
      <c r="F160" s="342"/>
      <c r="G160" s="341"/>
      <c r="H160" s="263"/>
      <c r="I160" s="263"/>
      <c r="J160" s="358"/>
      <c r="K160" s="342">
        <v>40000</v>
      </c>
      <c r="L160" s="360" t="str">
        <f>IF(K160&lt;&gt;"",VLOOKUP(K160,ChartofAccountsTable,2,FALSE),"")</f>
        <v>Sales -Fuel Hauling</v>
      </c>
      <c r="M160" s="361"/>
      <c r="N160" s="361">
        <v>102050</v>
      </c>
      <c r="O160" s="342"/>
      <c r="P160" s="118"/>
    </row>
    <row r="161" spans="1:16" s="117" customFormat="1" ht="15" customHeight="1">
      <c r="A161" s="90"/>
      <c r="B161" s="365">
        <v>46031</v>
      </c>
      <c r="C161" s="341">
        <v>1212</v>
      </c>
      <c r="D161" s="342"/>
      <c r="E161" s="343" t="s">
        <v>298</v>
      </c>
      <c r="F161" s="342"/>
      <c r="G161" s="341" t="s">
        <v>299</v>
      </c>
      <c r="H161" s="263" t="s">
        <v>159</v>
      </c>
      <c r="I161" s="263">
        <v>0.5</v>
      </c>
      <c r="J161" s="358" t="s">
        <v>150</v>
      </c>
      <c r="K161" s="342">
        <v>21000</v>
      </c>
      <c r="L161" s="360" t="str">
        <f>IF(K161&lt;&gt;"",VLOOKUP(K161,ChartofAccountsTable,2,FALSE),"")</f>
        <v>Unearned Revenue - DHPP</v>
      </c>
      <c r="M161" s="361">
        <v>25625</v>
      </c>
      <c r="N161" s="361"/>
      <c r="O161" s="342"/>
      <c r="P161" s="118"/>
    </row>
    <row r="162" spans="1:16" s="117" customFormat="1" ht="15" customHeight="1">
      <c r="A162" s="90"/>
      <c r="B162" s="364"/>
      <c r="C162" s="341"/>
      <c r="D162" s="342"/>
      <c r="E162" s="343"/>
      <c r="F162" s="342"/>
      <c r="G162" s="341"/>
      <c r="H162" s="263"/>
      <c r="I162" s="263"/>
      <c r="J162" s="358"/>
      <c r="K162" s="342">
        <v>40000</v>
      </c>
      <c r="L162" s="360" t="str">
        <f>IF(K162&lt;&gt;"",VLOOKUP(K162,ChartofAccountsTable,2,FALSE),"")</f>
        <v>Sales -Fuel Hauling</v>
      </c>
      <c r="M162" s="361"/>
      <c r="N162" s="361">
        <v>25625</v>
      </c>
      <c r="O162" s="342"/>
      <c r="P162" s="118"/>
    </row>
    <row r="163" spans="1:16" s="117" customFormat="1" ht="15" customHeight="1">
      <c r="A163" s="90"/>
      <c r="B163" s="365">
        <v>46030</v>
      </c>
      <c r="C163" s="341">
        <v>1178</v>
      </c>
      <c r="D163" s="342"/>
      <c r="E163" s="343" t="s">
        <v>300</v>
      </c>
      <c r="F163" s="342"/>
      <c r="G163" s="341" t="s">
        <v>148</v>
      </c>
      <c r="H163" s="263" t="s">
        <v>149</v>
      </c>
      <c r="I163" s="263">
        <v>1</v>
      </c>
      <c r="J163" s="358" t="s">
        <v>150</v>
      </c>
      <c r="K163" s="342">
        <v>21000</v>
      </c>
      <c r="L163" s="360" t="str">
        <f>IF(K163&lt;&gt;"",VLOOKUP(K163,ChartofAccountsTable,2,FALSE),"")</f>
        <v>Unearned Revenue - DHPP</v>
      </c>
      <c r="M163" s="361">
        <v>51600</v>
      </c>
      <c r="N163" s="361"/>
      <c r="O163" s="342"/>
      <c r="P163" s="118"/>
    </row>
    <row r="164" spans="1:16" s="117" customFormat="1" ht="15" customHeight="1">
      <c r="A164" s="90"/>
      <c r="B164" s="364"/>
      <c r="C164" s="341"/>
      <c r="D164" s="342"/>
      <c r="E164" s="343"/>
      <c r="F164" s="342"/>
      <c r="G164" s="341"/>
      <c r="H164" s="263"/>
      <c r="I164" s="263"/>
      <c r="J164" s="358"/>
      <c r="K164" s="342">
        <v>40000</v>
      </c>
      <c r="L164" s="360" t="str">
        <f>IF(K164&lt;&gt;"",VLOOKUP(K164,ChartofAccountsTable,2,FALSE),"")</f>
        <v>Sales -Fuel Hauling</v>
      </c>
      <c r="M164" s="361"/>
      <c r="N164" s="361">
        <v>51600</v>
      </c>
      <c r="O164" s="342"/>
      <c r="P164" s="118"/>
    </row>
    <row r="165" spans="1:16" s="117" customFormat="1" ht="15" customHeight="1">
      <c r="A165" s="90"/>
      <c r="B165" s="365">
        <v>46031</v>
      </c>
      <c r="C165" s="341">
        <v>1214</v>
      </c>
      <c r="D165" s="342"/>
      <c r="E165" s="343" t="s">
        <v>301</v>
      </c>
      <c r="F165" s="342"/>
      <c r="G165" s="341" t="s">
        <v>276</v>
      </c>
      <c r="H165" s="263" t="s">
        <v>192</v>
      </c>
      <c r="I165" s="263">
        <v>1</v>
      </c>
      <c r="J165" s="358" t="s">
        <v>150</v>
      </c>
      <c r="K165" s="342">
        <v>21000</v>
      </c>
      <c r="L165" s="360" t="str">
        <f>IF(K165&lt;&gt;"",VLOOKUP(K165,ChartofAccountsTable,2,FALSE),"")</f>
        <v>Unearned Revenue - DHPP</v>
      </c>
      <c r="M165" s="361">
        <v>51200</v>
      </c>
      <c r="N165" s="361"/>
      <c r="O165" s="342"/>
      <c r="P165" s="118"/>
    </row>
    <row r="166" spans="1:16" s="117" customFormat="1" ht="15" customHeight="1">
      <c r="A166" s="90"/>
      <c r="B166" s="364"/>
      <c r="C166" s="341"/>
      <c r="D166" s="342"/>
      <c r="E166" s="343"/>
      <c r="F166" s="342"/>
      <c r="G166" s="341"/>
      <c r="H166" s="263"/>
      <c r="I166" s="263"/>
      <c r="J166" s="358"/>
      <c r="K166" s="342">
        <v>40000</v>
      </c>
      <c r="L166" s="360" t="str">
        <f>IF(K166&lt;&gt;"",VLOOKUP(K166,ChartofAccountsTable,2,FALSE),"")</f>
        <v>Sales -Fuel Hauling</v>
      </c>
      <c r="M166" s="361"/>
      <c r="N166" s="361">
        <v>51200</v>
      </c>
      <c r="O166" s="342"/>
      <c r="P166" s="118"/>
    </row>
    <row r="167" spans="1:16" s="117" customFormat="1" ht="15" customHeight="1">
      <c r="A167" s="90"/>
      <c r="B167" s="365">
        <v>46031</v>
      </c>
      <c r="C167" s="341">
        <v>1213</v>
      </c>
      <c r="D167" s="342"/>
      <c r="E167" s="343" t="s">
        <v>302</v>
      </c>
      <c r="F167" s="342"/>
      <c r="G167" s="341" t="s">
        <v>148</v>
      </c>
      <c r="H167" s="263" t="s">
        <v>303</v>
      </c>
      <c r="I167" s="263">
        <v>2</v>
      </c>
      <c r="J167" s="358" t="s">
        <v>150</v>
      </c>
      <c r="K167" s="342">
        <v>21000</v>
      </c>
      <c r="L167" s="360" t="str">
        <f>IF(K167&lt;&gt;"",VLOOKUP(K167,ChartofAccountsTable,2,FALSE),"")</f>
        <v>Unearned Revenue - DHPP</v>
      </c>
      <c r="M167" s="361">
        <v>102700</v>
      </c>
      <c r="N167" s="361"/>
      <c r="O167" s="342"/>
      <c r="P167" s="118"/>
    </row>
    <row r="168" spans="1:16" s="117" customFormat="1" ht="15" customHeight="1">
      <c r="A168" s="90"/>
      <c r="B168" s="364"/>
      <c r="C168" s="341"/>
      <c r="D168" s="342"/>
      <c r="E168" s="343"/>
      <c r="F168" s="342"/>
      <c r="G168" s="341"/>
      <c r="H168" s="263"/>
      <c r="I168" s="263"/>
      <c r="J168" s="358"/>
      <c r="K168" s="342">
        <v>40000</v>
      </c>
      <c r="L168" s="360" t="str">
        <f>IF(K168&lt;&gt;"",VLOOKUP(K168,ChartofAccountsTable,2,FALSE),"")</f>
        <v>Sales -Fuel Hauling</v>
      </c>
      <c r="M168" s="361"/>
      <c r="N168" s="361">
        <v>102700</v>
      </c>
      <c r="O168" s="342"/>
      <c r="P168" s="118"/>
    </row>
    <row r="169" spans="1:16" s="117" customFormat="1" ht="15" customHeight="1">
      <c r="A169" s="90"/>
      <c r="B169" s="365">
        <v>46032</v>
      </c>
      <c r="C169" s="341">
        <v>1215</v>
      </c>
      <c r="D169" s="342"/>
      <c r="E169" s="343" t="s">
        <v>304</v>
      </c>
      <c r="F169" s="342"/>
      <c r="G169" s="341" t="s">
        <v>281</v>
      </c>
      <c r="H169" s="263" t="s">
        <v>162</v>
      </c>
      <c r="I169" s="263">
        <v>0.5</v>
      </c>
      <c r="J169" s="358" t="s">
        <v>150</v>
      </c>
      <c r="K169" s="342">
        <v>21000</v>
      </c>
      <c r="L169" s="360" t="str">
        <f>IF(K169&lt;&gt;"",VLOOKUP(K169,ChartofAccountsTable,2,FALSE),"")</f>
        <v>Unearned Revenue - DHPP</v>
      </c>
      <c r="M169" s="361">
        <v>25125</v>
      </c>
      <c r="N169" s="361"/>
      <c r="O169" s="342"/>
      <c r="P169" s="118"/>
    </row>
    <row r="170" spans="1:16" s="117" customFormat="1" ht="15" customHeight="1">
      <c r="A170" s="90"/>
      <c r="B170" s="364"/>
      <c r="C170" s="341"/>
      <c r="D170" s="342"/>
      <c r="E170" s="343"/>
      <c r="F170" s="342"/>
      <c r="G170" s="341"/>
      <c r="H170" s="263"/>
      <c r="I170" s="263"/>
      <c r="J170" s="358"/>
      <c r="K170" s="342">
        <v>40000</v>
      </c>
      <c r="L170" s="360" t="str">
        <f>IF(K170&lt;&gt;"",VLOOKUP(K170,ChartofAccountsTable,2,FALSE),"")</f>
        <v>Sales -Fuel Hauling</v>
      </c>
      <c r="M170" s="361"/>
      <c r="N170" s="361">
        <v>25125</v>
      </c>
      <c r="O170" s="342"/>
      <c r="P170" s="118"/>
    </row>
    <row r="171" spans="1:16" s="117" customFormat="1" ht="15" customHeight="1">
      <c r="A171" s="90"/>
      <c r="B171" s="365">
        <v>46032</v>
      </c>
      <c r="C171" s="341">
        <v>1216</v>
      </c>
      <c r="D171" s="342"/>
      <c r="E171" s="343" t="s">
        <v>305</v>
      </c>
      <c r="F171" s="342"/>
      <c r="G171" s="341" t="s">
        <v>207</v>
      </c>
      <c r="H171" s="263" t="s">
        <v>185</v>
      </c>
      <c r="I171" s="263">
        <v>1.5</v>
      </c>
      <c r="J171" s="358" t="s">
        <v>150</v>
      </c>
      <c r="K171" s="342">
        <v>21000</v>
      </c>
      <c r="L171" s="360" t="str">
        <f>IF(K171&lt;&gt;"",VLOOKUP(K171,ChartofAccountsTable,2,FALSE),"")</f>
        <v>Unearned Revenue - DHPP</v>
      </c>
      <c r="M171" s="361">
        <v>76175</v>
      </c>
      <c r="N171" s="361"/>
      <c r="O171" s="342"/>
      <c r="P171" s="118"/>
    </row>
    <row r="172" spans="1:16" s="117" customFormat="1" ht="15" customHeight="1">
      <c r="A172" s="90"/>
      <c r="B172" s="364"/>
      <c r="C172" s="341"/>
      <c r="D172" s="342"/>
      <c r="E172" s="343"/>
      <c r="F172" s="342"/>
      <c r="G172" s="341"/>
      <c r="H172" s="263"/>
      <c r="I172" s="263"/>
      <c r="J172" s="358"/>
      <c r="K172" s="342">
        <v>40000</v>
      </c>
      <c r="L172" s="360" t="str">
        <f>IF(K172&lt;&gt;"",VLOOKUP(K172,ChartofAccountsTable,2,FALSE),"")</f>
        <v>Sales -Fuel Hauling</v>
      </c>
      <c r="M172" s="361"/>
      <c r="N172" s="361">
        <v>76175</v>
      </c>
      <c r="O172" s="342"/>
      <c r="P172" s="118"/>
    </row>
    <row r="173" spans="1:16" s="117" customFormat="1" ht="15" customHeight="1">
      <c r="A173" s="90"/>
      <c r="B173" s="365">
        <v>46032</v>
      </c>
      <c r="C173" s="341">
        <v>1217</v>
      </c>
      <c r="D173" s="342"/>
      <c r="E173" s="343" t="s">
        <v>306</v>
      </c>
      <c r="F173" s="342"/>
      <c r="G173" s="341" t="s">
        <v>197</v>
      </c>
      <c r="H173" s="263" t="s">
        <v>149</v>
      </c>
      <c r="I173" s="263">
        <v>1</v>
      </c>
      <c r="J173" s="358" t="s">
        <v>150</v>
      </c>
      <c r="K173" s="342">
        <v>21000</v>
      </c>
      <c r="L173" s="360" t="str">
        <f>IF(K173&lt;&gt;"",VLOOKUP(K173,ChartofAccountsTable,2,FALSE),"")</f>
        <v>Unearned Revenue - DHPP</v>
      </c>
      <c r="M173" s="361">
        <v>51750</v>
      </c>
      <c r="N173" s="361"/>
      <c r="O173" s="342"/>
      <c r="P173" s="118"/>
    </row>
    <row r="174" spans="1:16" s="117" customFormat="1" ht="15" customHeight="1">
      <c r="A174" s="90"/>
      <c r="B174" s="364"/>
      <c r="C174" s="341"/>
      <c r="D174" s="342"/>
      <c r="E174" s="343"/>
      <c r="F174" s="342"/>
      <c r="G174" s="341"/>
      <c r="H174" s="263"/>
      <c r="I174" s="263"/>
      <c r="J174" s="358"/>
      <c r="K174" s="342">
        <v>40000</v>
      </c>
      <c r="L174" s="360" t="str">
        <f>IF(K174&lt;&gt;"",VLOOKUP(K174,ChartofAccountsTable,2,FALSE),"")</f>
        <v>Sales -Fuel Hauling</v>
      </c>
      <c r="M174" s="361"/>
      <c r="N174" s="361">
        <v>51750</v>
      </c>
      <c r="O174" s="342"/>
      <c r="P174" s="118"/>
    </row>
    <row r="175" spans="1:16" s="117" customFormat="1" ht="15" customHeight="1">
      <c r="A175" s="90"/>
      <c r="B175" s="365">
        <v>46032</v>
      </c>
      <c r="C175" s="341">
        <v>1218</v>
      </c>
      <c r="D175" s="342"/>
      <c r="E175" s="343" t="s">
        <v>307</v>
      </c>
      <c r="F175" s="342"/>
      <c r="G175" s="341" t="s">
        <v>164</v>
      </c>
      <c r="H175" s="263" t="s">
        <v>162</v>
      </c>
      <c r="I175" s="263">
        <v>0.5</v>
      </c>
      <c r="J175" s="358" t="s">
        <v>150</v>
      </c>
      <c r="K175" s="342">
        <v>12030</v>
      </c>
      <c r="L175" s="360" t="str">
        <f>IF(K175&lt;&gt;"",VLOOKUP(K175,ChartofAccountsTable,2,FALSE),"")</f>
        <v>A/Receivables - Fuel Clients</v>
      </c>
      <c r="M175" s="361">
        <v>24825</v>
      </c>
      <c r="N175" s="361"/>
      <c r="O175" s="342"/>
      <c r="P175" s="118"/>
    </row>
    <row r="176" spans="1:16" s="117" customFormat="1" ht="15" customHeight="1">
      <c r="A176" s="90"/>
      <c r="B176" s="364"/>
      <c r="C176" s="341"/>
      <c r="D176" s="342"/>
      <c r="E176" s="343"/>
      <c r="F176" s="342"/>
      <c r="G176" s="341"/>
      <c r="H176" s="263"/>
      <c r="I176" s="263"/>
      <c r="J176" s="358"/>
      <c r="K176" s="342">
        <v>40000</v>
      </c>
      <c r="L176" s="360" t="str">
        <f>IF(K176&lt;&gt;"",VLOOKUP(K176,ChartofAccountsTable,2,FALSE),"")</f>
        <v>Sales -Fuel Hauling</v>
      </c>
      <c r="M176" s="361"/>
      <c r="N176" s="361">
        <v>24825</v>
      </c>
      <c r="O176" s="342"/>
      <c r="P176" s="118"/>
    </row>
    <row r="177" spans="1:16" s="117" customFormat="1" ht="15" customHeight="1">
      <c r="A177" s="90"/>
      <c r="B177" s="365">
        <v>46032</v>
      </c>
      <c r="C177" s="341">
        <v>1219</v>
      </c>
      <c r="D177" s="342"/>
      <c r="E177" s="343" t="s">
        <v>308</v>
      </c>
      <c r="F177" s="342"/>
      <c r="G177" s="341" t="s">
        <v>249</v>
      </c>
      <c r="H177" s="263" t="s">
        <v>162</v>
      </c>
      <c r="I177" s="263">
        <v>0.5</v>
      </c>
      <c r="J177" s="358" t="s">
        <v>150</v>
      </c>
      <c r="K177" s="342">
        <v>21000</v>
      </c>
      <c r="L177" s="360" t="str">
        <f>IF(K177&lt;&gt;"",VLOOKUP(K177,ChartofAccountsTable,2,FALSE),"")</f>
        <v>Unearned Revenue - DHPP</v>
      </c>
      <c r="M177" s="361">
        <v>24600</v>
      </c>
      <c r="N177" s="361"/>
      <c r="O177" s="342"/>
      <c r="P177" s="118"/>
    </row>
    <row r="178" spans="1:16" s="117" customFormat="1" ht="15" customHeight="1">
      <c r="A178" s="90"/>
      <c r="B178" s="364"/>
      <c r="C178" s="341"/>
      <c r="D178" s="342"/>
      <c r="E178" s="343"/>
      <c r="F178" s="342"/>
      <c r="G178" s="341"/>
      <c r="H178" s="263"/>
      <c r="I178" s="263"/>
      <c r="J178" s="358"/>
      <c r="K178" s="342">
        <v>40000</v>
      </c>
      <c r="L178" s="360" t="str">
        <f>IF(K178&lt;&gt;"",VLOOKUP(K178,ChartofAccountsTable,2,FALSE),"")</f>
        <v>Sales -Fuel Hauling</v>
      </c>
      <c r="M178" s="361"/>
      <c r="N178" s="361">
        <v>24600</v>
      </c>
      <c r="O178" s="342"/>
      <c r="P178" s="118"/>
    </row>
    <row r="179" spans="1:16" s="117" customFormat="1" ht="15" customHeight="1">
      <c r="A179" s="90"/>
      <c r="B179" s="365">
        <v>46032</v>
      </c>
      <c r="C179" s="341">
        <v>1220</v>
      </c>
      <c r="D179" s="342"/>
      <c r="E179" s="343" t="s">
        <v>309</v>
      </c>
      <c r="F179" s="342"/>
      <c r="G179" s="341" t="s">
        <v>252</v>
      </c>
      <c r="H179" s="263" t="s">
        <v>149</v>
      </c>
      <c r="I179" s="263">
        <v>1</v>
      </c>
      <c r="J179" s="358" t="s">
        <v>150</v>
      </c>
      <c r="K179" s="342">
        <v>21000</v>
      </c>
      <c r="L179" s="360" t="str">
        <f>IF(K179&lt;&gt;"",VLOOKUP(K179,ChartofAccountsTable,2,FALSE),"")</f>
        <v>Unearned Revenue - DHPP</v>
      </c>
      <c r="M179" s="361">
        <v>51250</v>
      </c>
      <c r="N179" s="361"/>
      <c r="O179" s="342"/>
      <c r="P179" s="118"/>
    </row>
    <row r="180" spans="1:16" s="117" customFormat="1" ht="15" customHeight="1">
      <c r="A180" s="90"/>
      <c r="B180" s="364"/>
      <c r="C180" s="341"/>
      <c r="D180" s="342"/>
      <c r="E180" s="343"/>
      <c r="F180" s="342"/>
      <c r="G180" s="341"/>
      <c r="H180" s="263"/>
      <c r="I180" s="263"/>
      <c r="J180" s="358"/>
      <c r="K180" s="342">
        <v>40000</v>
      </c>
      <c r="L180" s="360" t="str">
        <f>IF(K180&lt;&gt;"",VLOOKUP(K180,ChartofAccountsTable,2,FALSE),"")</f>
        <v>Sales -Fuel Hauling</v>
      </c>
      <c r="M180" s="361"/>
      <c r="N180" s="361">
        <v>51250</v>
      </c>
      <c r="O180" s="342"/>
      <c r="P180" s="118"/>
    </row>
    <row r="181" spans="1:16" s="117" customFormat="1" ht="15" customHeight="1">
      <c r="A181" s="90"/>
      <c r="B181" s="365">
        <v>46033</v>
      </c>
      <c r="C181" s="341">
        <v>1221</v>
      </c>
      <c r="D181" s="342"/>
      <c r="E181" s="343" t="s">
        <v>310</v>
      </c>
      <c r="F181" s="342"/>
      <c r="G181" s="341" t="s">
        <v>311</v>
      </c>
      <c r="H181" s="263" t="s">
        <v>212</v>
      </c>
      <c r="I181" s="263">
        <v>2</v>
      </c>
      <c r="J181" s="358" t="s">
        <v>150</v>
      </c>
      <c r="K181" s="342">
        <v>21000</v>
      </c>
      <c r="L181" s="360" t="str">
        <f>IF(K181&lt;&gt;"",VLOOKUP(K181,ChartofAccountsTable,2,FALSE),"")</f>
        <v>Unearned Revenue - DHPP</v>
      </c>
      <c r="M181" s="361">
        <v>100350</v>
      </c>
      <c r="N181" s="361"/>
      <c r="O181" s="342"/>
      <c r="P181" s="118"/>
    </row>
    <row r="182" spans="1:16" s="117" customFormat="1" ht="15" customHeight="1">
      <c r="A182" s="90"/>
      <c r="B182" s="364"/>
      <c r="C182" s="341"/>
      <c r="D182" s="342"/>
      <c r="E182" s="343"/>
      <c r="F182" s="342"/>
      <c r="G182" s="341"/>
      <c r="H182" s="263"/>
      <c r="I182" s="263"/>
      <c r="J182" s="358"/>
      <c r="K182" s="342">
        <v>40000</v>
      </c>
      <c r="L182" s="360" t="str">
        <f>IF(K182&lt;&gt;"",VLOOKUP(K182,ChartofAccountsTable,2,FALSE),"")</f>
        <v>Sales -Fuel Hauling</v>
      </c>
      <c r="M182" s="361"/>
      <c r="N182" s="361">
        <v>100350</v>
      </c>
      <c r="O182" s="342"/>
      <c r="P182" s="118"/>
    </row>
    <row r="183" spans="1:16" s="117" customFormat="1" ht="15" customHeight="1">
      <c r="A183" s="90"/>
      <c r="B183" s="365">
        <v>46033</v>
      </c>
      <c r="C183" s="341">
        <v>1222</v>
      </c>
      <c r="D183" s="342"/>
      <c r="E183" s="343" t="s">
        <v>312</v>
      </c>
      <c r="F183" s="342"/>
      <c r="G183" s="341" t="s">
        <v>313</v>
      </c>
      <c r="H183" s="263" t="s">
        <v>149</v>
      </c>
      <c r="I183" s="263">
        <v>1</v>
      </c>
      <c r="J183" s="358" t="s">
        <v>150</v>
      </c>
      <c r="K183" s="342">
        <v>21000</v>
      </c>
      <c r="L183" s="360" t="str">
        <f>IF(K183&lt;&gt;"",VLOOKUP(K183,ChartofAccountsTable,2,FALSE),"")</f>
        <v>Unearned Revenue - DHPP</v>
      </c>
      <c r="M183" s="361">
        <v>51700</v>
      </c>
      <c r="N183" s="361"/>
      <c r="O183" s="342"/>
      <c r="P183" s="118"/>
    </row>
    <row r="184" spans="1:16" s="117" customFormat="1" ht="15" customHeight="1">
      <c r="A184" s="90"/>
      <c r="B184" s="364"/>
      <c r="C184" s="341"/>
      <c r="D184" s="342"/>
      <c r="E184" s="343"/>
      <c r="F184" s="342"/>
      <c r="G184" s="341"/>
      <c r="H184" s="263"/>
      <c r="I184" s="263"/>
      <c r="J184" s="358"/>
      <c r="K184" s="342">
        <v>40000</v>
      </c>
      <c r="L184" s="360" t="str">
        <f>IF(K184&lt;&gt;"",VLOOKUP(K184,ChartofAccountsTable,2,FALSE),"")</f>
        <v>Sales -Fuel Hauling</v>
      </c>
      <c r="M184" s="361"/>
      <c r="N184" s="361">
        <v>51700</v>
      </c>
      <c r="O184" s="342"/>
      <c r="P184" s="118"/>
    </row>
    <row r="185" spans="1:16" s="117" customFormat="1" ht="15" customHeight="1">
      <c r="A185" s="90"/>
      <c r="B185" s="365">
        <v>46033</v>
      </c>
      <c r="C185" s="341">
        <v>1224</v>
      </c>
      <c r="D185" s="342"/>
      <c r="E185" s="343" t="s">
        <v>314</v>
      </c>
      <c r="F185" s="342"/>
      <c r="G185" s="341" t="s">
        <v>154</v>
      </c>
      <c r="H185" s="263" t="s">
        <v>159</v>
      </c>
      <c r="I185" s="263">
        <v>0.5</v>
      </c>
      <c r="J185" s="358" t="s">
        <v>150</v>
      </c>
      <c r="K185" s="342">
        <v>21000</v>
      </c>
      <c r="L185" s="360" t="str">
        <f>IF(K185&lt;&gt;"",VLOOKUP(K185,ChartofAccountsTable,2,FALSE),"")</f>
        <v>Unearned Revenue - DHPP</v>
      </c>
      <c r="M185" s="361">
        <v>25600</v>
      </c>
      <c r="N185" s="361"/>
      <c r="O185" s="342"/>
      <c r="P185" s="118"/>
    </row>
    <row r="186" spans="1:16" s="117" customFormat="1" ht="15" customHeight="1">
      <c r="A186" s="90"/>
      <c r="B186" s="364"/>
      <c r="C186" s="341"/>
      <c r="D186" s="342"/>
      <c r="E186" s="343"/>
      <c r="F186" s="342"/>
      <c r="G186" s="341"/>
      <c r="H186" s="263"/>
      <c r="I186" s="263"/>
      <c r="J186" s="358"/>
      <c r="K186" s="342">
        <v>40000</v>
      </c>
      <c r="L186" s="360" t="str">
        <f>IF(K186&lt;&gt;"",VLOOKUP(K186,ChartofAccountsTable,2,FALSE),"")</f>
        <v>Sales -Fuel Hauling</v>
      </c>
      <c r="M186" s="361"/>
      <c r="N186" s="361">
        <v>25600</v>
      </c>
      <c r="O186" s="342"/>
      <c r="P186" s="118"/>
    </row>
    <row r="187" spans="1:16" s="117" customFormat="1" ht="15" customHeight="1">
      <c r="A187" s="90"/>
      <c r="B187" s="365">
        <v>46033</v>
      </c>
      <c r="C187" s="341">
        <v>1225</v>
      </c>
      <c r="D187" s="342"/>
      <c r="E187" s="343" t="s">
        <v>315</v>
      </c>
      <c r="F187" s="342"/>
      <c r="G187" s="341" t="s">
        <v>283</v>
      </c>
      <c r="H187" s="263" t="s">
        <v>149</v>
      </c>
      <c r="I187" s="263">
        <v>1</v>
      </c>
      <c r="J187" s="358" t="s">
        <v>150</v>
      </c>
      <c r="K187" s="342">
        <v>21000</v>
      </c>
      <c r="L187" s="360" t="str">
        <f>IF(K187&lt;&gt;"",VLOOKUP(K187,ChartofAccountsTable,2,FALSE),"")</f>
        <v>Unearned Revenue - DHPP</v>
      </c>
      <c r="M187" s="361">
        <v>51750</v>
      </c>
      <c r="N187" s="361"/>
      <c r="O187" s="342"/>
      <c r="P187" s="118"/>
    </row>
    <row r="188" spans="1:16" s="117" customFormat="1" ht="15" customHeight="1">
      <c r="A188" s="90"/>
      <c r="B188" s="364"/>
      <c r="C188" s="341"/>
      <c r="D188" s="342"/>
      <c r="E188" s="343"/>
      <c r="F188" s="342"/>
      <c r="G188" s="341"/>
      <c r="H188" s="263"/>
      <c r="I188" s="263"/>
      <c r="J188" s="358"/>
      <c r="K188" s="342">
        <v>40000</v>
      </c>
      <c r="L188" s="360" t="str">
        <f>IF(K188&lt;&gt;"",VLOOKUP(K188,ChartofAccountsTable,2,FALSE),"")</f>
        <v>Sales -Fuel Hauling</v>
      </c>
      <c r="M188" s="361"/>
      <c r="N188" s="361">
        <v>51750</v>
      </c>
      <c r="O188" s="342"/>
      <c r="P188" s="118"/>
    </row>
    <row r="189" spans="1:16" s="117" customFormat="1" ht="15" customHeight="1">
      <c r="A189" s="90"/>
      <c r="B189" s="365">
        <v>46034</v>
      </c>
      <c r="C189" s="341">
        <v>1226</v>
      </c>
      <c r="D189" s="342"/>
      <c r="E189" s="343" t="s">
        <v>316</v>
      </c>
      <c r="F189" s="342"/>
      <c r="G189" s="341" t="s">
        <v>289</v>
      </c>
      <c r="H189" s="263" t="s">
        <v>168</v>
      </c>
      <c r="I189" s="263">
        <v>0.5</v>
      </c>
      <c r="J189" s="358" t="s">
        <v>150</v>
      </c>
      <c r="K189" s="342">
        <v>21000</v>
      </c>
      <c r="L189" s="360" t="str">
        <f>IF(K189&lt;&gt;"",VLOOKUP(K189,ChartofAccountsTable,2,FALSE),"")</f>
        <v>Unearned Revenue - DHPP</v>
      </c>
      <c r="M189" s="361">
        <v>25950</v>
      </c>
      <c r="N189" s="361"/>
      <c r="O189" s="342"/>
      <c r="P189" s="118"/>
    </row>
    <row r="190" spans="1:16" s="117" customFormat="1" ht="15" customHeight="1">
      <c r="A190" s="90"/>
      <c r="B190" s="364"/>
      <c r="C190" s="341"/>
      <c r="D190" s="342"/>
      <c r="E190" s="343"/>
      <c r="F190" s="342"/>
      <c r="G190" s="341"/>
      <c r="H190" s="263"/>
      <c r="I190" s="263"/>
      <c r="J190" s="358"/>
      <c r="K190" s="342">
        <v>40000</v>
      </c>
      <c r="L190" s="360" t="str">
        <f>IF(K190&lt;&gt;"",VLOOKUP(K190,ChartofAccountsTable,2,FALSE),"")</f>
        <v>Sales -Fuel Hauling</v>
      </c>
      <c r="M190" s="361"/>
      <c r="N190" s="361">
        <v>25950</v>
      </c>
      <c r="O190" s="342"/>
      <c r="P190" s="118"/>
    </row>
    <row r="191" spans="1:16" s="117" customFormat="1" ht="15" customHeight="1">
      <c r="A191" s="90"/>
      <c r="B191" s="365">
        <v>46034</v>
      </c>
      <c r="C191" s="341">
        <v>1226</v>
      </c>
      <c r="D191" s="342"/>
      <c r="E191" s="343" t="s">
        <v>317</v>
      </c>
      <c r="F191" s="342"/>
      <c r="G191" s="341" t="s">
        <v>289</v>
      </c>
      <c r="H191" s="263" t="s">
        <v>159</v>
      </c>
      <c r="I191" s="263">
        <v>0.5</v>
      </c>
      <c r="J191" s="358" t="s">
        <v>150</v>
      </c>
      <c r="K191" s="342">
        <v>12030</v>
      </c>
      <c r="L191" s="360" t="str">
        <f>IF(K191&lt;&gt;"",VLOOKUP(K191,ChartofAccountsTable,2,FALSE),"")</f>
        <v>A/Receivables - Fuel Clients</v>
      </c>
      <c r="M191" s="361">
        <v>25850</v>
      </c>
      <c r="N191" s="361"/>
      <c r="O191" s="342"/>
      <c r="P191" s="118"/>
    </row>
    <row r="192" spans="1:16" s="117" customFormat="1" ht="15" customHeight="1">
      <c r="A192" s="90"/>
      <c r="B192" s="364"/>
      <c r="C192" s="341"/>
      <c r="D192" s="342"/>
      <c r="E192" s="343"/>
      <c r="F192" s="342"/>
      <c r="G192" s="341"/>
      <c r="H192" s="263"/>
      <c r="I192" s="263"/>
      <c r="J192" s="358"/>
      <c r="K192" s="342">
        <v>40000</v>
      </c>
      <c r="L192" s="360" t="str">
        <f>IF(K192&lt;&gt;"",VLOOKUP(K192,ChartofAccountsTable,2,FALSE),"")</f>
        <v>Sales -Fuel Hauling</v>
      </c>
      <c r="M192" s="361"/>
      <c r="N192" s="361">
        <v>25850</v>
      </c>
      <c r="O192" s="342"/>
      <c r="P192" s="118"/>
    </row>
    <row r="193" spans="1:16" s="117" customFormat="1" ht="15" customHeight="1">
      <c r="A193" s="90"/>
      <c r="B193" s="365">
        <v>46034</v>
      </c>
      <c r="C193" s="341">
        <v>1229</v>
      </c>
      <c r="D193" s="342"/>
      <c r="E193" s="343" t="s">
        <v>318</v>
      </c>
      <c r="F193" s="342"/>
      <c r="G193" s="341" t="s">
        <v>319</v>
      </c>
      <c r="H193" s="263" t="s">
        <v>149</v>
      </c>
      <c r="I193" s="263">
        <v>1</v>
      </c>
      <c r="J193" s="358" t="s">
        <v>150</v>
      </c>
      <c r="K193" s="342">
        <v>21000</v>
      </c>
      <c r="L193" s="360" t="str">
        <f>IF(K193&lt;&gt;"",VLOOKUP(K193,ChartofAccountsTable,2,FALSE),"")</f>
        <v>Unearned Revenue - DHPP</v>
      </c>
      <c r="M193" s="361">
        <v>51900</v>
      </c>
      <c r="N193" s="361"/>
      <c r="O193" s="342"/>
      <c r="P193" s="118"/>
    </row>
    <row r="194" spans="1:16" s="117" customFormat="1" ht="15" customHeight="1">
      <c r="A194" s="90"/>
      <c r="B194" s="364"/>
      <c r="C194" s="341"/>
      <c r="D194" s="342"/>
      <c r="E194" s="343"/>
      <c r="F194" s="342"/>
      <c r="G194" s="341"/>
      <c r="H194" s="263"/>
      <c r="I194" s="263"/>
      <c r="J194" s="358"/>
      <c r="K194" s="342">
        <v>40000</v>
      </c>
      <c r="L194" s="360" t="str">
        <f>IF(K194&lt;&gt;"",VLOOKUP(K194,ChartofAccountsTable,2,FALSE),"")</f>
        <v>Sales -Fuel Hauling</v>
      </c>
      <c r="M194" s="361"/>
      <c r="N194" s="361">
        <v>51900</v>
      </c>
      <c r="O194" s="342"/>
      <c r="P194" s="118"/>
    </row>
    <row r="195" spans="1:16" s="117" customFormat="1" ht="15" customHeight="1">
      <c r="A195" s="90"/>
      <c r="B195" s="365">
        <v>46034</v>
      </c>
      <c r="C195" s="341">
        <v>1227</v>
      </c>
      <c r="D195" s="342"/>
      <c r="E195" s="343" t="s">
        <v>320</v>
      </c>
      <c r="F195" s="342"/>
      <c r="G195" s="341" t="s">
        <v>158</v>
      </c>
      <c r="H195" s="263" t="s">
        <v>230</v>
      </c>
      <c r="I195" s="263">
        <v>1</v>
      </c>
      <c r="J195" s="358" t="s">
        <v>150</v>
      </c>
      <c r="K195" s="342">
        <v>21000</v>
      </c>
      <c r="L195" s="360" t="str">
        <f>IF(K195&lt;&gt;"",VLOOKUP(K195,ChartofAccountsTable,2,FALSE),"")</f>
        <v>Unearned Revenue - DHPP</v>
      </c>
      <c r="M195" s="361">
        <v>48200</v>
      </c>
      <c r="N195" s="361"/>
      <c r="O195" s="342"/>
      <c r="P195" s="118"/>
    </row>
    <row r="196" spans="1:16" s="117" customFormat="1" ht="15" customHeight="1">
      <c r="A196" s="90"/>
      <c r="B196" s="364"/>
      <c r="C196" s="341"/>
      <c r="D196" s="342"/>
      <c r="E196" s="343"/>
      <c r="F196" s="342"/>
      <c r="G196" s="341"/>
      <c r="H196" s="263"/>
      <c r="I196" s="263"/>
      <c r="J196" s="358"/>
      <c r="K196" s="342">
        <v>40000</v>
      </c>
      <c r="L196" s="360" t="str">
        <f>IF(K196&lt;&gt;"",VLOOKUP(K196,ChartofAccountsTable,2,FALSE),"")</f>
        <v>Sales -Fuel Hauling</v>
      </c>
      <c r="M196" s="361"/>
      <c r="N196" s="361">
        <v>48200</v>
      </c>
      <c r="O196" s="342"/>
      <c r="P196" s="118"/>
    </row>
    <row r="197" spans="1:16" s="117" customFormat="1" ht="15" customHeight="1">
      <c r="A197" s="90"/>
      <c r="B197" s="365">
        <v>46034</v>
      </c>
      <c r="C197" s="341">
        <v>1228</v>
      </c>
      <c r="D197" s="342"/>
      <c r="E197" s="343" t="s">
        <v>321</v>
      </c>
      <c r="F197" s="342"/>
      <c r="G197" s="341" t="s">
        <v>322</v>
      </c>
      <c r="H197" s="263" t="s">
        <v>185</v>
      </c>
      <c r="I197" s="263">
        <v>1.5</v>
      </c>
      <c r="J197" s="358" t="s">
        <v>150</v>
      </c>
      <c r="K197" s="342">
        <v>21000</v>
      </c>
      <c r="L197" s="360" t="str">
        <f>IF(K197&lt;&gt;"",VLOOKUP(K197,ChartofAccountsTable,2,FALSE),"")</f>
        <v>Unearned Revenue - DHPP</v>
      </c>
      <c r="M197" s="361">
        <v>76825</v>
      </c>
      <c r="N197" s="361"/>
      <c r="O197" s="342"/>
      <c r="P197" s="118"/>
    </row>
    <row r="198" spans="1:16" s="117" customFormat="1" ht="15" customHeight="1">
      <c r="A198" s="90"/>
      <c r="B198" s="364"/>
      <c r="C198" s="341"/>
      <c r="D198" s="342"/>
      <c r="E198" s="343"/>
      <c r="F198" s="342"/>
      <c r="G198" s="341"/>
      <c r="H198" s="263"/>
      <c r="I198" s="263"/>
      <c r="J198" s="358"/>
      <c r="K198" s="342">
        <v>40000</v>
      </c>
      <c r="L198" s="360" t="str">
        <f>IF(K198&lt;&gt;"",VLOOKUP(K198,ChartofAccountsTable,2,FALSE),"")</f>
        <v>Sales -Fuel Hauling</v>
      </c>
      <c r="M198" s="361"/>
      <c r="N198" s="361">
        <v>76825</v>
      </c>
      <c r="O198" s="342"/>
      <c r="P198" s="118"/>
    </row>
    <row r="199" spans="1:16" s="117" customFormat="1" ht="15" customHeight="1">
      <c r="A199" s="90"/>
      <c r="B199" s="365">
        <v>46034</v>
      </c>
      <c r="C199" s="341">
        <v>1231</v>
      </c>
      <c r="D199" s="342"/>
      <c r="E199" s="343" t="s">
        <v>323</v>
      </c>
      <c r="F199" s="342"/>
      <c r="G199" s="341" t="s">
        <v>158</v>
      </c>
      <c r="H199" s="263" t="s">
        <v>212</v>
      </c>
      <c r="I199" s="263">
        <v>2</v>
      </c>
      <c r="J199" s="358" t="s">
        <v>150</v>
      </c>
      <c r="K199" s="342">
        <v>12030</v>
      </c>
      <c r="L199" s="360" t="str">
        <f>IF(K199&lt;&gt;"",VLOOKUP(K199,ChartofAccountsTable,2,FALSE),"")</f>
        <v>A/Receivables - Fuel Clients</v>
      </c>
      <c r="M199" s="361">
        <v>96400</v>
      </c>
      <c r="N199" s="361"/>
      <c r="O199" s="342"/>
      <c r="P199" s="118"/>
    </row>
    <row r="200" spans="1:16" s="117" customFormat="1" ht="15" customHeight="1">
      <c r="A200" s="90"/>
      <c r="B200" s="364"/>
      <c r="C200" s="341"/>
      <c r="D200" s="342"/>
      <c r="E200" s="343"/>
      <c r="F200" s="342"/>
      <c r="G200" s="341"/>
      <c r="H200" s="263"/>
      <c r="I200" s="263"/>
      <c r="J200" s="358"/>
      <c r="K200" s="342">
        <v>40000</v>
      </c>
      <c r="L200" s="360" t="str">
        <f>IF(K200&lt;&gt;"",VLOOKUP(K200,ChartofAccountsTable,2,FALSE),"")</f>
        <v>Sales -Fuel Hauling</v>
      </c>
      <c r="M200" s="361"/>
      <c r="N200" s="361">
        <v>96400</v>
      </c>
      <c r="O200" s="342"/>
      <c r="P200" s="118"/>
    </row>
    <row r="201" spans="1:16" s="117" customFormat="1" ht="15" customHeight="1">
      <c r="A201" s="90"/>
      <c r="B201" s="365">
        <v>46035</v>
      </c>
      <c r="C201" s="341">
        <v>1232</v>
      </c>
      <c r="D201" s="342"/>
      <c r="E201" s="343" t="s">
        <v>324</v>
      </c>
      <c r="F201" s="342"/>
      <c r="G201" s="341" t="s">
        <v>184</v>
      </c>
      <c r="H201" s="263" t="s">
        <v>182</v>
      </c>
      <c r="I201" s="263">
        <v>2</v>
      </c>
      <c r="J201" s="358" t="s">
        <v>150</v>
      </c>
      <c r="K201" s="342">
        <v>21000</v>
      </c>
      <c r="L201" s="360" t="str">
        <f>IF(K201&lt;&gt;"",VLOOKUP(K201,ChartofAccountsTable,2,FALSE),"")</f>
        <v>Unearned Revenue - DHPP</v>
      </c>
      <c r="M201" s="361">
        <v>102350</v>
      </c>
      <c r="N201" s="361"/>
      <c r="O201" s="342"/>
      <c r="P201" s="118"/>
    </row>
    <row r="202" spans="1:16" s="117" customFormat="1" ht="15" customHeight="1">
      <c r="A202" s="90"/>
      <c r="B202" s="364"/>
      <c r="C202" s="341"/>
      <c r="D202" s="342"/>
      <c r="E202" s="343"/>
      <c r="F202" s="342"/>
      <c r="G202" s="341"/>
      <c r="H202" s="263"/>
      <c r="I202" s="263"/>
      <c r="J202" s="358"/>
      <c r="K202" s="342">
        <v>12030</v>
      </c>
      <c r="L202" s="360" t="str">
        <f>IF(K202&lt;&gt;"",VLOOKUP(K202,ChartofAccountsTable,2,FALSE),"")</f>
        <v>A/Receivables - Fuel Clients</v>
      </c>
      <c r="M202" s="361">
        <v>1250</v>
      </c>
      <c r="N202" s="361"/>
      <c r="O202" s="342"/>
      <c r="P202" s="118"/>
    </row>
    <row r="203" spans="1:16" s="117" customFormat="1" ht="15" customHeight="1">
      <c r="A203" s="90"/>
      <c r="B203" s="364"/>
      <c r="C203" s="341"/>
      <c r="D203" s="342"/>
      <c r="E203" s="343"/>
      <c r="F203" s="342"/>
      <c r="G203" s="341"/>
      <c r="H203" s="263"/>
      <c r="I203" s="263"/>
      <c r="J203" s="358"/>
      <c r="K203" s="342">
        <v>40000</v>
      </c>
      <c r="L203" s="360" t="str">
        <f>IF(K203&lt;&gt;"",VLOOKUP(K203,ChartofAccountsTable,2,FALSE),"")</f>
        <v>Sales -Fuel Hauling</v>
      </c>
      <c r="M203" s="361"/>
      <c r="N203" s="361">
        <v>103600</v>
      </c>
      <c r="O203" s="342"/>
      <c r="P203" s="118"/>
    </row>
    <row r="204" spans="1:16" s="117" customFormat="1" ht="15" customHeight="1">
      <c r="A204" s="90"/>
      <c r="B204" s="365">
        <v>46035</v>
      </c>
      <c r="C204" s="341">
        <v>1233</v>
      </c>
      <c r="D204" s="342"/>
      <c r="E204" s="343" t="s">
        <v>325</v>
      </c>
      <c r="F204" s="342"/>
      <c r="G204" s="341" t="s">
        <v>229</v>
      </c>
      <c r="H204" s="263" t="s">
        <v>149</v>
      </c>
      <c r="I204" s="263">
        <v>1</v>
      </c>
      <c r="J204" s="358" t="s">
        <v>150</v>
      </c>
      <c r="K204" s="342">
        <v>21000</v>
      </c>
      <c r="L204" s="360" t="str">
        <f>IF(K204&lt;&gt;"",VLOOKUP(K204,ChartofAccountsTable,2,FALSE),"")</f>
        <v>Unearned Revenue - DHPP</v>
      </c>
      <c r="M204" s="361">
        <v>51800</v>
      </c>
      <c r="N204" s="361"/>
      <c r="O204" s="342"/>
      <c r="P204" s="118"/>
    </row>
    <row r="205" spans="1:16" s="117" customFormat="1" ht="15" customHeight="1">
      <c r="A205" s="90"/>
      <c r="B205" s="364"/>
      <c r="C205" s="341"/>
      <c r="D205" s="342"/>
      <c r="E205" s="343"/>
      <c r="F205" s="342"/>
      <c r="G205" s="341"/>
      <c r="H205" s="263"/>
      <c r="I205" s="263"/>
      <c r="J205" s="358"/>
      <c r="K205" s="342">
        <v>40000</v>
      </c>
      <c r="L205" s="360" t="str">
        <f>IF(K205&lt;&gt;"",VLOOKUP(K205,ChartofAccountsTable,2,FALSE),"")</f>
        <v>Sales -Fuel Hauling</v>
      </c>
      <c r="M205" s="361"/>
      <c r="N205" s="361">
        <v>51800</v>
      </c>
      <c r="O205" s="342"/>
      <c r="P205" s="118"/>
    </row>
    <row r="206" spans="1:16" s="117" customFormat="1" ht="15" customHeight="1">
      <c r="A206" s="90"/>
      <c r="B206" s="365">
        <v>46034</v>
      </c>
      <c r="C206" s="341">
        <v>1230</v>
      </c>
      <c r="D206" s="342"/>
      <c r="E206" s="343" t="s">
        <v>326</v>
      </c>
      <c r="F206" s="342"/>
      <c r="G206" s="341" t="s">
        <v>327</v>
      </c>
      <c r="H206" s="263" t="s">
        <v>149</v>
      </c>
      <c r="I206" s="263">
        <v>1</v>
      </c>
      <c r="J206" s="358" t="s">
        <v>150</v>
      </c>
      <c r="K206" s="342">
        <v>21000</v>
      </c>
      <c r="L206" s="360" t="str">
        <f>IF(K206&lt;&gt;"",VLOOKUP(K206,ChartofAccountsTable,2,FALSE),"")</f>
        <v>Unearned Revenue - DHPP</v>
      </c>
      <c r="M206" s="361">
        <v>51250</v>
      </c>
      <c r="N206" s="361"/>
      <c r="O206" s="342"/>
      <c r="P206" s="118"/>
    </row>
    <row r="207" spans="1:16" s="117" customFormat="1" ht="15" customHeight="1">
      <c r="A207" s="90"/>
      <c r="B207" s="364"/>
      <c r="C207" s="341"/>
      <c r="D207" s="342"/>
      <c r="E207" s="343"/>
      <c r="F207" s="342"/>
      <c r="G207" s="341"/>
      <c r="H207" s="263"/>
      <c r="I207" s="263"/>
      <c r="J207" s="358"/>
      <c r="K207" s="342">
        <v>21000</v>
      </c>
      <c r="L207" s="360" t="str">
        <f>IF(K207&lt;&gt;"",VLOOKUP(K207,ChartofAccountsTable,2,FALSE),"")</f>
        <v>Unearned Revenue - DHPP</v>
      </c>
      <c r="M207" s="361">
        <v>100</v>
      </c>
      <c r="N207" s="361"/>
      <c r="O207" s="342" t="s">
        <v>328</v>
      </c>
      <c r="P207" s="118"/>
    </row>
    <row r="208" spans="1:16" s="117" customFormat="1" ht="15" customHeight="1">
      <c r="A208" s="90"/>
      <c r="B208" s="364"/>
      <c r="C208" s="341"/>
      <c r="D208" s="342"/>
      <c r="E208" s="343"/>
      <c r="F208" s="342"/>
      <c r="G208" s="341"/>
      <c r="H208" s="263"/>
      <c r="I208" s="263"/>
      <c r="J208" s="358"/>
      <c r="K208" s="342">
        <v>40000</v>
      </c>
      <c r="L208" s="360" t="str">
        <f>IF(K208&lt;&gt;"",VLOOKUP(K208,ChartofAccountsTable,2,FALSE),"")</f>
        <v>Sales -Fuel Hauling</v>
      </c>
      <c r="M208" s="361"/>
      <c r="N208" s="361">
        <v>51350</v>
      </c>
      <c r="O208" s="342"/>
      <c r="P208" s="118"/>
    </row>
    <row r="209" spans="1:16" s="117" customFormat="1" ht="15" customHeight="1">
      <c r="A209" s="90"/>
      <c r="B209" s="365">
        <v>46029</v>
      </c>
      <c r="C209" s="341">
        <v>902</v>
      </c>
      <c r="D209" s="342"/>
      <c r="E209" s="343" t="s">
        <v>329</v>
      </c>
      <c r="F209" s="342"/>
      <c r="G209" s="341" t="s">
        <v>327</v>
      </c>
      <c r="H209" s="263" t="s">
        <v>149</v>
      </c>
      <c r="I209" s="263">
        <v>1</v>
      </c>
      <c r="J209" s="358" t="s">
        <v>174</v>
      </c>
      <c r="K209" s="342">
        <v>21000</v>
      </c>
      <c r="L209" s="360" t="str">
        <f>IF(K209&lt;&gt;"",VLOOKUP(K209,ChartofAccountsTable,2,FALSE),"")</f>
        <v>Unearned Revenue - DHPP</v>
      </c>
      <c r="M209" s="361">
        <v>51350</v>
      </c>
      <c r="N209" s="361"/>
      <c r="O209" s="342"/>
      <c r="P209" s="118"/>
    </row>
    <row r="210" spans="1:16" s="117" customFormat="1" ht="15" customHeight="1">
      <c r="A210" s="90"/>
      <c r="B210" s="364"/>
      <c r="C210" s="341"/>
      <c r="D210" s="342"/>
      <c r="E210" s="343"/>
      <c r="F210" s="342"/>
      <c r="G210" s="341"/>
      <c r="H210" s="263"/>
      <c r="I210" s="263"/>
      <c r="J210" s="358"/>
      <c r="K210" s="342">
        <v>40000</v>
      </c>
      <c r="L210" s="360" t="str">
        <f>IF(K210&lt;&gt;"",VLOOKUP(K210,ChartofAccountsTable,2,FALSE),"")</f>
        <v>Sales -Fuel Hauling</v>
      </c>
      <c r="M210" s="361"/>
      <c r="N210" s="361">
        <v>51350</v>
      </c>
      <c r="O210" s="342"/>
      <c r="P210" s="118"/>
    </row>
    <row r="211" spans="1:16" s="117" customFormat="1" ht="15" customHeight="1">
      <c r="A211" s="90"/>
      <c r="B211" s="365">
        <v>46029</v>
      </c>
      <c r="C211" s="341">
        <v>903</v>
      </c>
      <c r="D211" s="342"/>
      <c r="E211" s="343" t="s">
        <v>330</v>
      </c>
      <c r="F211" s="342"/>
      <c r="G211" s="341" t="s">
        <v>164</v>
      </c>
      <c r="H211" s="263" t="s">
        <v>149</v>
      </c>
      <c r="I211" s="263">
        <v>1</v>
      </c>
      <c r="J211" s="358" t="s">
        <v>174</v>
      </c>
      <c r="K211" s="342">
        <v>12030</v>
      </c>
      <c r="L211" s="360" t="str">
        <f>IF(K211&lt;&gt;"",VLOOKUP(K211,ChartofAccountsTable,2,FALSE),"")</f>
        <v>A/Receivables - Fuel Clients</v>
      </c>
      <c r="M211" s="361">
        <v>51850</v>
      </c>
      <c r="N211" s="361"/>
      <c r="O211" s="342"/>
      <c r="P211" s="118"/>
    </row>
    <row r="212" spans="1:16" s="117" customFormat="1" ht="15" customHeight="1">
      <c r="A212" s="90"/>
      <c r="B212" s="364"/>
      <c r="C212" s="341"/>
      <c r="D212" s="342"/>
      <c r="E212" s="343"/>
      <c r="F212" s="342"/>
      <c r="G212" s="341"/>
      <c r="H212" s="263"/>
      <c r="I212" s="263"/>
      <c r="J212" s="358"/>
      <c r="K212" s="342">
        <v>40000</v>
      </c>
      <c r="L212" s="360" t="str">
        <f>IF(K212&lt;&gt;"",VLOOKUP(K212,ChartofAccountsTable,2,FALSE),"")</f>
        <v>Sales -Fuel Hauling</v>
      </c>
      <c r="M212" s="361"/>
      <c r="N212" s="361">
        <v>51850</v>
      </c>
      <c r="O212" s="342"/>
      <c r="P212" s="118"/>
    </row>
    <row r="213" spans="1:16" s="117" customFormat="1" ht="15" customHeight="1">
      <c r="A213" s="90"/>
      <c r="B213" s="365">
        <v>46029</v>
      </c>
      <c r="C213" s="341">
        <v>994</v>
      </c>
      <c r="D213" s="342"/>
      <c r="E213" s="343" t="s">
        <v>331</v>
      </c>
      <c r="F213" s="342"/>
      <c r="G213" s="341" t="s">
        <v>252</v>
      </c>
      <c r="H213" s="263" t="s">
        <v>245</v>
      </c>
      <c r="I213" s="263">
        <v>3</v>
      </c>
      <c r="J213" s="358" t="s">
        <v>174</v>
      </c>
      <c r="K213" s="342">
        <v>21000</v>
      </c>
      <c r="L213" s="360" t="str">
        <f>IF(K213&lt;&gt;"",VLOOKUP(K213,ChartofAccountsTable,2,FALSE),"")</f>
        <v>Unearned Revenue - DHPP</v>
      </c>
      <c r="M213" s="361">
        <v>149450</v>
      </c>
      <c r="N213" s="361"/>
      <c r="O213" s="342"/>
      <c r="P213" s="118"/>
    </row>
    <row r="214" spans="1:16" s="117" customFormat="1" ht="15.75" customHeight="1">
      <c r="A214" s="90"/>
      <c r="B214" s="364"/>
      <c r="C214" s="341"/>
      <c r="D214" s="342"/>
      <c r="E214" s="343"/>
      <c r="F214" s="342"/>
      <c r="G214" s="341"/>
      <c r="H214" s="263"/>
      <c r="I214" s="263"/>
      <c r="J214" s="358"/>
      <c r="K214" s="342">
        <v>40000</v>
      </c>
      <c r="L214" s="360" t="str">
        <f>IF(K214&lt;&gt;"",VLOOKUP(K214,ChartofAccountsTable,2,FALSE),"")</f>
        <v>Sales -Fuel Hauling</v>
      </c>
      <c r="M214" s="361"/>
      <c r="N214" s="361">
        <v>149450</v>
      </c>
      <c r="O214" s="342"/>
      <c r="P214" s="118"/>
    </row>
    <row r="215" spans="1:16" s="117" customFormat="1" ht="15" customHeight="1">
      <c r="A215" s="90"/>
      <c r="B215" s="365">
        <v>46030</v>
      </c>
      <c r="C215" s="341">
        <v>997</v>
      </c>
      <c r="D215" s="342"/>
      <c r="E215" s="343" t="s">
        <v>332</v>
      </c>
      <c r="F215" s="342"/>
      <c r="G215" s="341" t="s">
        <v>236</v>
      </c>
      <c r="H215" s="263" t="s">
        <v>149</v>
      </c>
      <c r="I215" s="263">
        <v>1</v>
      </c>
      <c r="J215" s="358" t="s">
        <v>174</v>
      </c>
      <c r="K215" s="342">
        <v>21000</v>
      </c>
      <c r="L215" s="360" t="str">
        <f>IF(K215&lt;&gt;"",VLOOKUP(K215,ChartofAccountsTable,2,FALSE),"")</f>
        <v>Unearned Revenue - DHPP</v>
      </c>
      <c r="M215" s="361">
        <v>51600</v>
      </c>
      <c r="N215" s="361"/>
      <c r="O215" s="342"/>
      <c r="P215" s="118"/>
    </row>
    <row r="216" spans="1:16" s="117" customFormat="1" ht="15" customHeight="1">
      <c r="A216" s="90"/>
      <c r="B216" s="364"/>
      <c r="C216" s="341"/>
      <c r="D216" s="342"/>
      <c r="E216" s="343"/>
      <c r="F216" s="342"/>
      <c r="G216" s="341"/>
      <c r="H216" s="263"/>
      <c r="I216" s="263"/>
      <c r="J216" s="358"/>
      <c r="K216" s="342">
        <v>40000</v>
      </c>
      <c r="L216" s="360" t="str">
        <f>IF(K216&lt;&gt;"",VLOOKUP(K216,ChartofAccountsTable,2,FALSE),"")</f>
        <v>Sales -Fuel Hauling</v>
      </c>
      <c r="M216" s="361"/>
      <c r="N216" s="361">
        <v>51600</v>
      </c>
      <c r="O216" s="342"/>
      <c r="P216" s="118"/>
    </row>
    <row r="217" spans="1:16" s="117" customFormat="1" ht="15" customHeight="1">
      <c r="A217" s="90"/>
      <c r="B217" s="365">
        <v>46029</v>
      </c>
      <c r="C217" s="341">
        <v>995</v>
      </c>
      <c r="D217" s="342"/>
      <c r="E217" s="343" t="s">
        <v>333</v>
      </c>
      <c r="F217" s="342"/>
      <c r="G217" s="341" t="s">
        <v>334</v>
      </c>
      <c r="H217" s="263" t="s">
        <v>149</v>
      </c>
      <c r="I217" s="263">
        <v>1</v>
      </c>
      <c r="J217" s="358" t="s">
        <v>174</v>
      </c>
      <c r="K217" s="342">
        <v>21000</v>
      </c>
      <c r="L217" s="360" t="str">
        <f>IF(K217&lt;&gt;"",VLOOKUP(K217,ChartofAccountsTable,2,FALSE),"")</f>
        <v>Unearned Revenue - DHPP</v>
      </c>
      <c r="M217" s="361">
        <v>51450</v>
      </c>
      <c r="N217" s="361"/>
      <c r="O217" s="342"/>
      <c r="P217" s="118"/>
    </row>
    <row r="218" spans="1:16" s="117" customFormat="1" ht="15" customHeight="1">
      <c r="A218" s="90"/>
      <c r="B218" s="364"/>
      <c r="C218" s="341"/>
      <c r="D218" s="342"/>
      <c r="E218" s="343"/>
      <c r="F218" s="342"/>
      <c r="G218" s="341"/>
      <c r="H218" s="263"/>
      <c r="I218" s="263"/>
      <c r="J218" s="358"/>
      <c r="K218" s="342">
        <v>40000</v>
      </c>
      <c r="L218" s="360" t="str">
        <f>IF(K218&lt;&gt;"",VLOOKUP(K218,ChartofAccountsTable,2,FALSE),"")</f>
        <v>Sales -Fuel Hauling</v>
      </c>
      <c r="M218" s="361"/>
      <c r="N218" s="361">
        <v>51450</v>
      </c>
      <c r="O218" s="342"/>
      <c r="P218" s="118"/>
    </row>
    <row r="219" spans="1:16" s="117" customFormat="1" ht="15" customHeight="1">
      <c r="A219" s="90"/>
      <c r="B219" s="365">
        <v>46030</v>
      </c>
      <c r="C219" s="341">
        <v>996</v>
      </c>
      <c r="D219" s="342"/>
      <c r="E219" s="343" t="s">
        <v>335</v>
      </c>
      <c r="F219" s="342"/>
      <c r="G219" s="341" t="s">
        <v>336</v>
      </c>
      <c r="H219" s="263" t="s">
        <v>149</v>
      </c>
      <c r="I219" s="263">
        <v>1</v>
      </c>
      <c r="J219" s="358" t="s">
        <v>174</v>
      </c>
      <c r="K219" s="342">
        <v>21000</v>
      </c>
      <c r="L219" s="360" t="str">
        <f>IF(K219&lt;&gt;"",VLOOKUP(K219,ChartofAccountsTable,2,FALSE),"")</f>
        <v>Unearned Revenue - DHPP</v>
      </c>
      <c r="M219" s="361">
        <v>52050</v>
      </c>
      <c r="N219" s="361"/>
      <c r="O219" s="342"/>
      <c r="P219" s="118"/>
    </row>
    <row r="220" spans="1:16" s="117" customFormat="1" ht="15" customHeight="1">
      <c r="A220" s="90"/>
      <c r="B220" s="364"/>
      <c r="C220" s="341"/>
      <c r="D220" s="342"/>
      <c r="E220" s="343"/>
      <c r="F220" s="342"/>
      <c r="G220" s="341"/>
      <c r="H220" s="263"/>
      <c r="I220" s="263"/>
      <c r="J220" s="358"/>
      <c r="K220" s="342">
        <v>40000</v>
      </c>
      <c r="L220" s="360" t="str">
        <f>IF(K220&lt;&gt;"",VLOOKUP(K220,ChartofAccountsTable,2,FALSE),"")</f>
        <v>Sales -Fuel Hauling</v>
      </c>
      <c r="M220" s="361"/>
      <c r="N220" s="361">
        <v>52050</v>
      </c>
      <c r="O220" s="342"/>
      <c r="P220" s="118"/>
    </row>
    <row r="221" spans="1:16" s="117" customFormat="1" ht="15" customHeight="1">
      <c r="A221" s="90"/>
      <c r="B221" s="365">
        <v>46030</v>
      </c>
      <c r="C221" s="341">
        <v>999</v>
      </c>
      <c r="D221" s="342"/>
      <c r="E221" s="343" t="s">
        <v>337</v>
      </c>
      <c r="F221" s="342"/>
      <c r="G221" s="341" t="s">
        <v>338</v>
      </c>
      <c r="H221" s="263" t="s">
        <v>149</v>
      </c>
      <c r="I221" s="263">
        <v>1</v>
      </c>
      <c r="J221" s="358" t="s">
        <v>174</v>
      </c>
      <c r="K221" s="357">
        <v>21000</v>
      </c>
      <c r="L221" s="360" t="str">
        <f>IF(K221&lt;&gt;"",VLOOKUP(K221,ChartofAccountsTable,2,FALSE),"")</f>
        <v>Unearned Revenue - DHPP</v>
      </c>
      <c r="M221" s="380">
        <v>35800</v>
      </c>
      <c r="N221" s="381"/>
      <c r="O221" s="344" t="s">
        <v>339</v>
      </c>
      <c r="P221" s="118"/>
    </row>
    <row r="222" spans="1:16" s="117" customFormat="1" ht="15" customHeight="1">
      <c r="A222" s="90"/>
      <c r="B222" s="364"/>
      <c r="C222" s="341"/>
      <c r="D222" s="342"/>
      <c r="E222" s="343"/>
      <c r="F222" s="342"/>
      <c r="G222" s="341"/>
      <c r="H222" s="263"/>
      <c r="I222" s="263"/>
      <c r="J222" s="358"/>
      <c r="K222" s="357">
        <v>12030</v>
      </c>
      <c r="L222" s="360" t="str">
        <f>IF(K222&lt;&gt;"",VLOOKUP(K222,ChartofAccountsTable,2,FALSE),"")</f>
        <v>A/Receivables - Fuel Clients</v>
      </c>
      <c r="M222" s="380">
        <v>16450</v>
      </c>
      <c r="N222" s="381"/>
      <c r="O222" s="342"/>
      <c r="P222" s="118"/>
    </row>
    <row r="223" spans="1:16" s="117" customFormat="1" ht="15" customHeight="1">
      <c r="A223" s="90"/>
      <c r="B223" s="364"/>
      <c r="C223" s="341"/>
      <c r="D223" s="342"/>
      <c r="E223" s="343"/>
      <c r="F223" s="342"/>
      <c r="G223" s="341"/>
      <c r="H223" s="263"/>
      <c r="I223" s="263"/>
      <c r="J223" s="358"/>
      <c r="K223" s="357">
        <v>40000</v>
      </c>
      <c r="L223" s="360" t="str">
        <f>IF(K223&lt;&gt;"",VLOOKUP(K223,ChartofAccountsTable,2,FALSE),"")</f>
        <v>Sales -Fuel Hauling</v>
      </c>
      <c r="M223" s="381"/>
      <c r="N223" s="381">
        <v>52250</v>
      </c>
      <c r="O223" s="342"/>
      <c r="P223" s="118"/>
    </row>
    <row r="224" spans="1:16" s="117" customFormat="1" ht="15" customHeight="1">
      <c r="A224" s="90"/>
      <c r="B224" s="365">
        <v>46030</v>
      </c>
      <c r="C224" s="341">
        <v>998</v>
      </c>
      <c r="D224" s="342"/>
      <c r="E224" s="343" t="s">
        <v>340</v>
      </c>
      <c r="F224" s="342"/>
      <c r="G224" s="341" t="s">
        <v>341</v>
      </c>
      <c r="H224" s="263" t="s">
        <v>149</v>
      </c>
      <c r="I224" s="263">
        <v>1</v>
      </c>
      <c r="J224" s="358" t="s">
        <v>174</v>
      </c>
      <c r="K224" s="342">
        <v>21000</v>
      </c>
      <c r="L224" s="360" t="str">
        <f>IF(K224&lt;&gt;"",VLOOKUP(K224,ChartofAccountsTable,2,FALSE),"")</f>
        <v>Unearned Revenue - DHPP</v>
      </c>
      <c r="M224" s="361">
        <v>52400</v>
      </c>
      <c r="N224" s="361"/>
      <c r="O224" s="342"/>
      <c r="P224" s="118"/>
    </row>
    <row r="225" spans="1:16" s="117" customFormat="1" ht="15" customHeight="1">
      <c r="A225" s="90"/>
      <c r="B225" s="364"/>
      <c r="C225" s="341"/>
      <c r="D225" s="342"/>
      <c r="E225" s="343"/>
      <c r="F225" s="342"/>
      <c r="G225" s="341"/>
      <c r="H225" s="263"/>
      <c r="I225" s="263"/>
      <c r="J225" s="358"/>
      <c r="K225" s="342">
        <v>40000</v>
      </c>
      <c r="L225" s="360" t="str">
        <f>IF(K225&lt;&gt;"",VLOOKUP(K225,ChartofAccountsTable,2,FALSE),"")</f>
        <v>Sales -Fuel Hauling</v>
      </c>
      <c r="M225" s="361"/>
      <c r="N225" s="361">
        <v>52400</v>
      </c>
      <c r="O225" s="342"/>
      <c r="P225" s="118"/>
    </row>
    <row r="226" spans="1:16" s="117" customFormat="1" ht="15" customHeight="1">
      <c r="A226" s="90"/>
      <c r="B226" s="365">
        <v>46032</v>
      </c>
      <c r="C226" s="341">
        <v>1030</v>
      </c>
      <c r="D226" s="342"/>
      <c r="E226" s="343" t="s">
        <v>342</v>
      </c>
      <c r="F226" s="342"/>
      <c r="G226" s="341" t="s">
        <v>218</v>
      </c>
      <c r="H226" s="263" t="s">
        <v>149</v>
      </c>
      <c r="I226" s="350">
        <v>1</v>
      </c>
      <c r="J226" s="358" t="s">
        <v>174</v>
      </c>
      <c r="K226" s="342">
        <v>21000</v>
      </c>
      <c r="L226" s="360" t="str">
        <f>IF(K226&lt;&gt;"",VLOOKUP(K226,ChartofAccountsTable,2,FALSE),"")</f>
        <v>Unearned Revenue - DHPP</v>
      </c>
      <c r="M226" s="361">
        <v>51750</v>
      </c>
      <c r="N226" s="361"/>
      <c r="O226" s="344" t="s">
        <v>343</v>
      </c>
      <c r="P226" s="118"/>
    </row>
    <row r="227" spans="1:16" s="117" customFormat="1" ht="15" customHeight="1">
      <c r="A227" s="90"/>
      <c r="B227" s="364"/>
      <c r="C227" s="341"/>
      <c r="D227" s="342"/>
      <c r="E227" s="343"/>
      <c r="F227" s="342"/>
      <c r="G227" s="341"/>
      <c r="H227" s="263"/>
      <c r="I227" s="350"/>
      <c r="J227" s="358"/>
      <c r="K227" s="342">
        <v>40000</v>
      </c>
      <c r="L227" s="360" t="str">
        <f>IF(K227&lt;&gt;"",VLOOKUP(K227,ChartofAccountsTable,2,FALSE),"")</f>
        <v>Sales -Fuel Hauling</v>
      </c>
      <c r="M227" s="361"/>
      <c r="N227" s="361">
        <v>51750</v>
      </c>
      <c r="O227" s="344" t="s">
        <v>344</v>
      </c>
      <c r="P227" s="118"/>
    </row>
    <row r="228" spans="1:16" s="117" customFormat="1" ht="15" customHeight="1">
      <c r="A228" s="90"/>
      <c r="B228" s="365">
        <v>46032</v>
      </c>
      <c r="C228" s="341">
        <v>1024</v>
      </c>
      <c r="D228" s="342"/>
      <c r="E228" s="343" t="s">
        <v>345</v>
      </c>
      <c r="F228" s="342"/>
      <c r="G228" s="341" t="s">
        <v>227</v>
      </c>
      <c r="H228" s="263" t="s">
        <v>149</v>
      </c>
      <c r="I228" s="350">
        <v>1</v>
      </c>
      <c r="J228" s="358" t="s">
        <v>174</v>
      </c>
      <c r="K228" s="342">
        <v>21000</v>
      </c>
      <c r="L228" s="360" t="str">
        <f>IF(K228&lt;&gt;"",VLOOKUP(K228,ChartofAccountsTable,2,FALSE),"")</f>
        <v>Unearned Revenue - DHPP</v>
      </c>
      <c r="M228" s="361">
        <v>51050</v>
      </c>
      <c r="N228" s="361"/>
      <c r="O228" s="342"/>
      <c r="P228" s="118"/>
    </row>
    <row r="229" spans="1:16" s="117" customFormat="1" ht="15" customHeight="1">
      <c r="A229" s="90"/>
      <c r="B229" s="364"/>
      <c r="C229" s="341"/>
      <c r="D229" s="342"/>
      <c r="E229" s="343"/>
      <c r="F229" s="342"/>
      <c r="G229" s="341"/>
      <c r="H229" s="263"/>
      <c r="I229" s="350"/>
      <c r="J229" s="358"/>
      <c r="K229" s="342">
        <v>40000</v>
      </c>
      <c r="L229" s="360" t="str">
        <f>IF(K229&lt;&gt;"",VLOOKUP(K229,ChartofAccountsTable,2,FALSE),"")</f>
        <v>Sales -Fuel Hauling</v>
      </c>
      <c r="M229" s="361"/>
      <c r="N229" s="361">
        <v>51050</v>
      </c>
      <c r="O229" s="342"/>
      <c r="P229" s="118"/>
    </row>
    <row r="230" spans="1:16" s="117" customFormat="1" ht="15" customHeight="1">
      <c r="A230" s="90"/>
      <c r="B230" s="365">
        <v>46032</v>
      </c>
      <c r="C230" s="341">
        <v>1025</v>
      </c>
      <c r="D230" s="342"/>
      <c r="E230" s="343" t="s">
        <v>346</v>
      </c>
      <c r="F230" s="342"/>
      <c r="G230" s="341" t="s">
        <v>347</v>
      </c>
      <c r="H230" s="263" t="s">
        <v>149</v>
      </c>
      <c r="I230" s="350">
        <v>1</v>
      </c>
      <c r="J230" s="358" t="s">
        <v>174</v>
      </c>
      <c r="K230" s="342">
        <v>21000</v>
      </c>
      <c r="L230" s="360" t="str">
        <f>IF(K230&lt;&gt;"",VLOOKUP(K230,ChartofAccountsTable,2,FALSE),"")</f>
        <v>Unearned Revenue - DHPP</v>
      </c>
      <c r="M230" s="361">
        <v>51800</v>
      </c>
      <c r="N230" s="361"/>
      <c r="O230" s="342"/>
      <c r="P230" s="118"/>
    </row>
    <row r="231" spans="1:16" s="117" customFormat="1" ht="15" customHeight="1">
      <c r="A231" s="90"/>
      <c r="B231" s="364"/>
      <c r="C231" s="341"/>
      <c r="D231" s="342"/>
      <c r="E231" s="343"/>
      <c r="F231" s="342"/>
      <c r="G231" s="341"/>
      <c r="H231" s="263"/>
      <c r="I231" s="350"/>
      <c r="J231" s="358"/>
      <c r="K231" s="342">
        <v>40000</v>
      </c>
      <c r="L231" s="360" t="str">
        <f>IF(K231&lt;&gt;"",VLOOKUP(K231,ChartofAccountsTable,2,FALSE),"")</f>
        <v>Sales -Fuel Hauling</v>
      </c>
      <c r="M231" s="361"/>
      <c r="N231" s="361">
        <v>51800</v>
      </c>
      <c r="O231" s="342"/>
      <c r="P231" s="118"/>
    </row>
    <row r="232" spans="1:16" s="117" customFormat="1" ht="15" customHeight="1">
      <c r="A232" s="90"/>
      <c r="B232" s="365">
        <v>46032</v>
      </c>
      <c r="C232" s="341">
        <v>1027</v>
      </c>
      <c r="D232" s="342"/>
      <c r="E232" s="343" t="s">
        <v>348</v>
      </c>
      <c r="F232" s="342"/>
      <c r="G232" s="341" t="s">
        <v>232</v>
      </c>
      <c r="H232" s="263" t="s">
        <v>149</v>
      </c>
      <c r="I232" s="350">
        <v>1</v>
      </c>
      <c r="J232" s="358" t="s">
        <v>174</v>
      </c>
      <c r="K232" s="342">
        <v>21000</v>
      </c>
      <c r="L232" s="360" t="str">
        <f>IF(K232&lt;&gt;"",VLOOKUP(K232,ChartofAccountsTable,2,FALSE),"")</f>
        <v>Unearned Revenue - DHPP</v>
      </c>
      <c r="M232" s="361">
        <v>51250</v>
      </c>
      <c r="N232" s="361"/>
      <c r="O232" s="342"/>
      <c r="P232" s="118"/>
    </row>
    <row r="233" spans="1:16" s="117" customFormat="1" ht="15" customHeight="1">
      <c r="A233" s="90"/>
      <c r="B233" s="364"/>
      <c r="C233" s="341"/>
      <c r="D233" s="342"/>
      <c r="E233" s="343"/>
      <c r="F233" s="342"/>
      <c r="G233" s="341"/>
      <c r="H233" s="263"/>
      <c r="I233" s="350"/>
      <c r="J233" s="358"/>
      <c r="K233" s="342">
        <v>40000</v>
      </c>
      <c r="L233" s="360" t="str">
        <f>IF(K233&lt;&gt;"",VLOOKUP(K233,ChartofAccountsTable,2,FALSE),"")</f>
        <v>Sales -Fuel Hauling</v>
      </c>
      <c r="M233" s="361"/>
      <c r="N233" s="361">
        <v>51250</v>
      </c>
      <c r="O233" s="342"/>
      <c r="P233" s="118"/>
    </row>
    <row r="234" spans="1:16" s="117" customFormat="1" ht="15" customHeight="1">
      <c r="A234" s="90"/>
      <c r="B234" s="365">
        <v>46032</v>
      </c>
      <c r="C234" s="341">
        <v>1026</v>
      </c>
      <c r="D234" s="342"/>
      <c r="E234" s="343" t="s">
        <v>349</v>
      </c>
      <c r="F234" s="342"/>
      <c r="G234" s="341" t="s">
        <v>189</v>
      </c>
      <c r="H234" s="263" t="s">
        <v>267</v>
      </c>
      <c r="I234" s="263">
        <v>4</v>
      </c>
      <c r="J234" s="358" t="s">
        <v>174</v>
      </c>
      <c r="K234" s="342">
        <v>21000</v>
      </c>
      <c r="L234" s="360" t="str">
        <f>IF(K234&lt;&gt;"",VLOOKUP(K234,ChartofAccountsTable,2,FALSE),"")</f>
        <v>Unearned Revenue - DHPP</v>
      </c>
      <c r="M234" s="361">
        <v>204450</v>
      </c>
      <c r="N234" s="361"/>
      <c r="O234" s="342"/>
      <c r="P234" s="118"/>
    </row>
    <row r="235" spans="1:16" s="117" customFormat="1" ht="15" customHeight="1">
      <c r="A235" s="90"/>
      <c r="B235" s="364"/>
      <c r="C235" s="341"/>
      <c r="D235" s="342"/>
      <c r="E235" s="343"/>
      <c r="F235" s="342"/>
      <c r="G235" s="341"/>
      <c r="H235" s="263"/>
      <c r="I235" s="263"/>
      <c r="J235" s="358"/>
      <c r="K235" s="342">
        <v>40000</v>
      </c>
      <c r="L235" s="360" t="str">
        <f>IF(K235&lt;&gt;"",VLOOKUP(K235,ChartofAccountsTable,2,FALSE),"")</f>
        <v>Sales -Fuel Hauling</v>
      </c>
      <c r="M235" s="361"/>
      <c r="N235" s="361">
        <v>204450</v>
      </c>
      <c r="O235" s="342"/>
      <c r="P235" s="118"/>
    </row>
    <row r="236" spans="1:16" s="117" customFormat="1" ht="15" customHeight="1">
      <c r="A236" s="90"/>
      <c r="B236" s="365">
        <v>46032</v>
      </c>
      <c r="C236" s="341">
        <v>1028</v>
      </c>
      <c r="D236" s="342"/>
      <c r="E236" s="343" t="s">
        <v>350</v>
      </c>
      <c r="F236" s="342"/>
      <c r="G236" s="341" t="s">
        <v>351</v>
      </c>
      <c r="H236" s="263" t="s">
        <v>149</v>
      </c>
      <c r="I236" s="263">
        <v>1</v>
      </c>
      <c r="J236" s="358" t="s">
        <v>174</v>
      </c>
      <c r="K236" s="342">
        <v>21000</v>
      </c>
      <c r="L236" s="360" t="str">
        <f>IF(K236&lt;&gt;"",VLOOKUP(K236,ChartofAccountsTable,2,FALSE),"")</f>
        <v>Unearned Revenue - DHPP</v>
      </c>
      <c r="M236" s="361">
        <v>51900</v>
      </c>
      <c r="N236" s="361"/>
      <c r="O236" s="342"/>
      <c r="P236" s="118"/>
    </row>
    <row r="237" spans="1:16" s="117" customFormat="1" ht="15" customHeight="1">
      <c r="A237" s="90"/>
      <c r="B237" s="364"/>
      <c r="C237" s="341"/>
      <c r="D237" s="342"/>
      <c r="E237" s="343"/>
      <c r="F237" s="342"/>
      <c r="G237" s="341"/>
      <c r="H237" s="263"/>
      <c r="I237" s="263"/>
      <c r="J237" s="358"/>
      <c r="K237" s="342">
        <v>40000</v>
      </c>
      <c r="L237" s="360" t="str">
        <f>IF(K237&lt;&gt;"",VLOOKUP(K237,ChartofAccountsTable,2,FALSE),"")</f>
        <v>Sales -Fuel Hauling</v>
      </c>
      <c r="M237" s="361"/>
      <c r="N237" s="361">
        <v>51900</v>
      </c>
      <c r="O237" s="342"/>
      <c r="P237" s="118"/>
    </row>
    <row r="238" spans="1:16" s="117" customFormat="1" ht="15" customHeight="1">
      <c r="A238" s="90"/>
      <c r="B238" s="365">
        <v>46032</v>
      </c>
      <c r="C238" s="341">
        <v>1029</v>
      </c>
      <c r="D238" s="342"/>
      <c r="E238" s="343" t="s">
        <v>352</v>
      </c>
      <c r="F238" s="342"/>
      <c r="G238" s="341" t="s">
        <v>225</v>
      </c>
      <c r="H238" s="263" t="s">
        <v>149</v>
      </c>
      <c r="I238" s="263">
        <v>1</v>
      </c>
      <c r="J238" s="358" t="s">
        <v>174</v>
      </c>
      <c r="K238" s="342">
        <v>21000</v>
      </c>
      <c r="L238" s="360" t="str">
        <f>IF(K238&lt;&gt;"",VLOOKUP(K238,ChartofAccountsTable,2,FALSE),"")</f>
        <v>Unearned Revenue - DHPP</v>
      </c>
      <c r="M238" s="361">
        <v>51800</v>
      </c>
      <c r="N238" s="361"/>
      <c r="O238" s="342"/>
      <c r="P238" s="118"/>
    </row>
    <row r="239" spans="1:16" s="117" customFormat="1" ht="15" customHeight="1">
      <c r="A239" s="90"/>
      <c r="B239" s="364"/>
      <c r="C239" s="341"/>
      <c r="D239" s="342"/>
      <c r="E239" s="343"/>
      <c r="F239" s="342"/>
      <c r="G239" s="341"/>
      <c r="H239" s="263"/>
      <c r="I239" s="263"/>
      <c r="J239" s="358"/>
      <c r="K239" s="342">
        <v>40000</v>
      </c>
      <c r="L239" s="360" t="str">
        <f>IF(K239&lt;&gt;"",VLOOKUP(K239,ChartofAccountsTable,2,FALSE),"")</f>
        <v>Sales -Fuel Hauling</v>
      </c>
      <c r="M239" s="361"/>
      <c r="N239" s="361">
        <v>51800</v>
      </c>
      <c r="O239" s="342"/>
      <c r="P239" s="118"/>
    </row>
    <row r="240" spans="1:16" s="117" customFormat="1" ht="15" customHeight="1">
      <c r="A240" s="90"/>
      <c r="B240" s="365">
        <v>46033</v>
      </c>
      <c r="C240" s="341">
        <v>1031</v>
      </c>
      <c r="D240" s="342"/>
      <c r="E240" s="343" t="s">
        <v>353</v>
      </c>
      <c r="F240" s="342"/>
      <c r="G240" s="341" t="s">
        <v>172</v>
      </c>
      <c r="H240" s="263" t="s">
        <v>272</v>
      </c>
      <c r="I240" s="263">
        <v>10</v>
      </c>
      <c r="J240" s="358" t="s">
        <v>174</v>
      </c>
      <c r="K240" s="342">
        <v>12030</v>
      </c>
      <c r="L240" s="360" t="str">
        <f>IF(K240&lt;&gt;"",VLOOKUP(K240,ChartofAccountsTable,2,FALSE),"")</f>
        <v>A/Receivables - Fuel Clients</v>
      </c>
      <c r="M240" s="361">
        <v>49800</v>
      </c>
      <c r="N240" s="361"/>
      <c r="O240" s="342"/>
      <c r="P240" s="118"/>
    </row>
    <row r="241" spans="1:16" s="117" customFormat="1" ht="15" customHeight="1">
      <c r="A241" s="90"/>
      <c r="B241" s="364"/>
      <c r="C241" s="341"/>
      <c r="D241" s="342"/>
      <c r="E241" s="343"/>
      <c r="F241" s="342"/>
      <c r="G241" s="341"/>
      <c r="H241" s="263"/>
      <c r="I241" s="263"/>
      <c r="J241" s="358"/>
      <c r="K241" s="342">
        <v>40000</v>
      </c>
      <c r="L241" s="360" t="str">
        <f>IF(K241&lt;&gt;"",VLOOKUP(K241,ChartofAccountsTable,2,FALSE),"")</f>
        <v>Sales -Fuel Hauling</v>
      </c>
      <c r="M241" s="361"/>
      <c r="N241" s="361">
        <v>49800</v>
      </c>
      <c r="O241" s="342"/>
      <c r="P241" s="118"/>
    </row>
    <row r="242" spans="1:16" s="117" customFormat="1" ht="15" customHeight="1">
      <c r="A242" s="90"/>
      <c r="B242" s="365">
        <v>46034</v>
      </c>
      <c r="C242" s="341">
        <v>1032</v>
      </c>
      <c r="D242" s="342"/>
      <c r="E242" s="343" t="s">
        <v>354</v>
      </c>
      <c r="F242" s="342"/>
      <c r="G242" s="341" t="s">
        <v>164</v>
      </c>
      <c r="H242" s="263" t="s">
        <v>149</v>
      </c>
      <c r="I242" s="263">
        <v>1</v>
      </c>
      <c r="J242" s="358" t="s">
        <v>174</v>
      </c>
      <c r="K242" s="342">
        <v>12030</v>
      </c>
      <c r="L242" s="360" t="str">
        <f>IF(K242&lt;&gt;"",VLOOKUP(K242,ChartofAccountsTable,2,FALSE),"")</f>
        <v>A/Receivables - Fuel Clients</v>
      </c>
      <c r="M242" s="361">
        <v>51850</v>
      </c>
      <c r="N242" s="361"/>
      <c r="O242" s="342"/>
      <c r="P242" s="118"/>
    </row>
    <row r="243" spans="1:16" s="117" customFormat="1" ht="15" customHeight="1">
      <c r="A243" s="90"/>
      <c r="B243" s="364"/>
      <c r="C243" s="341"/>
      <c r="D243" s="342"/>
      <c r="E243" s="343"/>
      <c r="F243" s="342"/>
      <c r="G243" s="341"/>
      <c r="H243" s="263"/>
      <c r="I243" s="263"/>
      <c r="J243" s="358"/>
      <c r="K243" s="342">
        <v>40000</v>
      </c>
      <c r="L243" s="360" t="str">
        <f>IF(K243&lt;&gt;"",VLOOKUP(K243,ChartofAccountsTable,2,FALSE),"")</f>
        <v>Sales -Fuel Hauling</v>
      </c>
      <c r="M243" s="361"/>
      <c r="N243" s="361">
        <v>51850</v>
      </c>
      <c r="O243" s="342"/>
      <c r="P243" s="118"/>
    </row>
    <row r="244" spans="1:16" s="117" customFormat="1" ht="15" customHeight="1">
      <c r="A244" s="90"/>
      <c r="B244" s="365">
        <v>46034</v>
      </c>
      <c r="C244" s="341">
        <v>1033</v>
      </c>
      <c r="D244" s="342"/>
      <c r="E244" s="343" t="s">
        <v>355</v>
      </c>
      <c r="F244" s="342"/>
      <c r="G244" s="341" t="s">
        <v>356</v>
      </c>
      <c r="H244" s="263" t="s">
        <v>149</v>
      </c>
      <c r="I244" s="350">
        <v>1</v>
      </c>
      <c r="J244" s="358" t="s">
        <v>174</v>
      </c>
      <c r="K244" s="342">
        <v>21000</v>
      </c>
      <c r="L244" s="360" t="str">
        <f>IF(K244&lt;&gt;"",VLOOKUP(K244,ChartofAccountsTable,2,FALSE),"")</f>
        <v>Unearned Revenue - DHPP</v>
      </c>
      <c r="M244" s="361">
        <v>51400</v>
      </c>
      <c r="N244" s="361"/>
      <c r="O244" s="342"/>
      <c r="P244" s="118"/>
    </row>
    <row r="245" spans="1:16" s="117" customFormat="1" ht="15" customHeight="1">
      <c r="A245" s="90"/>
      <c r="B245" s="364"/>
      <c r="C245" s="341"/>
      <c r="D245" s="342"/>
      <c r="E245" s="343"/>
      <c r="F245" s="342"/>
      <c r="G245" s="341"/>
      <c r="H245" s="263"/>
      <c r="I245" s="350"/>
      <c r="J245" s="358"/>
      <c r="K245" s="342">
        <v>40000</v>
      </c>
      <c r="L245" s="360" t="str">
        <f>IF(K245&lt;&gt;"",VLOOKUP(K245,ChartofAccountsTable,2,FALSE),"")</f>
        <v>Sales -Fuel Hauling</v>
      </c>
      <c r="M245" s="361"/>
      <c r="N245" s="361">
        <v>51400</v>
      </c>
      <c r="O245" s="342"/>
      <c r="P245" s="118"/>
    </row>
    <row r="246" spans="1:16" s="117" customFormat="1" ht="15" customHeight="1">
      <c r="A246" s="90"/>
      <c r="B246" s="365">
        <v>46034</v>
      </c>
      <c r="C246" s="341">
        <v>1034</v>
      </c>
      <c r="D246" s="342"/>
      <c r="E246" s="343" t="s">
        <v>357</v>
      </c>
      <c r="F246" s="342"/>
      <c r="G246" s="341" t="s">
        <v>252</v>
      </c>
      <c r="H246" s="263" t="s">
        <v>212</v>
      </c>
      <c r="I246" s="350">
        <v>2</v>
      </c>
      <c r="J246" s="358" t="s">
        <v>174</v>
      </c>
      <c r="K246" s="342">
        <v>21000</v>
      </c>
      <c r="L246" s="360" t="str">
        <f>IF(K246&lt;&gt;"",VLOOKUP(K246,ChartofAccountsTable,2,FALSE),"")</f>
        <v>Unearned Revenue - DHPP</v>
      </c>
      <c r="M246" s="361">
        <v>100350</v>
      </c>
      <c r="N246" s="361"/>
      <c r="O246" s="342"/>
      <c r="P246" s="118"/>
    </row>
    <row r="247" spans="1:16" s="117" customFormat="1" ht="15" customHeight="1">
      <c r="A247" s="90"/>
      <c r="B247" s="364"/>
      <c r="C247" s="341"/>
      <c r="D247" s="342"/>
      <c r="E247" s="343"/>
      <c r="F247" s="342"/>
      <c r="G247" s="341"/>
      <c r="H247" s="263"/>
      <c r="I247" s="350"/>
      <c r="J247" s="358"/>
      <c r="K247" s="342">
        <v>40000</v>
      </c>
      <c r="L247" s="360" t="str">
        <f>IF(K247&lt;&gt;"",VLOOKUP(K247,ChartofAccountsTable,2,FALSE),"")</f>
        <v>Sales -Fuel Hauling</v>
      </c>
      <c r="M247" s="361"/>
      <c r="N247" s="361">
        <v>100350</v>
      </c>
      <c r="O247" s="342"/>
      <c r="P247" s="118"/>
    </row>
    <row r="248" spans="1:16" s="117" customFormat="1" ht="15" customHeight="1">
      <c r="A248" s="90"/>
      <c r="B248" s="365">
        <v>46034</v>
      </c>
      <c r="C248" s="341">
        <v>1035</v>
      </c>
      <c r="D248" s="342"/>
      <c r="E248" s="343" t="s">
        <v>358</v>
      </c>
      <c r="F248" s="342"/>
      <c r="G248" s="341" t="s">
        <v>167</v>
      </c>
      <c r="H248" s="263" t="s">
        <v>359</v>
      </c>
      <c r="I248" s="350">
        <v>3</v>
      </c>
      <c r="J248" s="358" t="s">
        <v>174</v>
      </c>
      <c r="K248" s="342">
        <v>21000</v>
      </c>
      <c r="L248" s="360" t="str">
        <f>IF(K248&lt;&gt;"",VLOOKUP(K248,ChartofAccountsTable,2,FALSE),"")</f>
        <v>Unearned Revenue - DHPP</v>
      </c>
      <c r="M248" s="361">
        <v>151600</v>
      </c>
      <c r="N248" s="361"/>
      <c r="O248" s="342"/>
      <c r="P248" s="118"/>
    </row>
    <row r="249" spans="1:16" s="117" customFormat="1" ht="15" customHeight="1">
      <c r="A249" s="90"/>
      <c r="B249" s="364"/>
      <c r="C249" s="341"/>
      <c r="D249" s="342"/>
      <c r="E249" s="343"/>
      <c r="F249" s="342"/>
      <c r="G249" s="341"/>
      <c r="H249" s="263"/>
      <c r="I249" s="350"/>
      <c r="J249" s="358"/>
      <c r="K249" s="342">
        <v>40000</v>
      </c>
      <c r="L249" s="360" t="str">
        <f>IF(K249&lt;&gt;"",VLOOKUP(K249,ChartofAccountsTable,2,FALSE),"")</f>
        <v>Sales -Fuel Hauling</v>
      </c>
      <c r="M249" s="361"/>
      <c r="N249" s="361">
        <v>151600</v>
      </c>
      <c r="O249" s="342"/>
      <c r="P249" s="118"/>
    </row>
    <row r="250" spans="1:16" s="117" customFormat="1" ht="15" customHeight="1">
      <c r="A250" s="90"/>
      <c r="B250" s="365">
        <v>46034</v>
      </c>
      <c r="C250" s="341">
        <v>1038</v>
      </c>
      <c r="D250" s="342"/>
      <c r="E250" s="343" t="s">
        <v>360</v>
      </c>
      <c r="F250" s="342"/>
      <c r="G250" s="341" t="s">
        <v>361</v>
      </c>
      <c r="H250" s="263" t="s">
        <v>182</v>
      </c>
      <c r="I250" s="350">
        <v>2</v>
      </c>
      <c r="J250" s="358" t="s">
        <v>174</v>
      </c>
      <c r="K250" s="342">
        <v>21000</v>
      </c>
      <c r="L250" s="360" t="str">
        <f>IF(K250&lt;&gt;"",VLOOKUP(K250,ChartofAccountsTable,2,FALSE),"")</f>
        <v>Unearned Revenue - DHPP</v>
      </c>
      <c r="M250" s="361">
        <v>102100</v>
      </c>
      <c r="N250" s="361"/>
      <c r="O250" s="342"/>
      <c r="P250" s="118"/>
    </row>
    <row r="251" spans="1:16" s="117" customFormat="1" ht="15" customHeight="1">
      <c r="A251" s="90"/>
      <c r="B251" s="364"/>
      <c r="C251" s="341"/>
      <c r="D251" s="342"/>
      <c r="E251" s="343"/>
      <c r="F251" s="342"/>
      <c r="G251" s="341"/>
      <c r="H251" s="263"/>
      <c r="I251" s="350"/>
      <c r="J251" s="358"/>
      <c r="K251" s="342">
        <v>40000</v>
      </c>
      <c r="L251" s="360" t="str">
        <f>IF(K251&lt;&gt;"",VLOOKUP(K251,ChartofAccountsTable,2,FALSE),"")</f>
        <v>Sales -Fuel Hauling</v>
      </c>
      <c r="M251" s="361"/>
      <c r="N251" s="361">
        <v>102100</v>
      </c>
      <c r="O251" s="342"/>
      <c r="P251" s="118"/>
    </row>
    <row r="252" spans="1:16" s="117" customFormat="1" ht="15" customHeight="1">
      <c r="A252" s="90"/>
      <c r="B252" s="365">
        <v>46034</v>
      </c>
      <c r="C252" s="341">
        <v>1037</v>
      </c>
      <c r="D252" s="342"/>
      <c r="E252" s="343" t="s">
        <v>362</v>
      </c>
      <c r="F252" s="342"/>
      <c r="G252" s="341" t="s">
        <v>363</v>
      </c>
      <c r="H252" s="263" t="s">
        <v>192</v>
      </c>
      <c r="I252" s="350">
        <v>1</v>
      </c>
      <c r="J252" s="358" t="s">
        <v>174</v>
      </c>
      <c r="K252" s="342">
        <v>21000</v>
      </c>
      <c r="L252" s="360" t="str">
        <f>IF(K252&lt;&gt;"",VLOOKUP(K252,ChartofAccountsTable,2,FALSE),"")</f>
        <v>Unearned Revenue - DHPP</v>
      </c>
      <c r="M252" s="361">
        <v>50550</v>
      </c>
      <c r="N252" s="361"/>
      <c r="O252" s="342"/>
      <c r="P252" s="118"/>
    </row>
    <row r="253" spans="1:16" s="117" customFormat="1" ht="15" customHeight="1">
      <c r="A253" s="90"/>
      <c r="B253" s="364"/>
      <c r="C253" s="341"/>
      <c r="D253" s="342"/>
      <c r="E253" s="343"/>
      <c r="F253" s="342"/>
      <c r="G253" s="341"/>
      <c r="H253" s="263"/>
      <c r="I253" s="350"/>
      <c r="J253" s="358"/>
      <c r="K253" s="342">
        <v>40000</v>
      </c>
      <c r="L253" s="360" t="str">
        <f>IF(K253&lt;&gt;"",VLOOKUP(K253,ChartofAccountsTable,2,FALSE),"")</f>
        <v>Sales -Fuel Hauling</v>
      </c>
      <c r="M253" s="361"/>
      <c r="N253" s="361">
        <v>50550</v>
      </c>
      <c r="O253" s="342"/>
      <c r="P253" s="118"/>
    </row>
    <row r="254" spans="1:16" s="117" customFormat="1" ht="15" customHeight="1">
      <c r="A254" s="90"/>
      <c r="B254" s="365">
        <v>46029</v>
      </c>
      <c r="C254" s="341">
        <v>210</v>
      </c>
      <c r="D254" s="342"/>
      <c r="E254" s="343" t="s">
        <v>364</v>
      </c>
      <c r="F254" s="342"/>
      <c r="G254" s="341" t="s">
        <v>294</v>
      </c>
      <c r="H254" s="263" t="s">
        <v>149</v>
      </c>
      <c r="I254" s="350">
        <v>1</v>
      </c>
      <c r="J254" s="358" t="s">
        <v>195</v>
      </c>
      <c r="K254" s="342">
        <v>21000</v>
      </c>
      <c r="L254" s="360" t="str">
        <f>IF(K254&lt;&gt;"",VLOOKUP(K254,ChartofAccountsTable,2,FALSE),"")</f>
        <v>Unearned Revenue - DHPP</v>
      </c>
      <c r="M254" s="361">
        <v>51700</v>
      </c>
      <c r="N254" s="361"/>
      <c r="O254" s="342"/>
      <c r="P254" s="118"/>
    </row>
    <row r="255" spans="1:16" s="117" customFormat="1" ht="15" customHeight="1">
      <c r="A255" s="90"/>
      <c r="B255" s="364"/>
      <c r="C255" s="341"/>
      <c r="D255" s="342"/>
      <c r="E255" s="343"/>
      <c r="F255" s="342"/>
      <c r="G255" s="341"/>
      <c r="H255" s="263"/>
      <c r="I255" s="350"/>
      <c r="J255" s="358"/>
      <c r="K255" s="342">
        <v>40000</v>
      </c>
      <c r="L255" s="360" t="str">
        <f>IF(K255&lt;&gt;"",VLOOKUP(K255,ChartofAccountsTable,2,FALSE),"")</f>
        <v>Sales -Fuel Hauling</v>
      </c>
      <c r="M255" s="361"/>
      <c r="N255" s="361">
        <v>51700</v>
      </c>
      <c r="O255" s="342"/>
      <c r="P255" s="118"/>
    </row>
    <row r="256" spans="1:16" s="117" customFormat="1" ht="15" customHeight="1">
      <c r="A256" s="90"/>
      <c r="B256" s="365">
        <v>46029</v>
      </c>
      <c r="C256" s="341">
        <v>209</v>
      </c>
      <c r="D256" s="342"/>
      <c r="E256" s="348" t="s">
        <v>365</v>
      </c>
      <c r="F256" s="366"/>
      <c r="G256" s="341" t="s">
        <v>172</v>
      </c>
      <c r="H256" s="263" t="s">
        <v>192</v>
      </c>
      <c r="I256" s="350">
        <v>1</v>
      </c>
      <c r="J256" s="358" t="s">
        <v>195</v>
      </c>
      <c r="K256" s="342">
        <v>21000</v>
      </c>
      <c r="L256" s="360" t="str">
        <f>IF(K256&lt;&gt;"",VLOOKUP(K256,ChartofAccountsTable,2,FALSE),"")</f>
        <v>Unearned Revenue - DHPP</v>
      </c>
      <c r="M256" s="361">
        <v>50450</v>
      </c>
      <c r="N256" s="361"/>
      <c r="O256" s="342"/>
      <c r="P256" s="118"/>
    </row>
    <row r="257" spans="1:16" s="117" customFormat="1" ht="15" customHeight="1">
      <c r="A257" s="90"/>
      <c r="B257" s="364"/>
      <c r="C257" s="341"/>
      <c r="D257" s="342"/>
      <c r="E257" s="348"/>
      <c r="F257" s="366"/>
      <c r="G257" s="341"/>
      <c r="H257" s="263"/>
      <c r="I257" s="350"/>
      <c r="J257" s="358"/>
      <c r="K257" s="342">
        <v>40000</v>
      </c>
      <c r="L257" s="360" t="str">
        <f>IF(K257&lt;&gt;"",VLOOKUP(K257,ChartofAccountsTable,2,FALSE),"")</f>
        <v>Sales -Fuel Hauling</v>
      </c>
      <c r="M257" s="361"/>
      <c r="N257" s="361">
        <v>50450</v>
      </c>
      <c r="O257" s="342"/>
      <c r="P257" s="118"/>
    </row>
    <row r="258" spans="1:16" s="117" customFormat="1" ht="15" customHeight="1">
      <c r="A258" s="90"/>
      <c r="B258" s="365">
        <v>46029</v>
      </c>
      <c r="C258" s="341">
        <v>209</v>
      </c>
      <c r="D258" s="342"/>
      <c r="E258" s="343" t="s">
        <v>366</v>
      </c>
      <c r="F258" s="342"/>
      <c r="G258" s="362" t="s">
        <v>172</v>
      </c>
      <c r="H258" s="263" t="s">
        <v>272</v>
      </c>
      <c r="I258" s="350">
        <v>10</v>
      </c>
      <c r="J258" s="358" t="s">
        <v>195</v>
      </c>
      <c r="K258" s="342">
        <v>21000</v>
      </c>
      <c r="L258" s="360" t="str">
        <f>IF(K258&lt;&gt;"",VLOOKUP(K258,ChartofAccountsTable,2,FALSE),"")</f>
        <v>Unearned Revenue - DHPP</v>
      </c>
      <c r="M258" s="361">
        <v>324663</v>
      </c>
      <c r="N258" s="361"/>
      <c r="O258" s="342"/>
      <c r="P258" s="118"/>
    </row>
    <row r="259" spans="1:16" s="117" customFormat="1" ht="15" customHeight="1">
      <c r="A259" s="90"/>
      <c r="B259" s="364"/>
      <c r="C259" s="341"/>
      <c r="D259" s="342"/>
      <c r="E259" s="343"/>
      <c r="F259" s="342"/>
      <c r="G259" s="341"/>
      <c r="H259" s="263"/>
      <c r="I259" s="350"/>
      <c r="J259" s="358"/>
      <c r="K259" s="342">
        <v>12030</v>
      </c>
      <c r="L259" s="360" t="str">
        <f>IF(K259&lt;&gt;"",VLOOKUP(K259,ChartofAccountsTable,2,FALSE),"")</f>
        <v>A/Receivables - Fuel Clients</v>
      </c>
      <c r="M259" s="361">
        <v>175137</v>
      </c>
      <c r="N259" s="361"/>
      <c r="O259" s="342" t="s">
        <v>367</v>
      </c>
      <c r="P259" s="118"/>
    </row>
    <row r="260" spans="1:16" s="117" customFormat="1" ht="15" customHeight="1">
      <c r="A260" s="90"/>
      <c r="B260" s="364"/>
      <c r="C260" s="341"/>
      <c r="D260" s="342"/>
      <c r="E260" s="343"/>
      <c r="F260" s="342"/>
      <c r="G260" s="341"/>
      <c r="H260" s="263"/>
      <c r="I260" s="350"/>
      <c r="J260" s="358"/>
      <c r="K260" s="342">
        <v>40000</v>
      </c>
      <c r="L260" s="360" t="str">
        <f>IF(K260&lt;&gt;"",VLOOKUP(K260,ChartofAccountsTable,2,FALSE),"")</f>
        <v>Sales -Fuel Hauling</v>
      </c>
      <c r="M260" s="361"/>
      <c r="N260" s="361">
        <v>499800</v>
      </c>
      <c r="O260" s="342"/>
      <c r="P260" s="118"/>
    </row>
    <row r="261" spans="1:16" s="117" customFormat="1" ht="15" customHeight="1">
      <c r="A261" s="90"/>
      <c r="B261" s="365">
        <v>46031</v>
      </c>
      <c r="C261" s="341">
        <v>241</v>
      </c>
      <c r="D261" s="342"/>
      <c r="E261" s="343" t="s">
        <v>368</v>
      </c>
      <c r="F261" s="342"/>
      <c r="G261" s="341" t="s">
        <v>164</v>
      </c>
      <c r="H261" s="263" t="s">
        <v>192</v>
      </c>
      <c r="I261" s="350">
        <v>1</v>
      </c>
      <c r="J261" s="358" t="s">
        <v>195</v>
      </c>
      <c r="K261" s="342">
        <v>12030</v>
      </c>
      <c r="L261" s="360" t="str">
        <f>IF(K261&lt;&gt;"",VLOOKUP(K261,ChartofAccountsTable,2,FALSE),"")</f>
        <v>A/Receivables - Fuel Clients</v>
      </c>
      <c r="M261" s="361">
        <v>51350</v>
      </c>
      <c r="N261" s="361"/>
      <c r="O261" s="342"/>
      <c r="P261" s="118"/>
    </row>
    <row r="262" spans="1:16" s="117" customFormat="1" ht="15" customHeight="1">
      <c r="A262" s="90"/>
      <c r="B262" s="364"/>
      <c r="C262" s="341"/>
      <c r="D262" s="342"/>
      <c r="E262" s="343"/>
      <c r="F262" s="342"/>
      <c r="G262" s="341"/>
      <c r="H262" s="263"/>
      <c r="I262" s="350"/>
      <c r="J262" s="358"/>
      <c r="K262" s="342">
        <v>40000</v>
      </c>
      <c r="L262" s="360" t="str">
        <f>IF(K262&lt;&gt;"",VLOOKUP(K262,ChartofAccountsTable,2,FALSE),"")</f>
        <v>Sales -Fuel Hauling</v>
      </c>
      <c r="M262" s="361"/>
      <c r="N262" s="361">
        <v>51350</v>
      </c>
      <c r="O262" s="342"/>
      <c r="P262" s="118"/>
    </row>
    <row r="263" spans="1:16" s="117" customFormat="1" ht="15" customHeight="1">
      <c r="A263" s="90"/>
      <c r="B263" s="365">
        <v>46031</v>
      </c>
      <c r="C263" s="341">
        <v>242</v>
      </c>
      <c r="D263" s="342"/>
      <c r="E263" s="343" t="s">
        <v>369</v>
      </c>
      <c r="F263" s="342"/>
      <c r="G263" s="341" t="s">
        <v>249</v>
      </c>
      <c r="H263" s="263" t="s">
        <v>162</v>
      </c>
      <c r="I263" s="350">
        <v>0.5</v>
      </c>
      <c r="J263" s="358" t="s">
        <v>195</v>
      </c>
      <c r="K263" s="342">
        <v>21000</v>
      </c>
      <c r="L263" s="360" t="str">
        <f>IF(K263&lt;&gt;"",VLOOKUP(K263,ChartofAccountsTable,2,FALSE),"")</f>
        <v>Unearned Revenue - DHPP</v>
      </c>
      <c r="M263" s="361">
        <v>24600</v>
      </c>
      <c r="N263" s="361"/>
      <c r="O263" s="342"/>
      <c r="P263" s="118"/>
    </row>
    <row r="264" spans="1:16" s="117" customFormat="1" ht="15" customHeight="1">
      <c r="A264" s="90"/>
      <c r="B264" s="364"/>
      <c r="C264" s="341"/>
      <c r="D264" s="342"/>
      <c r="E264" s="343"/>
      <c r="F264" s="342"/>
      <c r="G264" s="341"/>
      <c r="H264" s="263"/>
      <c r="I264" s="350"/>
      <c r="J264" s="358"/>
      <c r="K264" s="342">
        <v>40000</v>
      </c>
      <c r="L264" s="360" t="str">
        <f>IF(K264&lt;&gt;"",VLOOKUP(K264,ChartofAccountsTable,2,FALSE),"")</f>
        <v>Sales -Fuel Hauling</v>
      </c>
      <c r="M264" s="361"/>
      <c r="N264" s="361">
        <v>24600</v>
      </c>
      <c r="O264" s="342"/>
      <c r="P264" s="118"/>
    </row>
    <row r="265" spans="1:16" s="117" customFormat="1" ht="15" customHeight="1">
      <c r="A265" s="90"/>
      <c r="B265" s="365">
        <v>46031</v>
      </c>
      <c r="C265" s="341">
        <v>243</v>
      </c>
      <c r="D265" s="342"/>
      <c r="E265" s="343" t="s">
        <v>370</v>
      </c>
      <c r="F265" s="342"/>
      <c r="G265" s="341" t="s">
        <v>252</v>
      </c>
      <c r="H265" s="263" t="s">
        <v>149</v>
      </c>
      <c r="I265" s="350">
        <v>1</v>
      </c>
      <c r="J265" s="358" t="s">
        <v>195</v>
      </c>
      <c r="K265" s="342">
        <v>21000</v>
      </c>
      <c r="L265" s="360" t="str">
        <f>IF(K265&lt;&gt;"",VLOOKUP(K265,ChartofAccountsTable,2,FALSE),"")</f>
        <v>Unearned Revenue - DHPP</v>
      </c>
      <c r="M265" s="361">
        <v>51250</v>
      </c>
      <c r="N265" s="361"/>
      <c r="O265" s="344" t="s">
        <v>371</v>
      </c>
      <c r="P265" s="118"/>
    </row>
    <row r="266" spans="1:16" s="117" customFormat="1" ht="15" customHeight="1">
      <c r="A266" s="90"/>
      <c r="B266" s="364"/>
      <c r="C266" s="341"/>
      <c r="D266" s="342"/>
      <c r="E266" s="343"/>
      <c r="F266" s="342"/>
      <c r="G266" s="341"/>
      <c r="H266" s="263"/>
      <c r="I266" s="350"/>
      <c r="J266" s="358"/>
      <c r="K266" s="342">
        <v>40000</v>
      </c>
      <c r="L266" s="360" t="str">
        <f>IF(K266&lt;&gt;"",VLOOKUP(K266,ChartofAccountsTable,2,FALSE),"")</f>
        <v>Sales -Fuel Hauling</v>
      </c>
      <c r="M266" s="361"/>
      <c r="N266" s="361">
        <v>51250</v>
      </c>
      <c r="O266" s="342"/>
      <c r="P266" s="118"/>
    </row>
    <row r="267" spans="1:16" s="117" customFormat="1" ht="15" customHeight="1">
      <c r="A267" s="90"/>
      <c r="B267" s="365">
        <v>46031</v>
      </c>
      <c r="C267" s="341">
        <v>244</v>
      </c>
      <c r="D267" s="342"/>
      <c r="E267" s="348" t="s">
        <v>372</v>
      </c>
      <c r="F267" s="342"/>
      <c r="G267" s="341" t="s">
        <v>167</v>
      </c>
      <c r="H267" s="263" t="s">
        <v>149</v>
      </c>
      <c r="I267" s="350">
        <v>1</v>
      </c>
      <c r="J267" s="358" t="s">
        <v>195</v>
      </c>
      <c r="K267" s="342">
        <v>21000</v>
      </c>
      <c r="L267" s="360" t="str">
        <f>IF(K267&lt;&gt;"",VLOOKUP(K267,ChartofAccountsTable,2,FALSE),"")</f>
        <v>Unearned Revenue - DHPP</v>
      </c>
      <c r="M267" s="361">
        <v>51400</v>
      </c>
      <c r="N267" s="361"/>
      <c r="O267" s="342"/>
      <c r="P267" s="118"/>
    </row>
    <row r="268" spans="1:16" s="117" customFormat="1" ht="15" customHeight="1">
      <c r="A268" s="90"/>
      <c r="B268" s="364"/>
      <c r="C268" s="341"/>
      <c r="D268" s="342"/>
      <c r="E268" s="348"/>
      <c r="F268" s="342"/>
      <c r="G268" s="341"/>
      <c r="H268" s="263"/>
      <c r="I268" s="350"/>
      <c r="J268" s="358"/>
      <c r="K268" s="342">
        <v>40000</v>
      </c>
      <c r="L268" s="360" t="str">
        <f>IF(K268&lt;&gt;"",VLOOKUP(K268,ChartofAccountsTable,2,FALSE),"")</f>
        <v>Sales -Fuel Hauling</v>
      </c>
      <c r="M268" s="361"/>
      <c r="N268" s="382">
        <v>51400</v>
      </c>
      <c r="O268" s="342"/>
      <c r="P268" s="118"/>
    </row>
    <row r="269" spans="1:16" s="117" customFormat="1" ht="15" customHeight="1">
      <c r="A269" s="90"/>
      <c r="B269" s="365">
        <v>46031</v>
      </c>
      <c r="C269" s="341">
        <v>244</v>
      </c>
      <c r="D269" s="342"/>
      <c r="E269" s="348" t="s">
        <v>373</v>
      </c>
      <c r="F269" s="342"/>
      <c r="G269" s="341" t="s">
        <v>167</v>
      </c>
      <c r="H269" s="263" t="s">
        <v>192</v>
      </c>
      <c r="I269" s="350">
        <v>1</v>
      </c>
      <c r="J269" s="358" t="s">
        <v>195</v>
      </c>
      <c r="K269" s="342">
        <v>21000</v>
      </c>
      <c r="L269" s="360" t="str">
        <f>IF(K269&lt;&gt;"",VLOOKUP(K269,ChartofAccountsTable,2,FALSE),"")</f>
        <v>Unearned Revenue - DHPP</v>
      </c>
      <c r="M269" s="361">
        <v>50900</v>
      </c>
      <c r="N269" s="361"/>
      <c r="O269" s="342"/>
      <c r="P269" s="118"/>
    </row>
    <row r="270" spans="1:16" s="117" customFormat="1" ht="15" customHeight="1">
      <c r="A270" s="90"/>
      <c r="B270" s="364"/>
      <c r="C270" s="341"/>
      <c r="D270" s="342"/>
      <c r="E270" s="348"/>
      <c r="F270" s="342"/>
      <c r="G270" s="341"/>
      <c r="H270" s="263"/>
      <c r="I270" s="350"/>
      <c r="J270" s="358"/>
      <c r="K270" s="342">
        <v>40000</v>
      </c>
      <c r="L270" s="360" t="str">
        <f>IF(K270&lt;&gt;"",VLOOKUP(K270,ChartofAccountsTable,2,FALSE),"")</f>
        <v>Sales -Fuel Hauling</v>
      </c>
      <c r="M270" s="361"/>
      <c r="N270" s="361">
        <v>50900</v>
      </c>
      <c r="O270" s="342"/>
      <c r="P270" s="118"/>
    </row>
    <row r="271" spans="1:16" s="117" customFormat="1" ht="15" customHeight="1">
      <c r="A271" s="90"/>
      <c r="B271" s="365">
        <v>46031</v>
      </c>
      <c r="C271" s="341">
        <v>245</v>
      </c>
      <c r="D271" s="342"/>
      <c r="E271" s="343" t="s">
        <v>374</v>
      </c>
      <c r="F271" s="342"/>
      <c r="G271" s="341" t="s">
        <v>375</v>
      </c>
      <c r="H271" s="263" t="s">
        <v>185</v>
      </c>
      <c r="I271" s="350">
        <v>1.5</v>
      </c>
      <c r="J271" s="358" t="s">
        <v>195</v>
      </c>
      <c r="K271" s="342">
        <v>21000</v>
      </c>
      <c r="L271" s="360" t="str">
        <f>IF(K271&lt;&gt;"",VLOOKUP(K271,ChartofAccountsTable,2,FALSE),"")</f>
        <v>Unearned Revenue - DHPP</v>
      </c>
      <c r="M271" s="361">
        <v>76400</v>
      </c>
      <c r="N271" s="361"/>
      <c r="O271" s="342"/>
      <c r="P271" s="118"/>
    </row>
    <row r="272" spans="1:16" s="117" customFormat="1" ht="15" customHeight="1">
      <c r="A272" s="90"/>
      <c r="B272" s="364"/>
      <c r="C272" s="341"/>
      <c r="D272" s="342"/>
      <c r="E272" s="343"/>
      <c r="F272" s="342"/>
      <c r="G272" s="341"/>
      <c r="H272" s="263"/>
      <c r="I272" s="350"/>
      <c r="J272" s="358"/>
      <c r="K272" s="342">
        <v>40000</v>
      </c>
      <c r="L272" s="360" t="str">
        <f>IF(K272&lt;&gt;"",VLOOKUP(K272,ChartofAccountsTable,2,FALSE),"")</f>
        <v>Sales -Fuel Hauling</v>
      </c>
      <c r="M272" s="361"/>
      <c r="N272" s="361">
        <v>76400</v>
      </c>
      <c r="O272" s="342"/>
      <c r="P272" s="118"/>
    </row>
    <row r="273" spans="1:16" s="117" customFormat="1" ht="15" customHeight="1">
      <c r="A273" s="90"/>
      <c r="B273" s="365">
        <v>46031</v>
      </c>
      <c r="C273" s="341">
        <v>246</v>
      </c>
      <c r="D273" s="342"/>
      <c r="E273" s="343" t="s">
        <v>376</v>
      </c>
      <c r="F273" s="342"/>
      <c r="G273" s="341" t="s">
        <v>377</v>
      </c>
      <c r="H273" s="263" t="s">
        <v>378</v>
      </c>
      <c r="I273" s="350">
        <v>5</v>
      </c>
      <c r="J273" s="358" t="s">
        <v>195</v>
      </c>
      <c r="K273" s="342">
        <v>21000</v>
      </c>
      <c r="L273" s="360" t="str">
        <f>IF(K273&lt;&gt;"",VLOOKUP(K273,ChartofAccountsTable,2,FALSE),"")</f>
        <v>Unearned Revenue - DHPP</v>
      </c>
      <c r="M273" s="361">
        <v>254750</v>
      </c>
      <c r="N273" s="361"/>
      <c r="O273" s="342"/>
      <c r="P273" s="118"/>
    </row>
    <row r="274" spans="1:16" s="117" customFormat="1" ht="15" customHeight="1">
      <c r="A274" s="90"/>
      <c r="B274" s="364"/>
      <c r="C274" s="341"/>
      <c r="D274" s="342"/>
      <c r="E274" s="343"/>
      <c r="F274" s="342"/>
      <c r="G274" s="341"/>
      <c r="H274" s="263"/>
      <c r="I274" s="350"/>
      <c r="J274" s="358"/>
      <c r="K274" s="342">
        <v>40000</v>
      </c>
      <c r="L274" s="360" t="str">
        <f>IF(K274&lt;&gt;"",VLOOKUP(K274,ChartofAccountsTable,2,FALSE),"")</f>
        <v>Sales -Fuel Hauling</v>
      </c>
      <c r="M274" s="361"/>
      <c r="N274" s="361">
        <v>254750</v>
      </c>
      <c r="O274" s="342"/>
      <c r="P274" s="118"/>
    </row>
    <row r="275" spans="1:16" s="117" customFormat="1" ht="15" customHeight="1">
      <c r="A275" s="90"/>
      <c r="B275" s="365">
        <v>46031</v>
      </c>
      <c r="C275" s="341">
        <v>247</v>
      </c>
      <c r="D275" s="342"/>
      <c r="E275" s="343" t="s">
        <v>379</v>
      </c>
      <c r="F275" s="342"/>
      <c r="G275" s="341" t="s">
        <v>380</v>
      </c>
      <c r="H275" s="263" t="s">
        <v>149</v>
      </c>
      <c r="I275" s="350">
        <v>1</v>
      </c>
      <c r="J275" s="358" t="s">
        <v>195</v>
      </c>
      <c r="K275" s="342">
        <v>21000</v>
      </c>
      <c r="L275" s="360" t="str">
        <f>IF(K275&lt;&gt;"",VLOOKUP(K275,ChartofAccountsTable,2,FALSE),"")</f>
        <v>Unearned Revenue - DHPP</v>
      </c>
      <c r="M275" s="361">
        <v>51700</v>
      </c>
      <c r="N275" s="361"/>
      <c r="O275" s="342"/>
      <c r="P275" s="118"/>
    </row>
    <row r="276" spans="1:16" s="117" customFormat="1" ht="15" customHeight="1">
      <c r="A276" s="90"/>
      <c r="B276" s="364"/>
      <c r="C276" s="341"/>
      <c r="D276" s="342"/>
      <c r="E276" s="343"/>
      <c r="F276" s="342"/>
      <c r="G276" s="341"/>
      <c r="H276" s="263"/>
      <c r="I276" s="350"/>
      <c r="J276" s="358"/>
      <c r="K276" s="342">
        <v>40000</v>
      </c>
      <c r="L276" s="360" t="str">
        <f>IF(K276&lt;&gt;"",VLOOKUP(K276,ChartofAccountsTable,2,FALSE),"")</f>
        <v>Sales -Fuel Hauling</v>
      </c>
      <c r="M276" s="361"/>
      <c r="N276" s="361">
        <v>51700</v>
      </c>
      <c r="O276" s="342"/>
      <c r="P276" s="118"/>
    </row>
    <row r="277" spans="1:16" s="117" customFormat="1" ht="15" customHeight="1">
      <c r="A277" s="90"/>
      <c r="B277" s="365">
        <v>46031</v>
      </c>
      <c r="C277" s="367">
        <v>248</v>
      </c>
      <c r="D277" s="366"/>
      <c r="E277" s="343" t="s">
        <v>381</v>
      </c>
      <c r="F277" s="366"/>
      <c r="G277" s="341" t="s">
        <v>164</v>
      </c>
      <c r="H277" s="368" t="s">
        <v>149</v>
      </c>
      <c r="I277" s="368">
        <v>1</v>
      </c>
      <c r="J277" s="367" t="s">
        <v>195</v>
      </c>
      <c r="K277" s="357">
        <v>12030</v>
      </c>
      <c r="L277" s="360" t="str">
        <f>IF(K277&lt;&gt;"",VLOOKUP(K277,ChartofAccountsTable,2,FALSE),"")</f>
        <v>A/Receivables - Fuel Clients</v>
      </c>
      <c r="M277" s="381">
        <v>51850</v>
      </c>
      <c r="N277" s="381"/>
      <c r="O277" s="357"/>
      <c r="P277" s="118"/>
    </row>
    <row r="278" spans="1:16" s="117" customFormat="1" ht="15" customHeight="1">
      <c r="A278" s="90"/>
      <c r="B278" s="364"/>
      <c r="C278" s="367"/>
      <c r="D278" s="366"/>
      <c r="E278" s="343"/>
      <c r="F278" s="366"/>
      <c r="G278" s="341"/>
      <c r="H278" s="368"/>
      <c r="I278" s="368"/>
      <c r="J278" s="367"/>
      <c r="K278" s="357">
        <v>40000</v>
      </c>
      <c r="L278" s="360" t="str">
        <f>IF(K278&lt;&gt;"",VLOOKUP(K278,ChartofAccountsTable,2,FALSE),"")</f>
        <v>Sales -Fuel Hauling</v>
      </c>
      <c r="M278" s="381"/>
      <c r="N278" s="381">
        <v>51850</v>
      </c>
      <c r="O278" s="357"/>
      <c r="P278" s="118"/>
    </row>
    <row r="279" spans="1:16" s="117" customFormat="1" ht="15" customHeight="1">
      <c r="A279" s="90"/>
      <c r="B279" s="365">
        <v>46031</v>
      </c>
      <c r="C279" s="341">
        <v>249</v>
      </c>
      <c r="D279" s="342"/>
      <c r="E279" s="343" t="s">
        <v>382</v>
      </c>
      <c r="F279" s="342"/>
      <c r="G279" s="369" t="s">
        <v>252</v>
      </c>
      <c r="H279" s="263" t="s">
        <v>383</v>
      </c>
      <c r="I279" s="350">
        <v>3</v>
      </c>
      <c r="J279" s="358" t="s">
        <v>195</v>
      </c>
      <c r="K279" s="342">
        <v>21000</v>
      </c>
      <c r="L279" s="360" t="str">
        <f>IF(K279&lt;&gt;"",VLOOKUP(K279,ChartofAccountsTable,2,FALSE),"")</f>
        <v>Unearned Revenue - DHPP</v>
      </c>
      <c r="M279" s="361">
        <v>151100</v>
      </c>
      <c r="N279" s="361"/>
      <c r="O279" s="342"/>
      <c r="P279" s="118"/>
    </row>
    <row r="280" spans="1:16" s="117" customFormat="1" ht="15" customHeight="1">
      <c r="A280" s="90"/>
      <c r="B280" s="364"/>
      <c r="C280" s="341"/>
      <c r="D280" s="342"/>
      <c r="E280" s="343"/>
      <c r="F280" s="342"/>
      <c r="G280" s="369"/>
      <c r="H280" s="263"/>
      <c r="I280" s="350"/>
      <c r="J280" s="358"/>
      <c r="K280" s="342">
        <v>40000</v>
      </c>
      <c r="L280" s="360" t="str">
        <f>IF(K280&lt;&gt;"",VLOOKUP(K280,ChartofAccountsTable,2,FALSE),"")</f>
        <v>Sales -Fuel Hauling</v>
      </c>
      <c r="M280" s="361"/>
      <c r="N280" s="361">
        <v>151100</v>
      </c>
      <c r="O280" s="342"/>
      <c r="P280" s="118"/>
    </row>
    <row r="281" spans="1:16" s="117" customFormat="1" ht="15" customHeight="1">
      <c r="A281" s="90"/>
      <c r="B281" s="365">
        <v>46032</v>
      </c>
      <c r="C281" s="341">
        <v>250</v>
      </c>
      <c r="D281" s="342"/>
      <c r="E281" s="343" t="s">
        <v>384</v>
      </c>
      <c r="F281" s="342"/>
      <c r="G281" s="369" t="s">
        <v>240</v>
      </c>
      <c r="H281" s="263" t="s">
        <v>192</v>
      </c>
      <c r="I281" s="350">
        <v>1</v>
      </c>
      <c r="J281" s="358" t="s">
        <v>195</v>
      </c>
      <c r="K281" s="342">
        <v>21000</v>
      </c>
      <c r="L281" s="360" t="str">
        <f>IF(K281&lt;&gt;"",VLOOKUP(K281,ChartofAccountsTable,2,FALSE),"")</f>
        <v>Unearned Revenue - DHPP</v>
      </c>
      <c r="M281" s="361">
        <v>51450</v>
      </c>
      <c r="N281" s="361"/>
      <c r="O281" s="342"/>
      <c r="P281" s="118"/>
    </row>
    <row r="282" spans="1:16" s="117" customFormat="1" ht="15" customHeight="1">
      <c r="A282" s="90"/>
      <c r="B282" s="364"/>
      <c r="C282" s="341"/>
      <c r="D282" s="342"/>
      <c r="E282" s="343"/>
      <c r="F282" s="342"/>
      <c r="G282" s="369"/>
      <c r="H282" s="263"/>
      <c r="I282" s="350"/>
      <c r="J282" s="358"/>
      <c r="K282" s="342">
        <v>40000</v>
      </c>
      <c r="L282" s="360" t="str">
        <f>IF(K282&lt;&gt;"",VLOOKUP(K282,ChartofAccountsTable,2,FALSE),"")</f>
        <v>Sales -Fuel Hauling</v>
      </c>
      <c r="M282" s="361"/>
      <c r="N282" s="361">
        <v>51450</v>
      </c>
      <c r="O282" s="342"/>
      <c r="P282" s="118"/>
    </row>
    <row r="283" spans="1:16" s="117" customFormat="1" ht="15" customHeight="1">
      <c r="A283" s="90"/>
      <c r="B283" s="365">
        <v>46032</v>
      </c>
      <c r="C283" s="341">
        <v>251</v>
      </c>
      <c r="D283" s="342"/>
      <c r="E283" s="343" t="s">
        <v>385</v>
      </c>
      <c r="F283" s="342"/>
      <c r="G283" s="369" t="s">
        <v>386</v>
      </c>
      <c r="H283" s="263" t="s">
        <v>149</v>
      </c>
      <c r="I283" s="350">
        <v>1</v>
      </c>
      <c r="J283" s="358" t="s">
        <v>195</v>
      </c>
      <c r="K283" s="342">
        <v>21000</v>
      </c>
      <c r="L283" s="360" t="str">
        <f>IF(K283&lt;&gt;"",VLOOKUP(K283,ChartofAccountsTable,2,FALSE),"")</f>
        <v>Unearned Revenue - DHPP</v>
      </c>
      <c r="M283" s="361">
        <v>53750</v>
      </c>
      <c r="N283" s="361"/>
      <c r="O283" s="342"/>
      <c r="P283" s="118"/>
    </row>
    <row r="284" spans="1:16" s="117" customFormat="1" ht="15" customHeight="1">
      <c r="A284" s="90"/>
      <c r="B284" s="364"/>
      <c r="C284" s="341"/>
      <c r="D284" s="342"/>
      <c r="E284" s="343"/>
      <c r="F284" s="342"/>
      <c r="G284" s="369"/>
      <c r="H284" s="263"/>
      <c r="I284" s="350"/>
      <c r="J284" s="358"/>
      <c r="K284" s="342">
        <v>40000</v>
      </c>
      <c r="L284" s="360" t="str">
        <f>IF(K284&lt;&gt;"",VLOOKUP(K284,ChartofAccountsTable,2,FALSE),"")</f>
        <v>Sales -Fuel Hauling</v>
      </c>
      <c r="M284" s="361"/>
      <c r="N284" s="361">
        <v>53750</v>
      </c>
      <c r="O284" s="342"/>
      <c r="P284" s="118"/>
    </row>
    <row r="285" spans="1:16" s="117" customFormat="1" ht="15" customHeight="1">
      <c r="A285" s="90"/>
      <c r="B285" s="365">
        <v>46032</v>
      </c>
      <c r="C285" s="341">
        <v>252</v>
      </c>
      <c r="D285" s="342"/>
      <c r="E285" s="343" t="s">
        <v>387</v>
      </c>
      <c r="F285" s="342"/>
      <c r="G285" s="385" t="s">
        <v>388</v>
      </c>
      <c r="H285" s="263" t="s">
        <v>389</v>
      </c>
      <c r="I285" s="350">
        <v>6</v>
      </c>
      <c r="J285" s="358" t="s">
        <v>195</v>
      </c>
      <c r="K285" s="342">
        <v>21000</v>
      </c>
      <c r="L285" s="360" t="str">
        <f>IF(K285&lt;&gt;"",VLOOKUP(K285,ChartofAccountsTable,2,FALSE),"")</f>
        <v>Unearned Revenue - DHPP</v>
      </c>
      <c r="M285" s="361">
        <v>320200</v>
      </c>
      <c r="N285" s="361"/>
      <c r="O285" s="342"/>
      <c r="P285" s="118"/>
    </row>
    <row r="286" spans="1:16" s="117" customFormat="1" ht="15" customHeight="1">
      <c r="A286" s="90"/>
      <c r="B286" s="364"/>
      <c r="C286" s="341"/>
      <c r="D286" s="342"/>
      <c r="E286" s="343"/>
      <c r="F286" s="342"/>
      <c r="G286" s="369"/>
      <c r="H286" s="263"/>
      <c r="I286" s="350"/>
      <c r="J286" s="358"/>
      <c r="K286" s="342">
        <v>40000</v>
      </c>
      <c r="L286" s="360" t="str">
        <f>IF(K286&lt;&gt;"",VLOOKUP(K286,ChartofAccountsTable,2,FALSE),"")</f>
        <v>Sales -Fuel Hauling</v>
      </c>
      <c r="M286" s="361"/>
      <c r="N286" s="361">
        <v>320200</v>
      </c>
      <c r="O286" s="342"/>
      <c r="P286" s="118"/>
    </row>
    <row r="287" spans="1:16" s="117" customFormat="1" ht="15" customHeight="1">
      <c r="A287" s="90"/>
      <c r="B287" s="365">
        <v>46030</v>
      </c>
      <c r="C287" s="341">
        <v>970</v>
      </c>
      <c r="D287" s="342"/>
      <c r="E287" s="343" t="s">
        <v>390</v>
      </c>
      <c r="F287" s="342"/>
      <c r="G287" s="369" t="s">
        <v>202</v>
      </c>
      <c r="H287" s="263" t="s">
        <v>149</v>
      </c>
      <c r="I287" s="350">
        <v>1</v>
      </c>
      <c r="J287" s="358" t="s">
        <v>215</v>
      </c>
      <c r="K287" s="342">
        <v>21000</v>
      </c>
      <c r="L287" s="360" t="str">
        <f>IF(K287&lt;&gt;"",VLOOKUP(K287,ChartofAccountsTable,2,FALSE),"")</f>
        <v>Unearned Revenue - DHPP</v>
      </c>
      <c r="M287" s="361">
        <v>51700</v>
      </c>
      <c r="N287" s="361"/>
      <c r="O287" s="342"/>
      <c r="P287" s="118"/>
    </row>
    <row r="288" spans="1:16" s="117" customFormat="1" ht="15" customHeight="1">
      <c r="A288" s="90"/>
      <c r="B288" s="364"/>
      <c r="C288" s="341"/>
      <c r="D288" s="342"/>
      <c r="E288" s="343"/>
      <c r="F288" s="342"/>
      <c r="G288" s="369"/>
      <c r="H288" s="263"/>
      <c r="I288" s="350"/>
      <c r="J288" s="358"/>
      <c r="K288" s="342">
        <v>40000</v>
      </c>
      <c r="L288" s="360" t="str">
        <f>IF(K288&lt;&gt;"",VLOOKUP(K288,ChartofAccountsTable,2,FALSE),"")</f>
        <v>Sales -Fuel Hauling</v>
      </c>
      <c r="M288" s="361"/>
      <c r="N288" s="361">
        <v>51700</v>
      </c>
      <c r="O288" s="342"/>
      <c r="P288" s="118"/>
    </row>
    <row r="289" spans="1:16" s="117" customFormat="1" ht="15" customHeight="1">
      <c r="A289" s="90"/>
      <c r="B289" s="365">
        <v>46030</v>
      </c>
      <c r="C289" s="341">
        <v>971</v>
      </c>
      <c r="D289" s="342"/>
      <c r="E289" s="343" t="s">
        <v>391</v>
      </c>
      <c r="F289" s="342"/>
      <c r="G289" s="369" t="s">
        <v>158</v>
      </c>
      <c r="H289" s="263" t="s">
        <v>212</v>
      </c>
      <c r="I289" s="350">
        <v>2</v>
      </c>
      <c r="J289" s="358" t="s">
        <v>215</v>
      </c>
      <c r="K289" s="342">
        <v>12030</v>
      </c>
      <c r="L289" s="360" t="str">
        <f>IF(K289&lt;&gt;"",VLOOKUP(K289,ChartofAccountsTable,2,FALSE),"")</f>
        <v>A/Receivables - Fuel Clients</v>
      </c>
      <c r="M289" s="361">
        <v>96400</v>
      </c>
      <c r="N289" s="361"/>
      <c r="O289" s="342"/>
      <c r="P289" s="118"/>
    </row>
    <row r="290" spans="1:16" s="117" customFormat="1" ht="15" customHeight="1">
      <c r="A290" s="90"/>
      <c r="B290" s="364"/>
      <c r="C290" s="341"/>
      <c r="D290" s="342"/>
      <c r="E290" s="343"/>
      <c r="F290" s="342"/>
      <c r="G290" s="369"/>
      <c r="H290" s="263"/>
      <c r="I290" s="350"/>
      <c r="J290" s="358"/>
      <c r="K290" s="342">
        <v>40000</v>
      </c>
      <c r="L290" s="360" t="str">
        <f>IF(K290&lt;&gt;"",VLOOKUP(K290,ChartofAccountsTable,2,FALSE),"")</f>
        <v>Sales -Fuel Hauling</v>
      </c>
      <c r="M290" s="361"/>
      <c r="N290" s="361">
        <v>96400</v>
      </c>
      <c r="O290" s="342"/>
      <c r="P290" s="118"/>
    </row>
    <row r="291" spans="1:16" s="117" customFormat="1" ht="15" customHeight="1">
      <c r="A291" s="90"/>
      <c r="B291" s="365">
        <v>46031</v>
      </c>
      <c r="C291" s="341">
        <v>972</v>
      </c>
      <c r="D291" s="342"/>
      <c r="E291" s="343" t="s">
        <v>392</v>
      </c>
      <c r="F291" s="342"/>
      <c r="G291" s="369" t="s">
        <v>393</v>
      </c>
      <c r="H291" s="263" t="s">
        <v>192</v>
      </c>
      <c r="I291" s="350">
        <v>1</v>
      </c>
      <c r="J291" s="358" t="s">
        <v>215</v>
      </c>
      <c r="K291" s="342">
        <v>21000</v>
      </c>
      <c r="L291" s="360" t="str">
        <f>IF(K291&lt;&gt;"",VLOOKUP(K291,ChartofAccountsTable,2,FALSE),"")</f>
        <v>Unearned Revenue - DHPP</v>
      </c>
      <c r="M291" s="361">
        <v>50550</v>
      </c>
      <c r="N291" s="361"/>
      <c r="O291" s="342"/>
      <c r="P291" s="118"/>
    </row>
    <row r="292" spans="1:16" s="117" customFormat="1" ht="15" customHeight="1">
      <c r="A292" s="90"/>
      <c r="B292" s="364"/>
      <c r="C292" s="341"/>
      <c r="D292" s="342"/>
      <c r="E292" s="343"/>
      <c r="F292" s="342"/>
      <c r="G292" s="369"/>
      <c r="H292" s="263"/>
      <c r="I292" s="350"/>
      <c r="J292" s="358"/>
      <c r="K292" s="342">
        <v>40000</v>
      </c>
      <c r="L292" s="360" t="str">
        <f>IF(K292&lt;&gt;"",VLOOKUP(K292,ChartofAccountsTable,2,FALSE),"")</f>
        <v>Sales -Fuel Hauling</v>
      </c>
      <c r="M292" s="361"/>
      <c r="N292" s="361">
        <v>50550</v>
      </c>
      <c r="O292" s="342"/>
      <c r="P292" s="118"/>
    </row>
    <row r="293" spans="1:16" s="117" customFormat="1" ht="15" customHeight="1">
      <c r="A293" s="90"/>
      <c r="B293" s="365">
        <v>46031</v>
      </c>
      <c r="C293" s="341">
        <v>973</v>
      </c>
      <c r="D293" s="342"/>
      <c r="E293" s="343" t="s">
        <v>394</v>
      </c>
      <c r="F293" s="342"/>
      <c r="G293" s="369" t="s">
        <v>187</v>
      </c>
      <c r="H293" s="263" t="s">
        <v>395</v>
      </c>
      <c r="I293" s="350">
        <v>9</v>
      </c>
      <c r="J293" s="358" t="s">
        <v>215</v>
      </c>
      <c r="K293" s="342">
        <v>21000</v>
      </c>
      <c r="L293" s="360" t="str">
        <f>IF(K293&lt;&gt;"",VLOOKUP(K293,ChartofAccountsTable,2,FALSE),"")</f>
        <v>Unearned Revenue - DHPP</v>
      </c>
      <c r="M293" s="361">
        <v>369000</v>
      </c>
      <c r="N293" s="361"/>
      <c r="O293" s="342"/>
      <c r="P293" s="118"/>
    </row>
    <row r="294" spans="1:16" s="117" customFormat="1" ht="15" customHeight="1">
      <c r="A294" s="90"/>
      <c r="B294" s="364"/>
      <c r="C294" s="341"/>
      <c r="D294" s="342"/>
      <c r="E294" s="343"/>
      <c r="F294" s="342"/>
      <c r="G294" s="369"/>
      <c r="H294" s="263"/>
      <c r="I294" s="350"/>
      <c r="J294" s="358"/>
      <c r="K294" s="342">
        <v>12030</v>
      </c>
      <c r="L294" s="360" t="str">
        <f>IF(K294&lt;&gt;"",VLOOKUP(K294,ChartofAccountsTable,2,FALSE),"")</f>
        <v>A/Receivables - Fuel Clients</v>
      </c>
      <c r="M294" s="361">
        <v>88450</v>
      </c>
      <c r="N294" s="361"/>
      <c r="O294" s="342"/>
      <c r="P294" s="118"/>
    </row>
    <row r="295" spans="1:16" s="117" customFormat="1" ht="15" customHeight="1">
      <c r="A295" s="90"/>
      <c r="B295" s="364"/>
      <c r="C295" s="341"/>
      <c r="D295" s="342"/>
      <c r="E295" s="343"/>
      <c r="F295" s="342"/>
      <c r="G295" s="369"/>
      <c r="H295" s="263"/>
      <c r="I295" s="350"/>
      <c r="J295" s="358"/>
      <c r="K295" s="342">
        <v>40000</v>
      </c>
      <c r="L295" s="360" t="str">
        <f>IF(K295&lt;&gt;"",VLOOKUP(K295,ChartofAccountsTable,2,FALSE),"")</f>
        <v>Sales -Fuel Hauling</v>
      </c>
      <c r="M295" s="361"/>
      <c r="N295" s="361">
        <v>457450</v>
      </c>
      <c r="O295" s="342"/>
      <c r="P295" s="118"/>
    </row>
    <row r="296" spans="1:16" s="117" customFormat="1" ht="15" customHeight="1">
      <c r="A296" s="90"/>
      <c r="B296" s="365">
        <v>46031</v>
      </c>
      <c r="C296" s="341">
        <v>974</v>
      </c>
      <c r="D296" s="342"/>
      <c r="E296" s="343" t="s">
        <v>396</v>
      </c>
      <c r="F296" s="342"/>
      <c r="G296" s="369" t="s">
        <v>191</v>
      </c>
      <c r="H296" s="263" t="s">
        <v>149</v>
      </c>
      <c r="I296" s="350">
        <v>1</v>
      </c>
      <c r="J296" s="358" t="s">
        <v>215</v>
      </c>
      <c r="K296" s="342">
        <v>21000</v>
      </c>
      <c r="L296" s="360" t="str">
        <f>IF(K296&lt;&gt;"",VLOOKUP(K296,ChartofAccountsTable,2,FALSE),"")</f>
        <v>Unearned Revenue - DHPP</v>
      </c>
      <c r="M296" s="361">
        <v>51850</v>
      </c>
      <c r="N296" s="361"/>
      <c r="O296" s="342"/>
      <c r="P296" s="118"/>
    </row>
    <row r="297" spans="1:16" s="117" customFormat="1" ht="15" customHeight="1">
      <c r="A297" s="90"/>
      <c r="B297" s="364"/>
      <c r="C297" s="341"/>
      <c r="D297" s="342"/>
      <c r="E297" s="343"/>
      <c r="F297" s="342"/>
      <c r="G297" s="369"/>
      <c r="H297" s="263"/>
      <c r="I297" s="350"/>
      <c r="J297" s="358"/>
      <c r="K297" s="342">
        <v>40000</v>
      </c>
      <c r="L297" s="360" t="str">
        <f>IF(K297&lt;&gt;"",VLOOKUP(K297,ChartofAccountsTable,2,FALSE),"")</f>
        <v>Sales -Fuel Hauling</v>
      </c>
      <c r="M297" s="361"/>
      <c r="N297" s="361">
        <v>51850</v>
      </c>
      <c r="O297" s="342"/>
      <c r="P297" s="118"/>
    </row>
    <row r="298" spans="1:16" s="117" customFormat="1" ht="15" customHeight="1">
      <c r="A298" s="90"/>
      <c r="B298" s="365">
        <v>46031</v>
      </c>
      <c r="C298" s="341">
        <v>974</v>
      </c>
      <c r="D298" s="342"/>
      <c r="E298" s="343" t="s">
        <v>397</v>
      </c>
      <c r="F298" s="342"/>
      <c r="G298" s="369" t="s">
        <v>191</v>
      </c>
      <c r="H298" s="263" t="s">
        <v>149</v>
      </c>
      <c r="I298" s="350">
        <v>1</v>
      </c>
      <c r="J298" s="358" t="s">
        <v>215</v>
      </c>
      <c r="K298" s="342">
        <v>21000</v>
      </c>
      <c r="L298" s="360" t="str">
        <f>IF(K298&lt;&gt;"",VLOOKUP(K298,ChartofAccountsTable,2,FALSE),"")</f>
        <v>Unearned Revenue - DHPP</v>
      </c>
      <c r="M298" s="361">
        <v>51650</v>
      </c>
      <c r="N298" s="361"/>
      <c r="O298" s="342"/>
      <c r="P298" s="118"/>
    </row>
    <row r="299" spans="1:16" s="117" customFormat="1" ht="15" customHeight="1">
      <c r="A299" s="90"/>
      <c r="B299" s="364"/>
      <c r="C299" s="341"/>
      <c r="D299" s="342"/>
      <c r="E299" s="343"/>
      <c r="F299" s="342"/>
      <c r="G299" s="369"/>
      <c r="H299" s="263"/>
      <c r="I299" s="350"/>
      <c r="J299" s="358"/>
      <c r="K299" s="342">
        <v>21000</v>
      </c>
      <c r="L299" s="360" t="str">
        <f>IF(K299&lt;&gt;"",VLOOKUP(K299,ChartofAccountsTable,2,FALSE),"")</f>
        <v>Unearned Revenue - DHPP</v>
      </c>
      <c r="M299" s="361">
        <v>200</v>
      </c>
      <c r="N299" s="361"/>
      <c r="O299" s="344" t="s">
        <v>398</v>
      </c>
      <c r="P299" s="118"/>
    </row>
    <row r="300" spans="1:16" s="117" customFormat="1" ht="15" customHeight="1">
      <c r="A300" s="90"/>
      <c r="B300" s="364"/>
      <c r="C300" s="341"/>
      <c r="D300" s="342"/>
      <c r="E300" s="343"/>
      <c r="F300" s="342"/>
      <c r="G300" s="369"/>
      <c r="H300" s="263"/>
      <c r="I300" s="350"/>
      <c r="J300" s="358"/>
      <c r="K300" s="342">
        <v>40000</v>
      </c>
      <c r="L300" s="360" t="str">
        <f>IF(K300&lt;&gt;"",VLOOKUP(K300,ChartofAccountsTable,2,FALSE),"")</f>
        <v>Sales -Fuel Hauling</v>
      </c>
      <c r="M300" s="361"/>
      <c r="N300" s="361">
        <v>51850</v>
      </c>
      <c r="O300" s="342"/>
      <c r="P300" s="118"/>
    </row>
    <row r="301" spans="1:16" s="117" customFormat="1" ht="15" customHeight="1">
      <c r="A301" s="90"/>
      <c r="B301" s="365">
        <v>46032</v>
      </c>
      <c r="C301" s="341">
        <v>976</v>
      </c>
      <c r="D301" s="342"/>
      <c r="E301" s="343" t="s">
        <v>399</v>
      </c>
      <c r="F301" s="342"/>
      <c r="G301" s="341" t="s">
        <v>363</v>
      </c>
      <c r="H301" s="263" t="s">
        <v>182</v>
      </c>
      <c r="I301" s="350">
        <v>2</v>
      </c>
      <c r="J301" s="358" t="s">
        <v>215</v>
      </c>
      <c r="K301" s="342">
        <v>21000</v>
      </c>
      <c r="L301" s="360" t="str">
        <f>IF(K301&lt;&gt;"",VLOOKUP(K301,ChartofAccountsTable,2,FALSE),"")</f>
        <v>Unearned Revenue - DHPP</v>
      </c>
      <c r="M301" s="382">
        <v>100100</v>
      </c>
      <c r="N301" s="361"/>
      <c r="O301" s="342"/>
      <c r="P301" s="118"/>
    </row>
    <row r="302" spans="1:16" s="117" customFormat="1" ht="15" customHeight="1">
      <c r="A302" s="90"/>
      <c r="B302" s="364"/>
      <c r="C302" s="341"/>
      <c r="D302" s="342"/>
      <c r="E302" s="343"/>
      <c r="F302" s="342"/>
      <c r="G302" s="341"/>
      <c r="H302" s="263"/>
      <c r="I302" s="350"/>
      <c r="J302" s="358"/>
      <c r="K302" s="342">
        <v>40000</v>
      </c>
      <c r="L302" s="360" t="str">
        <f>IF(K302&lt;&gt;"",VLOOKUP(K302,ChartofAccountsTable,2,FALSE),"")</f>
        <v>Sales -Fuel Hauling</v>
      </c>
      <c r="M302" s="361"/>
      <c r="N302" s="361">
        <v>100100</v>
      </c>
      <c r="O302" s="342"/>
      <c r="P302" s="118"/>
    </row>
    <row r="303" spans="1:16" s="117" customFormat="1" ht="15" customHeight="1">
      <c r="A303" s="90"/>
      <c r="B303" s="365">
        <v>46032</v>
      </c>
      <c r="C303" s="341">
        <v>975</v>
      </c>
      <c r="D303" s="342"/>
      <c r="E303" s="343" t="s">
        <v>400</v>
      </c>
      <c r="F303" s="342"/>
      <c r="G303" s="341" t="s">
        <v>238</v>
      </c>
      <c r="H303" s="263" t="s">
        <v>401</v>
      </c>
      <c r="I303" s="350">
        <v>1.5</v>
      </c>
      <c r="J303" s="358" t="s">
        <v>215</v>
      </c>
      <c r="K303" s="342">
        <v>21000</v>
      </c>
      <c r="L303" s="360" t="str">
        <f>IF(K303&lt;&gt;"",VLOOKUP(K303,ChartofAccountsTable,2,FALSE),"")</f>
        <v>Unearned Revenue - DHPP</v>
      </c>
      <c r="M303" s="361">
        <v>76000</v>
      </c>
      <c r="N303" s="361"/>
      <c r="O303" s="342"/>
      <c r="P303" s="118"/>
    </row>
    <row r="304" spans="1:16" s="117" customFormat="1" ht="15" customHeight="1">
      <c r="A304" s="90"/>
      <c r="B304" s="364"/>
      <c r="C304" s="341"/>
      <c r="D304" s="342"/>
      <c r="E304" s="343"/>
      <c r="F304" s="342"/>
      <c r="G304" s="341"/>
      <c r="H304" s="263"/>
      <c r="I304" s="350"/>
      <c r="J304" s="358"/>
      <c r="K304" s="342">
        <v>21000</v>
      </c>
      <c r="L304" s="360" t="str">
        <f>IF(K304&lt;&gt;"",VLOOKUP(K304,ChartofAccountsTable,2,FALSE),"")</f>
        <v>Unearned Revenue - DHPP</v>
      </c>
      <c r="M304" s="361">
        <v>1150</v>
      </c>
      <c r="N304" s="361"/>
      <c r="O304" s="344" t="s">
        <v>371</v>
      </c>
      <c r="P304" s="118"/>
    </row>
    <row r="305" spans="1:16" s="117" customFormat="1" ht="15" customHeight="1">
      <c r="A305" s="90"/>
      <c r="B305" s="364"/>
      <c r="C305" s="341"/>
      <c r="D305" s="342"/>
      <c r="E305" s="343"/>
      <c r="F305" s="342"/>
      <c r="G305" s="341"/>
      <c r="H305" s="263"/>
      <c r="I305" s="350"/>
      <c r="J305" s="358"/>
      <c r="K305" s="342">
        <v>40000</v>
      </c>
      <c r="L305" s="360" t="str">
        <f>IF(K305&lt;&gt;"",VLOOKUP(K305,ChartofAccountsTable,2,FALSE),"")</f>
        <v>Sales -Fuel Hauling</v>
      </c>
      <c r="M305" s="361"/>
      <c r="N305" s="361">
        <v>77150</v>
      </c>
      <c r="O305" s="342"/>
      <c r="P305" s="118"/>
    </row>
    <row r="306" spans="1:16" s="117" customFormat="1" ht="15" customHeight="1">
      <c r="A306" s="90"/>
      <c r="B306" s="365">
        <v>46033</v>
      </c>
      <c r="C306" s="341">
        <v>977</v>
      </c>
      <c r="D306" s="342"/>
      <c r="E306" s="343" t="s">
        <v>402</v>
      </c>
      <c r="F306" s="342"/>
      <c r="G306" s="367" t="s">
        <v>403</v>
      </c>
      <c r="H306" s="263" t="s">
        <v>149</v>
      </c>
      <c r="I306" s="350">
        <v>1</v>
      </c>
      <c r="J306" s="358" t="s">
        <v>215</v>
      </c>
      <c r="K306" s="342">
        <v>21000</v>
      </c>
      <c r="L306" s="360" t="str">
        <f>IF(K306&lt;&gt;"",VLOOKUP(K306,ChartofAccountsTable,2,FALSE),"")</f>
        <v>Unearned Revenue - DHPP</v>
      </c>
      <c r="M306" s="361">
        <v>51950</v>
      </c>
      <c r="N306" s="361"/>
      <c r="O306" s="342"/>
      <c r="P306" s="118"/>
    </row>
    <row r="307" spans="1:16" s="117" customFormat="1" ht="15" customHeight="1">
      <c r="A307" s="90"/>
      <c r="B307" s="364"/>
      <c r="C307" s="341"/>
      <c r="D307" s="342"/>
      <c r="E307" s="343"/>
      <c r="F307" s="342"/>
      <c r="G307" s="341"/>
      <c r="H307" s="263"/>
      <c r="I307" s="350"/>
      <c r="J307" s="358"/>
      <c r="K307" s="342">
        <v>40000</v>
      </c>
      <c r="L307" s="360" t="str">
        <f>IF(K307&lt;&gt;"",VLOOKUP(K307,ChartofAccountsTable,2,FALSE),"")</f>
        <v>Sales -Fuel Hauling</v>
      </c>
      <c r="M307" s="361"/>
      <c r="N307" s="361">
        <v>51950</v>
      </c>
      <c r="O307" s="342"/>
      <c r="P307" s="118"/>
    </row>
    <row r="308" spans="1:16" s="117" customFormat="1" ht="15" customHeight="1">
      <c r="A308" s="90"/>
      <c r="B308" s="365">
        <v>46033</v>
      </c>
      <c r="C308" s="341">
        <v>978</v>
      </c>
      <c r="D308" s="342"/>
      <c r="E308" s="343" t="s">
        <v>404</v>
      </c>
      <c r="F308" s="342"/>
      <c r="G308" s="341" t="s">
        <v>405</v>
      </c>
      <c r="H308" s="263" t="s">
        <v>303</v>
      </c>
      <c r="I308" s="350">
        <v>2</v>
      </c>
      <c r="J308" s="358" t="s">
        <v>215</v>
      </c>
      <c r="K308" s="342">
        <v>21000</v>
      </c>
      <c r="L308" s="360" t="str">
        <f>IF(K308&lt;&gt;"",VLOOKUP(K308,ChartofAccountsTable,2,FALSE),"")</f>
        <v>Unearned Revenue - DHPP</v>
      </c>
      <c r="M308" s="361">
        <v>103000</v>
      </c>
      <c r="N308" s="361"/>
      <c r="O308" s="342"/>
      <c r="P308" s="118"/>
    </row>
    <row r="309" spans="1:16" s="117" customFormat="1" ht="15" customHeight="1">
      <c r="A309" s="90"/>
      <c r="B309" s="364"/>
      <c r="C309" s="341"/>
      <c r="D309" s="342"/>
      <c r="E309" s="343"/>
      <c r="F309" s="342"/>
      <c r="G309" s="341"/>
      <c r="H309" s="263"/>
      <c r="I309" s="350"/>
      <c r="J309" s="358"/>
      <c r="K309" s="342">
        <v>40000</v>
      </c>
      <c r="L309" s="360" t="str">
        <f>IF(K309&lt;&gt;"",VLOOKUP(K309,ChartofAccountsTable,2,FALSE),"")</f>
        <v>Sales -Fuel Hauling</v>
      </c>
      <c r="M309" s="361"/>
      <c r="N309" s="361">
        <v>103000</v>
      </c>
      <c r="O309" s="342"/>
      <c r="P309" s="118"/>
    </row>
    <row r="310" spans="1:16" s="117" customFormat="1" ht="15" customHeight="1">
      <c r="A310" s="90"/>
      <c r="B310" s="365">
        <v>46033</v>
      </c>
      <c r="C310" s="341">
        <v>979</v>
      </c>
      <c r="D310" s="342"/>
      <c r="E310" s="343" t="s">
        <v>406</v>
      </c>
      <c r="F310" s="342"/>
      <c r="G310" s="341" t="s">
        <v>407</v>
      </c>
      <c r="H310" s="350" t="s">
        <v>182</v>
      </c>
      <c r="I310" s="350">
        <v>2</v>
      </c>
      <c r="J310" s="358" t="s">
        <v>215</v>
      </c>
      <c r="K310" s="342">
        <v>21000</v>
      </c>
      <c r="L310" s="360" t="str">
        <f>IF(K310&lt;&gt;"",VLOOKUP(K310,ChartofAccountsTable,2,FALSE),"")</f>
        <v>Unearned Revenue - DHPP</v>
      </c>
      <c r="M310" s="361">
        <v>103600</v>
      </c>
      <c r="N310" s="361"/>
      <c r="O310" s="342"/>
      <c r="P310" s="118"/>
    </row>
    <row r="311" spans="1:16" s="117" customFormat="1" ht="15" customHeight="1">
      <c r="A311" s="90"/>
      <c r="B311" s="364"/>
      <c r="C311" s="341"/>
      <c r="D311" s="342"/>
      <c r="E311" s="343"/>
      <c r="F311" s="342"/>
      <c r="G311" s="341"/>
      <c r="H311" s="350"/>
      <c r="I311" s="350"/>
      <c r="J311" s="358"/>
      <c r="K311" s="342">
        <v>40000</v>
      </c>
      <c r="L311" s="360" t="str">
        <f>IF(K311&lt;&gt;"",VLOOKUP(K311,ChartofAccountsTable,2,FALSE),"")</f>
        <v>Sales -Fuel Hauling</v>
      </c>
      <c r="M311" s="361"/>
      <c r="N311" s="361">
        <v>103600</v>
      </c>
      <c r="O311" s="342"/>
      <c r="P311" s="118"/>
    </row>
    <row r="312" spans="1:16" s="117" customFormat="1" ht="15" customHeight="1">
      <c r="A312" s="90"/>
      <c r="B312" s="365">
        <v>46033</v>
      </c>
      <c r="C312" s="341">
        <v>979</v>
      </c>
      <c r="D312" s="342"/>
      <c r="E312" s="343" t="s">
        <v>408</v>
      </c>
      <c r="F312" s="342"/>
      <c r="G312" s="341" t="s">
        <v>407</v>
      </c>
      <c r="H312" s="263" t="s">
        <v>159</v>
      </c>
      <c r="I312" s="350">
        <v>0.5</v>
      </c>
      <c r="J312" s="358" t="s">
        <v>215</v>
      </c>
      <c r="K312" s="342">
        <v>21000</v>
      </c>
      <c r="L312" s="360" t="str">
        <f>IF(K312&lt;&gt;"",VLOOKUP(K312,ChartofAccountsTable,2,FALSE),"")</f>
        <v>Unearned Revenue - DHPP</v>
      </c>
      <c r="M312" s="361">
        <v>25350</v>
      </c>
      <c r="N312" s="361"/>
      <c r="O312" s="342"/>
      <c r="P312" s="118"/>
    </row>
    <row r="313" spans="1:16" s="117" customFormat="1" ht="15" customHeight="1">
      <c r="A313" s="90"/>
      <c r="B313" s="364"/>
      <c r="C313" s="341"/>
      <c r="D313" s="342"/>
      <c r="E313" s="343"/>
      <c r="F313" s="342"/>
      <c r="G313" s="341"/>
      <c r="H313" s="263"/>
      <c r="I313" s="350"/>
      <c r="J313" s="358"/>
      <c r="K313" s="342">
        <v>21000</v>
      </c>
      <c r="L313" s="360" t="str">
        <f>IF(K313&lt;&gt;"",VLOOKUP(K313,ChartofAccountsTable,2,FALSE),"")</f>
        <v>Unearned Revenue - DHPP</v>
      </c>
      <c r="M313" s="361">
        <v>550</v>
      </c>
      <c r="N313" s="361"/>
      <c r="O313" s="344" t="s">
        <v>398</v>
      </c>
      <c r="P313" s="118"/>
    </row>
    <row r="314" spans="1:16" s="117" customFormat="1" ht="15" customHeight="1">
      <c r="A314" s="90"/>
      <c r="B314" s="364"/>
      <c r="C314" s="341"/>
      <c r="D314" s="342"/>
      <c r="E314" s="343"/>
      <c r="F314" s="342"/>
      <c r="G314" s="341"/>
      <c r="H314" s="263"/>
      <c r="I314" s="350"/>
      <c r="J314" s="358"/>
      <c r="K314" s="342">
        <v>40000</v>
      </c>
      <c r="L314" s="360" t="str">
        <f>IF(K314&lt;&gt;"",VLOOKUP(K314,ChartofAccountsTable,2,FALSE),"")</f>
        <v>Sales -Fuel Hauling</v>
      </c>
      <c r="M314" s="361"/>
      <c r="N314" s="361">
        <v>25900</v>
      </c>
      <c r="O314" s="342"/>
      <c r="P314" s="118"/>
    </row>
    <row r="315" spans="1:16" s="117" customFormat="1" ht="15" customHeight="1">
      <c r="A315" s="90"/>
      <c r="B315" s="365">
        <v>46033</v>
      </c>
      <c r="C315" s="341">
        <v>980</v>
      </c>
      <c r="D315" s="342"/>
      <c r="E315" s="343" t="s">
        <v>409</v>
      </c>
      <c r="F315" s="342"/>
      <c r="G315" s="341" t="s">
        <v>410</v>
      </c>
      <c r="H315" s="263" t="s">
        <v>359</v>
      </c>
      <c r="I315" s="350">
        <v>3</v>
      </c>
      <c r="J315" s="358" t="s">
        <v>215</v>
      </c>
      <c r="K315" s="342">
        <v>21000</v>
      </c>
      <c r="L315" s="360" t="str">
        <f>IF(K315&lt;&gt;"",VLOOKUP(K315,ChartofAccountsTable,2,FALSE),"")</f>
        <v>Unearned Revenue - DHPP</v>
      </c>
      <c r="M315" s="361">
        <v>152350</v>
      </c>
      <c r="N315" s="361"/>
      <c r="O315" s="342"/>
      <c r="P315" s="118"/>
    </row>
    <row r="316" spans="1:16" s="117" customFormat="1" ht="15" customHeight="1">
      <c r="A316" s="90"/>
      <c r="B316" s="364"/>
      <c r="C316" s="341"/>
      <c r="D316" s="342"/>
      <c r="E316" s="343"/>
      <c r="F316" s="342"/>
      <c r="G316" s="341"/>
      <c r="H316" s="263"/>
      <c r="I316" s="350"/>
      <c r="J316" s="358"/>
      <c r="K316" s="342">
        <v>40000</v>
      </c>
      <c r="L316" s="360" t="str">
        <f>IF(K316&lt;&gt;"",VLOOKUP(K316,ChartofAccountsTable,2,FALSE),"")</f>
        <v>Sales -Fuel Hauling</v>
      </c>
      <c r="M316" s="361"/>
      <c r="N316" s="361">
        <v>152350</v>
      </c>
      <c r="O316" s="342"/>
      <c r="P316" s="118"/>
    </row>
    <row r="317" spans="1:16" s="117" customFormat="1" ht="15" customHeight="1">
      <c r="A317" s="90"/>
      <c r="B317" s="365">
        <v>46033</v>
      </c>
      <c r="C317" s="341">
        <v>982</v>
      </c>
      <c r="D317" s="342"/>
      <c r="E317" s="343" t="s">
        <v>411</v>
      </c>
      <c r="F317" s="342"/>
      <c r="G317" s="341" t="s">
        <v>412</v>
      </c>
      <c r="H317" s="263" t="s">
        <v>149</v>
      </c>
      <c r="I317" s="350">
        <v>1</v>
      </c>
      <c r="J317" s="358" t="s">
        <v>215</v>
      </c>
      <c r="K317" s="342">
        <v>21000</v>
      </c>
      <c r="L317" s="360" t="str">
        <f>IF(K317&lt;&gt;"",VLOOKUP(K317,ChartofAccountsTable,2,FALSE),"")</f>
        <v>Unearned Revenue - DHPP</v>
      </c>
      <c r="M317" s="361">
        <v>51900</v>
      </c>
      <c r="N317" s="361"/>
      <c r="O317" s="342"/>
      <c r="P317" s="118"/>
    </row>
    <row r="318" spans="1:16" s="117" customFormat="1" ht="15" customHeight="1">
      <c r="A318" s="90"/>
      <c r="B318" s="370"/>
      <c r="C318" s="371"/>
      <c r="D318" s="352"/>
      <c r="E318" s="343"/>
      <c r="F318" s="352"/>
      <c r="G318" s="371"/>
      <c r="H318" s="263"/>
      <c r="I318" s="350"/>
      <c r="J318" s="358"/>
      <c r="K318" s="352">
        <v>40000</v>
      </c>
      <c r="L318" s="360" t="str">
        <f>IF(K318&lt;&gt;"",VLOOKUP(K318,ChartofAccountsTable,2,FALSE),"")</f>
        <v>Sales -Fuel Hauling</v>
      </c>
      <c r="M318" s="378"/>
      <c r="N318" s="378">
        <v>51900</v>
      </c>
      <c r="O318" s="352"/>
      <c r="P318" s="118"/>
    </row>
    <row r="319" spans="1:16" s="117" customFormat="1" ht="15" customHeight="1">
      <c r="A319" s="90"/>
      <c r="B319" s="372">
        <v>46033</v>
      </c>
      <c r="C319" s="371">
        <v>981</v>
      </c>
      <c r="D319" s="352"/>
      <c r="E319" s="343" t="s">
        <v>413</v>
      </c>
      <c r="F319" s="352"/>
      <c r="G319" s="371" t="s">
        <v>414</v>
      </c>
      <c r="H319" s="263" t="s">
        <v>182</v>
      </c>
      <c r="I319" s="350">
        <v>2</v>
      </c>
      <c r="J319" s="358" t="s">
        <v>215</v>
      </c>
      <c r="K319" s="352">
        <v>21000</v>
      </c>
      <c r="L319" s="360" t="str">
        <f>IF(K319&lt;&gt;"",VLOOKUP(K319,ChartofAccountsTable,2,FALSE),"")</f>
        <v>Unearned Revenue - DHPP</v>
      </c>
      <c r="M319" s="378">
        <v>104500</v>
      </c>
      <c r="N319" s="378"/>
      <c r="O319" s="352"/>
      <c r="P319" s="118"/>
    </row>
    <row r="320" spans="1:16" s="117" customFormat="1" ht="15" customHeight="1">
      <c r="A320" s="90"/>
      <c r="B320" s="370"/>
      <c r="C320" s="371"/>
      <c r="D320" s="352"/>
      <c r="E320" s="343"/>
      <c r="F320" s="352"/>
      <c r="G320" s="371"/>
      <c r="H320" s="263"/>
      <c r="I320" s="350"/>
      <c r="J320" s="358"/>
      <c r="K320" s="352">
        <v>40000</v>
      </c>
      <c r="L320" s="360" t="str">
        <f>IF(K320&lt;&gt;"",VLOOKUP(K320,ChartofAccountsTable,2,FALSE),"")</f>
        <v>Sales -Fuel Hauling</v>
      </c>
      <c r="M320" s="378"/>
      <c r="N320" s="378">
        <v>104500</v>
      </c>
      <c r="O320" s="352"/>
      <c r="P320" s="118"/>
    </row>
    <row r="321" spans="1:16" s="117" customFormat="1" ht="15" customHeight="1">
      <c r="A321" s="90"/>
      <c r="B321" s="365">
        <v>46029</v>
      </c>
      <c r="C321" s="341">
        <v>514</v>
      </c>
      <c r="D321" s="342"/>
      <c r="E321" s="343" t="s">
        <v>415</v>
      </c>
      <c r="F321" s="342"/>
      <c r="G321" s="341" t="s">
        <v>158</v>
      </c>
      <c r="H321" s="263" t="s">
        <v>416</v>
      </c>
      <c r="I321" s="263">
        <v>4</v>
      </c>
      <c r="J321" s="358" t="s">
        <v>250</v>
      </c>
      <c r="K321" s="357">
        <v>12030</v>
      </c>
      <c r="L321" s="360" t="str">
        <f>IF(K321&lt;&gt;"",VLOOKUP(K321,ChartofAccountsTable,2,FALSE),"")</f>
        <v>A/Receivables - Fuel Clients</v>
      </c>
      <c r="M321" s="381">
        <v>195050</v>
      </c>
      <c r="N321" s="381"/>
      <c r="O321" s="357"/>
      <c r="P321" s="118"/>
    </row>
    <row r="322" spans="1:16" s="117" customFormat="1" ht="15" customHeight="1">
      <c r="A322" s="90"/>
      <c r="B322" s="364"/>
      <c r="C322" s="341"/>
      <c r="D322" s="342"/>
      <c r="E322" s="343"/>
      <c r="F322" s="342"/>
      <c r="G322" s="341"/>
      <c r="H322" s="263"/>
      <c r="I322" s="350"/>
      <c r="J322" s="358"/>
      <c r="K322" s="342">
        <v>40000</v>
      </c>
      <c r="L322" s="360" t="str">
        <f>IF(K322&lt;&gt;"",VLOOKUP(K322,ChartofAccountsTable,2,FALSE),"")</f>
        <v>Sales -Fuel Hauling</v>
      </c>
      <c r="M322" s="361"/>
      <c r="N322" s="361">
        <v>195050</v>
      </c>
      <c r="O322" s="342"/>
      <c r="P322" s="118"/>
    </row>
    <row r="323" spans="1:16" s="117" customFormat="1" ht="15" customHeight="1">
      <c r="A323" s="90"/>
      <c r="B323" s="365">
        <v>46029</v>
      </c>
      <c r="C323" s="341">
        <v>515</v>
      </c>
      <c r="D323" s="342"/>
      <c r="E323" s="343" t="s">
        <v>417</v>
      </c>
      <c r="F323" s="342"/>
      <c r="G323" s="341" t="s">
        <v>197</v>
      </c>
      <c r="H323" s="263" t="s">
        <v>149</v>
      </c>
      <c r="I323" s="350">
        <v>1</v>
      </c>
      <c r="J323" s="358" t="s">
        <v>250</v>
      </c>
      <c r="K323" s="342">
        <v>21000</v>
      </c>
      <c r="L323" s="360" t="str">
        <f>IF(K323&lt;&gt;"",VLOOKUP(K323,ChartofAccountsTable,2,FALSE),"")</f>
        <v>Unearned Revenue - DHPP</v>
      </c>
      <c r="M323" s="361">
        <v>51750</v>
      </c>
      <c r="N323" s="361"/>
      <c r="O323" s="342"/>
      <c r="P323" s="118"/>
    </row>
    <row r="324" spans="1:16" s="117" customFormat="1" ht="15" customHeight="1">
      <c r="A324" s="90"/>
      <c r="B324" s="364"/>
      <c r="C324" s="341"/>
      <c r="D324" s="342"/>
      <c r="E324" s="343"/>
      <c r="F324" s="342"/>
      <c r="G324" s="341"/>
      <c r="H324" s="263"/>
      <c r="I324" s="350"/>
      <c r="J324" s="358"/>
      <c r="K324" s="342">
        <v>40000</v>
      </c>
      <c r="L324" s="360" t="str">
        <f>IF(K324&lt;&gt;"",VLOOKUP(K324,ChartofAccountsTable,2,FALSE),"")</f>
        <v>Sales -Fuel Hauling</v>
      </c>
      <c r="M324" s="361"/>
      <c r="N324" s="361">
        <v>51750</v>
      </c>
      <c r="O324" s="342"/>
      <c r="P324" s="118"/>
    </row>
    <row r="325" spans="1:16" s="117" customFormat="1" ht="15" customHeight="1">
      <c r="A325" s="90"/>
      <c r="B325" s="365">
        <v>46029</v>
      </c>
      <c r="C325" s="341">
        <v>516</v>
      </c>
      <c r="D325" s="342"/>
      <c r="E325" s="343" t="s">
        <v>418</v>
      </c>
      <c r="F325" s="342"/>
      <c r="G325" s="341" t="s">
        <v>214</v>
      </c>
      <c r="H325" s="263" t="s">
        <v>185</v>
      </c>
      <c r="I325" s="350">
        <v>1.5</v>
      </c>
      <c r="J325" s="358" t="s">
        <v>250</v>
      </c>
      <c r="K325" s="342">
        <v>21000</v>
      </c>
      <c r="L325" s="360" t="str">
        <f>IF(K325&lt;&gt;"",VLOOKUP(K325,ChartofAccountsTable,2,FALSE),"")</f>
        <v>Unearned Revenue - DHPP</v>
      </c>
      <c r="M325" s="361">
        <v>76600</v>
      </c>
      <c r="N325" s="361"/>
      <c r="O325" s="342"/>
      <c r="P325" s="118"/>
    </row>
    <row r="326" spans="1:16" s="117" customFormat="1" ht="15" customHeight="1">
      <c r="A326" s="90"/>
      <c r="B326" s="364"/>
      <c r="C326" s="341"/>
      <c r="D326" s="342"/>
      <c r="E326" s="343"/>
      <c r="F326" s="342"/>
      <c r="G326" s="341"/>
      <c r="H326" s="263"/>
      <c r="I326" s="350"/>
      <c r="J326" s="358"/>
      <c r="K326" s="342">
        <v>40000</v>
      </c>
      <c r="L326" s="360" t="str">
        <f>IF(K326&lt;&gt;"",VLOOKUP(K326,ChartofAccountsTable,2,FALSE),"")</f>
        <v>Sales -Fuel Hauling</v>
      </c>
      <c r="M326" s="361"/>
      <c r="N326" s="361">
        <v>76600</v>
      </c>
      <c r="O326" s="342"/>
      <c r="P326" s="118"/>
    </row>
    <row r="327" spans="1:16" s="117" customFormat="1" ht="15" customHeight="1">
      <c r="A327" s="90"/>
      <c r="B327" s="365">
        <v>46029</v>
      </c>
      <c r="C327" s="341">
        <v>517</v>
      </c>
      <c r="D327" s="342"/>
      <c r="E327" s="220" t="s">
        <v>419</v>
      </c>
      <c r="F327" s="342"/>
      <c r="G327" s="341" t="s">
        <v>420</v>
      </c>
      <c r="H327" s="263" t="s">
        <v>159</v>
      </c>
      <c r="I327" s="263">
        <v>0.5</v>
      </c>
      <c r="J327" s="358" t="s">
        <v>250</v>
      </c>
      <c r="K327" s="342">
        <v>21000</v>
      </c>
      <c r="L327" s="360" t="str">
        <f>IF(K327&lt;&gt;"",VLOOKUP(K327,ChartofAccountsTable,2,FALSE),"")</f>
        <v>Unearned Revenue - DHPP</v>
      </c>
      <c r="M327" s="361">
        <v>25650</v>
      </c>
      <c r="N327" s="361"/>
      <c r="O327" s="342"/>
      <c r="P327" s="118"/>
    </row>
    <row r="328" spans="1:16" s="117" customFormat="1" ht="15" customHeight="1">
      <c r="A328" s="90"/>
      <c r="B328" s="364"/>
      <c r="C328" s="341"/>
      <c r="D328" s="342"/>
      <c r="E328" s="220"/>
      <c r="F328" s="342"/>
      <c r="G328" s="341"/>
      <c r="H328" s="263"/>
      <c r="I328" s="263"/>
      <c r="J328" s="358"/>
      <c r="K328" s="342">
        <v>40000</v>
      </c>
      <c r="L328" s="360" t="str">
        <f>IF(K328&lt;&gt;"",VLOOKUP(K328,ChartofAccountsTable,2,FALSE),"")</f>
        <v>Sales -Fuel Hauling</v>
      </c>
      <c r="M328" s="361"/>
      <c r="N328" s="361">
        <v>25650</v>
      </c>
      <c r="O328" s="342"/>
      <c r="P328" s="118"/>
    </row>
    <row r="329" spans="1:16" s="117" customFormat="1" ht="15" customHeight="1">
      <c r="A329" s="90"/>
      <c r="B329" s="365">
        <v>46029</v>
      </c>
      <c r="C329" s="341">
        <v>517</v>
      </c>
      <c r="D329" s="342"/>
      <c r="E329" s="343" t="s">
        <v>421</v>
      </c>
      <c r="F329" s="342"/>
      <c r="G329" s="341" t="s">
        <v>420</v>
      </c>
      <c r="H329" s="263" t="s">
        <v>185</v>
      </c>
      <c r="I329" s="263">
        <v>1.5</v>
      </c>
      <c r="J329" s="358" t="s">
        <v>250</v>
      </c>
      <c r="K329" s="342">
        <v>21000</v>
      </c>
      <c r="L329" s="360" t="str">
        <f>IF(K329&lt;&gt;"",VLOOKUP(K329,ChartofAccountsTable,2,FALSE),"")</f>
        <v>Unearned Revenue - DHPP</v>
      </c>
      <c r="M329" s="361">
        <v>76575</v>
      </c>
      <c r="N329" s="361"/>
      <c r="O329" s="342"/>
      <c r="P329" s="118"/>
    </row>
    <row r="330" spans="1:16" s="117" customFormat="1" ht="15" customHeight="1">
      <c r="A330" s="90"/>
      <c r="B330" s="364"/>
      <c r="C330" s="341"/>
      <c r="D330" s="342"/>
      <c r="E330" s="343"/>
      <c r="F330" s="342"/>
      <c r="G330" s="341"/>
      <c r="H330" s="263"/>
      <c r="I330" s="263"/>
      <c r="J330" s="358"/>
      <c r="K330" s="342">
        <v>40000</v>
      </c>
      <c r="L330" s="360" t="str">
        <f>IF(K330&lt;&gt;"",VLOOKUP(K330,ChartofAccountsTable,2,FALSE),"")</f>
        <v>Sales -Fuel Hauling</v>
      </c>
      <c r="M330" s="361"/>
      <c r="N330" s="361">
        <v>76575</v>
      </c>
      <c r="O330" s="342"/>
      <c r="P330" s="118"/>
    </row>
    <row r="331" spans="1:16" s="117" customFormat="1" ht="15" customHeight="1">
      <c r="A331" s="90"/>
      <c r="B331" s="365">
        <v>46033</v>
      </c>
      <c r="C331" s="341">
        <v>524</v>
      </c>
      <c r="D331" s="342"/>
      <c r="E331" s="343" t="s">
        <v>422</v>
      </c>
      <c r="F331" s="342"/>
      <c r="G331" s="341" t="s">
        <v>363</v>
      </c>
      <c r="H331" s="263" t="s">
        <v>303</v>
      </c>
      <c r="I331" s="263">
        <v>2</v>
      </c>
      <c r="J331" s="358" t="s">
        <v>250</v>
      </c>
      <c r="K331" s="342">
        <v>21000</v>
      </c>
      <c r="L331" s="360" t="str">
        <f>IF(K331&lt;&gt;"",VLOOKUP(K331,ChartofAccountsTable,2,FALSE),"")</f>
        <v>Unearned Revenue - DHPP</v>
      </c>
      <c r="M331" s="361">
        <v>101600</v>
      </c>
      <c r="N331" s="361"/>
      <c r="O331" s="342"/>
      <c r="P331" s="118"/>
    </row>
    <row r="332" spans="1:16" s="117" customFormat="1" ht="15" customHeight="1">
      <c r="A332" s="90"/>
      <c r="B332" s="364"/>
      <c r="C332" s="341"/>
      <c r="D332" s="342"/>
      <c r="E332" s="343"/>
      <c r="F332" s="342"/>
      <c r="G332" s="341"/>
      <c r="H332" s="263"/>
      <c r="I332" s="263"/>
      <c r="J332" s="358"/>
      <c r="K332" s="342">
        <v>40000</v>
      </c>
      <c r="L332" s="360" t="str">
        <f>IF(K332&lt;&gt;"",VLOOKUP(K332,ChartofAccountsTable,2,FALSE),"")</f>
        <v>Sales -Fuel Hauling</v>
      </c>
      <c r="M332" s="361"/>
      <c r="N332" s="361">
        <v>101600</v>
      </c>
      <c r="O332" s="342"/>
      <c r="P332" s="118"/>
    </row>
    <row r="333" spans="1:16" s="117" customFormat="1" ht="15" customHeight="1">
      <c r="A333" s="90"/>
      <c r="B333" s="365">
        <v>46033</v>
      </c>
      <c r="C333" s="341">
        <v>526</v>
      </c>
      <c r="D333" s="342"/>
      <c r="E333" s="343" t="s">
        <v>423</v>
      </c>
      <c r="F333" s="342"/>
      <c r="G333" s="341" t="s">
        <v>424</v>
      </c>
      <c r="H333" s="263" t="s">
        <v>425</v>
      </c>
      <c r="I333" s="263">
        <v>6</v>
      </c>
      <c r="J333" s="358" t="s">
        <v>250</v>
      </c>
      <c r="K333" s="342">
        <v>21000</v>
      </c>
      <c r="L333" s="360" t="str">
        <f>IF(K333&lt;&gt;"",VLOOKUP(K333,ChartofAccountsTable,2,FALSE),"")</f>
        <v>Unearned Revenue - DHPP</v>
      </c>
      <c r="M333" s="361">
        <v>303800</v>
      </c>
      <c r="N333" s="361"/>
      <c r="O333" s="342"/>
      <c r="P333" s="118"/>
    </row>
    <row r="334" spans="1:16" s="117" customFormat="1" ht="15" customHeight="1">
      <c r="A334" s="90"/>
      <c r="B334" s="364"/>
      <c r="C334" s="341"/>
      <c r="D334" s="342"/>
      <c r="E334" s="343"/>
      <c r="F334" s="342"/>
      <c r="G334" s="341"/>
      <c r="H334" s="263"/>
      <c r="I334" s="263"/>
      <c r="J334" s="358"/>
      <c r="K334" s="342">
        <v>40000</v>
      </c>
      <c r="L334" s="360" t="str">
        <f>IF(K334&lt;&gt;"",VLOOKUP(K334,ChartofAccountsTable,2,FALSE),"")</f>
        <v>Sales -Fuel Hauling</v>
      </c>
      <c r="M334" s="361"/>
      <c r="N334" s="361">
        <v>303800</v>
      </c>
      <c r="O334" s="342"/>
      <c r="P334" s="118"/>
    </row>
    <row r="335" spans="1:16" s="117" customFormat="1" ht="15" customHeight="1">
      <c r="A335" s="90"/>
      <c r="B335" s="365">
        <v>46033</v>
      </c>
      <c r="C335" s="341">
        <v>527</v>
      </c>
      <c r="D335" s="342"/>
      <c r="E335" s="343" t="s">
        <v>426</v>
      </c>
      <c r="F335" s="342"/>
      <c r="G335" s="341" t="s">
        <v>254</v>
      </c>
      <c r="H335" s="263" t="s">
        <v>182</v>
      </c>
      <c r="I335" s="263">
        <v>2</v>
      </c>
      <c r="J335" s="358" t="s">
        <v>250</v>
      </c>
      <c r="K335" s="342">
        <v>21000</v>
      </c>
      <c r="L335" s="360" t="str">
        <f>IF(K335&lt;&gt;"",VLOOKUP(K335,ChartofAccountsTable,2,FALSE),"")</f>
        <v>Unearned Revenue - DHPP</v>
      </c>
      <c r="M335" s="361">
        <v>103700</v>
      </c>
      <c r="N335" s="361"/>
      <c r="O335" s="342"/>
      <c r="P335" s="118"/>
    </row>
    <row r="336" spans="1:16" s="117" customFormat="1" ht="15" customHeight="1">
      <c r="A336" s="90"/>
      <c r="B336" s="364"/>
      <c r="C336" s="341"/>
      <c r="D336" s="342"/>
      <c r="E336" s="343"/>
      <c r="F336" s="342"/>
      <c r="G336" s="341"/>
      <c r="H336" s="263"/>
      <c r="I336" s="263"/>
      <c r="J336" s="358"/>
      <c r="K336" s="342">
        <v>40000</v>
      </c>
      <c r="L336" s="360" t="str">
        <f>IF(K336&lt;&gt;"",VLOOKUP(K336,ChartofAccountsTable,2,FALSE),"")</f>
        <v>Sales -Fuel Hauling</v>
      </c>
      <c r="M336" s="361"/>
      <c r="N336" s="361">
        <v>103700</v>
      </c>
      <c r="O336" s="342"/>
      <c r="P336" s="118"/>
    </row>
    <row r="337" spans="1:16" s="117" customFormat="1" ht="15" customHeight="1">
      <c r="A337" s="90"/>
      <c r="B337" s="365">
        <v>46033</v>
      </c>
      <c r="C337" s="341">
        <v>528</v>
      </c>
      <c r="D337" s="342"/>
      <c r="E337" s="343" t="s">
        <v>427</v>
      </c>
      <c r="F337" s="342"/>
      <c r="G337" s="341" t="s">
        <v>428</v>
      </c>
      <c r="H337" s="263" t="s">
        <v>429</v>
      </c>
      <c r="I337" s="263">
        <v>4</v>
      </c>
      <c r="J337" s="358" t="s">
        <v>250</v>
      </c>
      <c r="K337" s="342">
        <v>21000</v>
      </c>
      <c r="L337" s="360" t="str">
        <f>IF(K337&lt;&gt;"",VLOOKUP(K337,ChartofAccountsTable,2,FALSE),"")</f>
        <v>Unearned Revenue - DHPP</v>
      </c>
      <c r="M337" s="361">
        <v>204650</v>
      </c>
      <c r="N337" s="361"/>
      <c r="O337" s="342"/>
      <c r="P337" s="118"/>
    </row>
    <row r="338" spans="1:16" s="117" customFormat="1" ht="15" customHeight="1">
      <c r="A338" s="90"/>
      <c r="B338" s="364"/>
      <c r="C338" s="341"/>
      <c r="D338" s="342"/>
      <c r="E338" s="343"/>
      <c r="F338" s="342"/>
      <c r="G338" s="341"/>
      <c r="H338" s="263"/>
      <c r="I338" s="263"/>
      <c r="J338" s="358"/>
      <c r="K338" s="342">
        <v>40000</v>
      </c>
      <c r="L338" s="360" t="str">
        <f>IF(K338&lt;&gt;"",VLOOKUP(K338,ChartofAccountsTable,2,FALSE),"")</f>
        <v>Sales -Fuel Hauling</v>
      </c>
      <c r="M338" s="361"/>
      <c r="N338" s="361">
        <v>204650</v>
      </c>
      <c r="O338" s="342"/>
      <c r="P338" s="118"/>
    </row>
    <row r="339" spans="1:16" s="117" customFormat="1" ht="15" customHeight="1">
      <c r="A339" s="90"/>
      <c r="B339" s="365">
        <v>46033</v>
      </c>
      <c r="C339" s="341">
        <v>529</v>
      </c>
      <c r="D339" s="342"/>
      <c r="E339" s="343" t="s">
        <v>430</v>
      </c>
      <c r="F339" s="342"/>
      <c r="G339" s="341" t="s">
        <v>260</v>
      </c>
      <c r="H339" s="263" t="s">
        <v>149</v>
      </c>
      <c r="I339" s="263">
        <v>1</v>
      </c>
      <c r="J339" s="358" t="s">
        <v>250</v>
      </c>
      <c r="K339" s="342">
        <v>21000</v>
      </c>
      <c r="L339" s="360" t="str">
        <f>IF(K339&lt;&gt;"",VLOOKUP(K339,ChartofAccountsTable,2,FALSE),"")</f>
        <v>Unearned Revenue - DHPP</v>
      </c>
      <c r="M339" s="361">
        <v>51300</v>
      </c>
      <c r="N339" s="361"/>
      <c r="O339" s="342"/>
      <c r="P339" s="118"/>
    </row>
    <row r="340" spans="1:16" s="117" customFormat="1" ht="15" customHeight="1">
      <c r="A340" s="90"/>
      <c r="B340" s="364"/>
      <c r="C340" s="341"/>
      <c r="D340" s="342"/>
      <c r="E340" s="343"/>
      <c r="F340" s="342"/>
      <c r="G340" s="341"/>
      <c r="H340" s="263"/>
      <c r="I340" s="263"/>
      <c r="J340" s="358"/>
      <c r="K340" s="342">
        <v>40000</v>
      </c>
      <c r="L340" s="360" t="str">
        <f>IF(K340&lt;&gt;"",VLOOKUP(K340,ChartofAccountsTable,2,FALSE),"")</f>
        <v>Sales -Fuel Hauling</v>
      </c>
      <c r="M340" s="361"/>
      <c r="N340" s="361">
        <v>51300</v>
      </c>
      <c r="O340" s="342"/>
      <c r="P340" s="118"/>
    </row>
    <row r="341" spans="1:16" s="117" customFormat="1" ht="15" customHeight="1">
      <c r="A341" s="90"/>
      <c r="B341" s="365">
        <v>46034</v>
      </c>
      <c r="C341" s="341">
        <v>532</v>
      </c>
      <c r="D341" s="342"/>
      <c r="E341" s="343" t="s">
        <v>431</v>
      </c>
      <c r="F341" s="342"/>
      <c r="G341" s="341" t="s">
        <v>258</v>
      </c>
      <c r="H341" s="263" t="s">
        <v>149</v>
      </c>
      <c r="I341" s="263">
        <v>1</v>
      </c>
      <c r="J341" s="358" t="s">
        <v>250</v>
      </c>
      <c r="K341" s="342">
        <v>21000</v>
      </c>
      <c r="L341" s="360" t="str">
        <f>IF(K341&lt;&gt;"",VLOOKUP(K341,ChartofAccountsTable,2,FALSE),"")</f>
        <v>Unearned Revenue - DHPP</v>
      </c>
      <c r="M341" s="361">
        <v>51300</v>
      </c>
      <c r="N341" s="361"/>
      <c r="O341" s="342" t="s">
        <v>432</v>
      </c>
      <c r="P341" s="118"/>
    </row>
    <row r="342" spans="1:16" s="117" customFormat="1" ht="15" customHeight="1">
      <c r="A342" s="90"/>
      <c r="B342" s="364"/>
      <c r="C342" s="341"/>
      <c r="D342" s="342"/>
      <c r="E342" s="343"/>
      <c r="F342" s="342"/>
      <c r="G342" s="341"/>
      <c r="H342" s="263"/>
      <c r="I342" s="263"/>
      <c r="J342" s="358"/>
      <c r="K342" s="342">
        <v>40000</v>
      </c>
      <c r="L342" s="360" t="str">
        <f>IF(K342&lt;&gt;"",VLOOKUP(K342,ChartofAccountsTable,2,FALSE),"")</f>
        <v>Sales -Fuel Hauling</v>
      </c>
      <c r="M342" s="361"/>
      <c r="N342" s="361">
        <v>51300</v>
      </c>
      <c r="O342" s="342"/>
      <c r="P342" s="118"/>
    </row>
    <row r="343" spans="1:16" s="117" customFormat="1" ht="15" customHeight="1">
      <c r="A343" s="90"/>
      <c r="B343" s="365">
        <v>46034</v>
      </c>
      <c r="C343" s="341">
        <v>531</v>
      </c>
      <c r="D343" s="342"/>
      <c r="E343" s="343" t="s">
        <v>433</v>
      </c>
      <c r="F343" s="342"/>
      <c r="G343" s="341" t="s">
        <v>434</v>
      </c>
      <c r="H343" s="263" t="s">
        <v>182</v>
      </c>
      <c r="I343" s="263">
        <v>2</v>
      </c>
      <c r="J343" s="358" t="s">
        <v>250</v>
      </c>
      <c r="K343" s="342">
        <v>21000</v>
      </c>
      <c r="L343" s="360" t="str">
        <f>IF(K343&lt;&gt;"",VLOOKUP(K343,ChartofAccountsTable,2,FALSE),"")</f>
        <v>Unearned Revenue - DHPP</v>
      </c>
      <c r="M343" s="361">
        <v>100000</v>
      </c>
      <c r="N343" s="361"/>
      <c r="O343" s="342"/>
      <c r="P343" s="118"/>
    </row>
    <row r="344" spans="1:16" s="117" customFormat="1" ht="15" customHeight="1">
      <c r="A344" s="90"/>
      <c r="B344" s="364"/>
      <c r="C344" s="341"/>
      <c r="D344" s="342"/>
      <c r="E344" s="343"/>
      <c r="F344" s="342"/>
      <c r="G344" s="341"/>
      <c r="H344" s="263"/>
      <c r="I344" s="263"/>
      <c r="J344" s="358"/>
      <c r="K344" s="342">
        <v>12030</v>
      </c>
      <c r="L344" s="360" t="str">
        <f>IF(K344&lt;&gt;"",VLOOKUP(K344,ChartofAccountsTable,2,FALSE),"")</f>
        <v>A/Receivables - Fuel Clients</v>
      </c>
      <c r="M344" s="361">
        <v>2600</v>
      </c>
      <c r="N344" s="361"/>
      <c r="O344" s="342"/>
      <c r="P344" s="118"/>
    </row>
    <row r="345" spans="1:16" s="117" customFormat="1" ht="15" customHeight="1">
      <c r="A345" s="90"/>
      <c r="B345" s="364"/>
      <c r="C345" s="341"/>
      <c r="D345" s="342"/>
      <c r="E345" s="343"/>
      <c r="F345" s="342"/>
      <c r="G345" s="341"/>
      <c r="H345" s="263"/>
      <c r="I345" s="263"/>
      <c r="J345" s="358"/>
      <c r="K345" s="342">
        <v>40000</v>
      </c>
      <c r="L345" s="360" t="str">
        <f>IF(K345&lt;&gt;"",VLOOKUP(K345,ChartofAccountsTable,2,FALSE),"")</f>
        <v>Sales -Fuel Hauling</v>
      </c>
      <c r="M345" s="361"/>
      <c r="N345" s="361">
        <v>102600</v>
      </c>
      <c r="O345" s="342"/>
      <c r="P345" s="118"/>
    </row>
    <row r="346" spans="1:16" s="117" customFormat="1" ht="15" customHeight="1">
      <c r="A346" s="90"/>
      <c r="B346" s="365">
        <v>46034</v>
      </c>
      <c r="C346" s="341">
        <v>530</v>
      </c>
      <c r="D346" s="342"/>
      <c r="E346" s="343" t="s">
        <v>435</v>
      </c>
      <c r="F346" s="342"/>
      <c r="G346" s="341" t="s">
        <v>274</v>
      </c>
      <c r="H346" s="263" t="s">
        <v>182</v>
      </c>
      <c r="I346" s="263">
        <v>2</v>
      </c>
      <c r="J346" s="358" t="s">
        <v>250</v>
      </c>
      <c r="K346" s="342">
        <v>21000</v>
      </c>
      <c r="L346" s="360" t="str">
        <f>IF(K346&lt;&gt;"",VLOOKUP(K346,ChartofAccountsTable,2,FALSE),"")</f>
        <v>Unearned Revenue - DHPP</v>
      </c>
      <c r="M346" s="361">
        <v>102400</v>
      </c>
      <c r="N346" s="361"/>
      <c r="O346" s="342"/>
      <c r="P346" s="118"/>
    </row>
    <row r="347" spans="1:16" s="117" customFormat="1" ht="15" customHeight="1">
      <c r="A347" s="90"/>
      <c r="B347" s="364"/>
      <c r="C347" s="341"/>
      <c r="D347" s="342"/>
      <c r="E347" s="343"/>
      <c r="F347" s="342"/>
      <c r="G347" s="341"/>
      <c r="H347" s="263"/>
      <c r="I347" s="263"/>
      <c r="J347" s="358"/>
      <c r="K347" s="342">
        <v>12030</v>
      </c>
      <c r="L347" s="360" t="str">
        <f>IF(K347&lt;&gt;"",VLOOKUP(K347,ChartofAccountsTable,2,FALSE),"")</f>
        <v>A/Receivables - Fuel Clients</v>
      </c>
      <c r="M347" s="361">
        <v>1100</v>
      </c>
      <c r="N347" s="361"/>
      <c r="O347" s="342"/>
      <c r="P347" s="118"/>
    </row>
    <row r="348" spans="1:16" s="117" customFormat="1" ht="15" customHeight="1">
      <c r="A348" s="90"/>
      <c r="B348" s="364"/>
      <c r="C348" s="341"/>
      <c r="D348" s="342"/>
      <c r="E348" s="343"/>
      <c r="F348" s="342"/>
      <c r="G348" s="341"/>
      <c r="H348" s="263"/>
      <c r="I348" s="263"/>
      <c r="J348" s="358"/>
      <c r="K348" s="342">
        <v>40000</v>
      </c>
      <c r="L348" s="360" t="str">
        <f>IF(K348&lt;&gt;"",VLOOKUP(K348,ChartofAccountsTable,2,FALSE),"")</f>
        <v>Sales -Fuel Hauling</v>
      </c>
      <c r="M348" s="361"/>
      <c r="N348" s="361">
        <v>103500</v>
      </c>
      <c r="O348" s="342"/>
      <c r="P348" s="118"/>
    </row>
    <row r="349" spans="1:16" s="117" customFormat="1" ht="15" customHeight="1">
      <c r="A349" s="90"/>
      <c r="B349" s="365">
        <v>46034</v>
      </c>
      <c r="C349" s="373" t="s">
        <v>436</v>
      </c>
      <c r="D349" s="342"/>
      <c r="E349" s="343" t="s">
        <v>437</v>
      </c>
      <c r="F349" s="342"/>
      <c r="G349" s="341" t="s">
        <v>438</v>
      </c>
      <c r="H349" s="263" t="s">
        <v>439</v>
      </c>
      <c r="I349" s="263">
        <v>3</v>
      </c>
      <c r="J349" s="358" t="s">
        <v>250</v>
      </c>
      <c r="K349" s="342">
        <v>21000</v>
      </c>
      <c r="L349" s="360" t="str">
        <f>IF(K349&lt;&gt;"",VLOOKUP(K349,ChartofAccountsTable,2,FALSE),"")</f>
        <v>Unearned Revenue - DHPP</v>
      </c>
      <c r="M349" s="361">
        <v>155250</v>
      </c>
      <c r="N349" s="361"/>
      <c r="O349" s="342"/>
      <c r="P349" s="118"/>
    </row>
    <row r="350" spans="1:16" s="117" customFormat="1" ht="15" customHeight="1">
      <c r="A350" s="90"/>
      <c r="B350" s="364"/>
      <c r="C350" s="373"/>
      <c r="D350" s="342"/>
      <c r="E350" s="343"/>
      <c r="F350" s="342"/>
      <c r="G350" s="341"/>
      <c r="H350" s="263"/>
      <c r="I350" s="263"/>
      <c r="J350" s="358"/>
      <c r="K350" s="342">
        <v>40000</v>
      </c>
      <c r="L350" s="360" t="str">
        <f>IF(K350&lt;&gt;"",VLOOKUP(K350,ChartofAccountsTable,2,FALSE),"")</f>
        <v>Sales -Fuel Hauling</v>
      </c>
      <c r="M350" s="361"/>
      <c r="N350" s="361">
        <v>155250</v>
      </c>
      <c r="O350" s="342"/>
      <c r="P350" s="118"/>
    </row>
    <row r="351" spans="1:16" s="117" customFormat="1" ht="15" customHeight="1">
      <c r="A351" s="90"/>
      <c r="B351" s="372">
        <v>46034</v>
      </c>
      <c r="C351" s="374">
        <v>533</v>
      </c>
      <c r="D351" s="352"/>
      <c r="E351" s="375" t="s">
        <v>440</v>
      </c>
      <c r="F351" s="352"/>
      <c r="G351" s="371" t="s">
        <v>269</v>
      </c>
      <c r="H351" s="263" t="s">
        <v>149</v>
      </c>
      <c r="I351" s="263">
        <v>1</v>
      </c>
      <c r="J351" s="376" t="s">
        <v>250</v>
      </c>
      <c r="K351" s="352">
        <v>21000</v>
      </c>
      <c r="L351" s="360" t="str">
        <f>IF(K351&lt;&gt;"",VLOOKUP(K351,ChartofAccountsTable,2,FALSE),"")</f>
        <v>Unearned Revenue - DHPP</v>
      </c>
      <c r="M351" s="378">
        <v>51750</v>
      </c>
      <c r="N351" s="378"/>
      <c r="O351" s="352"/>
      <c r="P351" s="118"/>
    </row>
    <row r="352" spans="1:16" s="117" customFormat="1" ht="15" customHeight="1">
      <c r="A352" s="90"/>
      <c r="B352" s="364"/>
      <c r="C352" s="349"/>
      <c r="D352" s="342"/>
      <c r="E352" s="377"/>
      <c r="F352" s="342"/>
      <c r="G352" s="369"/>
      <c r="H352" s="263"/>
      <c r="I352" s="263"/>
      <c r="J352" s="358"/>
      <c r="K352" s="342">
        <v>40000</v>
      </c>
      <c r="L352" s="360" t="str">
        <f>IF(K352&lt;&gt;"",VLOOKUP(K352,ChartofAccountsTable,2,FALSE),"")</f>
        <v>Sales -Fuel Hauling</v>
      </c>
      <c r="M352" s="361"/>
      <c r="N352" s="361">
        <v>51750</v>
      </c>
      <c r="O352" s="342"/>
      <c r="P352" s="118"/>
    </row>
    <row r="353" spans="1:16" s="117" customFormat="1" ht="15" customHeight="1">
      <c r="A353" s="90"/>
      <c r="B353" s="327"/>
      <c r="C353" s="274"/>
      <c r="D353" s="240"/>
      <c r="E353" s="334"/>
      <c r="F353" s="241"/>
      <c r="G353" s="188"/>
      <c r="H353" s="121"/>
      <c r="I353" s="222"/>
      <c r="J353" s="221"/>
      <c r="K353" s="89"/>
      <c r="L353" s="360" t="str">
        <f>IF(K353&lt;&gt;"",VLOOKUP(K353,ChartofAccountsTable,2,FALSE),"")</f>
        <v/>
      </c>
      <c r="M353" s="383"/>
      <c r="N353" s="379"/>
      <c r="O353" s="92"/>
      <c r="P353" s="118"/>
    </row>
    <row r="354" spans="1:16" s="117" customFormat="1" ht="15" customHeight="1">
      <c r="A354" s="90"/>
      <c r="B354" s="386">
        <v>46036</v>
      </c>
      <c r="C354" s="354">
        <v>1234</v>
      </c>
      <c r="D354" s="240"/>
      <c r="E354" s="355" t="s">
        <v>441</v>
      </c>
      <c r="F354" s="241"/>
      <c r="G354" s="354" t="s">
        <v>276</v>
      </c>
      <c r="H354" s="249" t="s">
        <v>149</v>
      </c>
      <c r="I354" s="249">
        <v>1</v>
      </c>
      <c r="J354" s="359" t="s">
        <v>150</v>
      </c>
      <c r="K354" s="89">
        <v>21000</v>
      </c>
      <c r="L354" s="360" t="str">
        <f>IF(K354&lt;&gt;"",VLOOKUP(K354,ChartofAccountsTable,2,FALSE),"")</f>
        <v>Unearned Revenue - DHPP</v>
      </c>
      <c r="M354" s="383">
        <v>51700</v>
      </c>
      <c r="N354" s="379"/>
      <c r="O354" s="92"/>
      <c r="P354" s="118"/>
    </row>
    <row r="355" spans="1:16" s="117" customFormat="1" ht="15" customHeight="1">
      <c r="A355" s="90"/>
      <c r="B355" s="386"/>
      <c r="C355" s="354"/>
      <c r="D355" s="240"/>
      <c r="E355" s="355"/>
      <c r="F355" s="241"/>
      <c r="G355" s="354"/>
      <c r="H355" s="249"/>
      <c r="I355" s="249"/>
      <c r="J355" s="359"/>
      <c r="K355" s="89">
        <v>40000</v>
      </c>
      <c r="L355" s="360" t="str">
        <f>IF(K355&lt;&gt;"",VLOOKUP(K355,ChartofAccountsTable,2,FALSE),"")</f>
        <v>Sales -Fuel Hauling</v>
      </c>
      <c r="M355" s="383"/>
      <c r="N355" s="379">
        <v>51700</v>
      </c>
      <c r="O355" s="92"/>
      <c r="P355" s="118"/>
    </row>
    <row r="356" spans="1:16" s="117" customFormat="1" ht="15" customHeight="1">
      <c r="A356" s="90"/>
      <c r="B356" s="386">
        <v>46036</v>
      </c>
      <c r="C356" s="354">
        <v>1235</v>
      </c>
      <c r="D356" s="240"/>
      <c r="E356" s="355" t="s">
        <v>442</v>
      </c>
      <c r="F356" s="241"/>
      <c r="G356" s="354" t="s">
        <v>278</v>
      </c>
      <c r="H356" s="249" t="s">
        <v>159</v>
      </c>
      <c r="I356" s="249">
        <v>0.5</v>
      </c>
      <c r="J356" s="359" t="s">
        <v>150</v>
      </c>
      <c r="K356" s="89">
        <v>21000</v>
      </c>
      <c r="L356" s="360" t="str">
        <f>IF(K356&lt;&gt;"",VLOOKUP(K356,ChartofAccountsTable,2,FALSE),"")</f>
        <v>Unearned Revenue - DHPP</v>
      </c>
      <c r="M356" s="383">
        <v>25700</v>
      </c>
      <c r="N356" s="379"/>
      <c r="O356" s="92"/>
      <c r="P356" s="118"/>
    </row>
    <row r="357" spans="1:16" s="117" customFormat="1" ht="15" customHeight="1">
      <c r="A357" s="90"/>
      <c r="B357" s="386"/>
      <c r="C357" s="354"/>
      <c r="D357" s="240"/>
      <c r="E357" s="355"/>
      <c r="F357" s="241"/>
      <c r="G357" s="354"/>
      <c r="H357" s="249"/>
      <c r="I357" s="249"/>
      <c r="J357" s="359"/>
      <c r="K357" s="89">
        <v>40000</v>
      </c>
      <c r="L357" s="360" t="str">
        <f>IF(K357&lt;&gt;"",VLOOKUP(K357,ChartofAccountsTable,2,FALSE),"")</f>
        <v>Sales -Fuel Hauling</v>
      </c>
      <c r="M357" s="383"/>
      <c r="N357" s="379">
        <v>25700</v>
      </c>
      <c r="O357" s="92"/>
      <c r="P357" s="118"/>
    </row>
    <row r="358" spans="1:16" s="117" customFormat="1" ht="15" customHeight="1">
      <c r="A358" s="90"/>
      <c r="B358" s="386">
        <v>46036</v>
      </c>
      <c r="C358" s="354">
        <v>1236</v>
      </c>
      <c r="D358" s="240"/>
      <c r="E358" s="355" t="s">
        <v>443</v>
      </c>
      <c r="F358" s="241"/>
      <c r="G358" s="354" t="s">
        <v>444</v>
      </c>
      <c r="H358" s="249" t="s">
        <v>173</v>
      </c>
      <c r="I358" s="249">
        <v>1.5</v>
      </c>
      <c r="J358" s="359" t="s">
        <v>150</v>
      </c>
      <c r="K358" s="89">
        <v>21000</v>
      </c>
      <c r="L358" s="360" t="str">
        <f>IF(K358&lt;&gt;"",VLOOKUP(K358,ChartofAccountsTable,2,FALSE),"")</f>
        <v>Unearned Revenue - DHPP</v>
      </c>
      <c r="M358" s="383">
        <v>77075</v>
      </c>
      <c r="N358" s="379"/>
      <c r="O358" s="92"/>
      <c r="P358" s="118"/>
    </row>
    <row r="359" spans="1:16" s="117" customFormat="1" ht="15" customHeight="1">
      <c r="A359" s="90"/>
      <c r="B359" s="386"/>
      <c r="C359" s="354"/>
      <c r="D359" s="240"/>
      <c r="E359" s="355"/>
      <c r="F359" s="241"/>
      <c r="G359" s="354"/>
      <c r="H359" s="249"/>
      <c r="I359" s="249"/>
      <c r="J359" s="359"/>
      <c r="K359" s="89">
        <v>21000</v>
      </c>
      <c r="L359" s="360" t="str">
        <f>IF(K359&lt;&gt;"",VLOOKUP(K359,ChartofAccountsTable,2,FALSE),"")</f>
        <v>Unearned Revenue - DHPP</v>
      </c>
      <c r="M359" s="383">
        <v>600</v>
      </c>
      <c r="N359" s="379"/>
      <c r="O359" s="92" t="s">
        <v>279</v>
      </c>
      <c r="P359" s="118"/>
    </row>
    <row r="360" spans="1:16" s="117" customFormat="1" ht="15" customHeight="1">
      <c r="A360" s="90"/>
      <c r="B360" s="386"/>
      <c r="C360" s="354"/>
      <c r="D360" s="240"/>
      <c r="E360" s="355"/>
      <c r="F360" s="241"/>
      <c r="G360" s="354"/>
      <c r="H360" s="249"/>
      <c r="I360" s="249"/>
      <c r="J360" s="359"/>
      <c r="K360" s="89">
        <v>40000</v>
      </c>
      <c r="L360" s="360" t="str">
        <f>IF(K360&lt;&gt;"",VLOOKUP(K360,ChartofAccountsTable,2,FALSE),"")</f>
        <v>Sales -Fuel Hauling</v>
      </c>
      <c r="M360" s="383"/>
      <c r="N360" s="379">
        <v>77675</v>
      </c>
      <c r="O360" s="92"/>
      <c r="P360" s="118"/>
    </row>
    <row r="361" spans="1:16" s="117" customFormat="1" ht="15" customHeight="1">
      <c r="A361" s="90"/>
      <c r="B361" s="386">
        <v>46036</v>
      </c>
      <c r="C361" s="354">
        <v>1237</v>
      </c>
      <c r="D361" s="240"/>
      <c r="E361" s="355" t="s">
        <v>445</v>
      </c>
      <c r="F361" s="241"/>
      <c r="G361" s="354" t="s">
        <v>204</v>
      </c>
      <c r="H361" s="249" t="s">
        <v>149</v>
      </c>
      <c r="I361" s="249">
        <v>1</v>
      </c>
      <c r="J361" s="359" t="s">
        <v>150</v>
      </c>
      <c r="K361" s="89">
        <v>21000</v>
      </c>
      <c r="L361" s="360" t="str">
        <f>IF(K361&lt;&gt;"",VLOOKUP(K361,ChartofAccountsTable,2,FALSE),"")</f>
        <v>Unearned Revenue - DHPP</v>
      </c>
      <c r="M361" s="383">
        <v>51800</v>
      </c>
      <c r="N361" s="379"/>
      <c r="O361" s="92"/>
      <c r="P361" s="118"/>
    </row>
    <row r="362" spans="1:16" s="117" customFormat="1" ht="15" customHeight="1">
      <c r="A362" s="90"/>
      <c r="B362" s="386"/>
      <c r="C362" s="354"/>
      <c r="D362" s="240"/>
      <c r="E362" s="355"/>
      <c r="F362" s="241"/>
      <c r="G362" s="354"/>
      <c r="H362" s="249"/>
      <c r="I362" s="249"/>
      <c r="J362" s="359"/>
      <c r="K362" s="89">
        <v>40000</v>
      </c>
      <c r="L362" s="360" t="str">
        <f>IF(K362&lt;&gt;"",VLOOKUP(K362,ChartofAccountsTable,2,FALSE),"")</f>
        <v>Sales -Fuel Hauling</v>
      </c>
      <c r="M362" s="383"/>
      <c r="N362" s="379">
        <v>51800</v>
      </c>
      <c r="O362" s="92"/>
      <c r="P362" s="118"/>
    </row>
    <row r="363" spans="1:16" s="117" customFormat="1" ht="15" customHeight="1">
      <c r="A363" s="90"/>
      <c r="B363" s="386">
        <v>46036</v>
      </c>
      <c r="C363" s="354">
        <v>1238</v>
      </c>
      <c r="D363" s="240"/>
      <c r="E363" s="355" t="s">
        <v>446</v>
      </c>
      <c r="F363" s="241"/>
      <c r="G363" s="354" t="s">
        <v>283</v>
      </c>
      <c r="H363" s="249" t="s">
        <v>192</v>
      </c>
      <c r="I363" s="249">
        <v>1</v>
      </c>
      <c r="J363" s="359" t="s">
        <v>150</v>
      </c>
      <c r="K363" s="89">
        <v>21000</v>
      </c>
      <c r="L363" s="360" t="str">
        <f>IF(K363&lt;&gt;"",VLOOKUP(K363,ChartofAccountsTable,2,FALSE),"")</f>
        <v>Unearned Revenue - DHPP</v>
      </c>
      <c r="M363" s="383">
        <v>51250</v>
      </c>
      <c r="N363" s="379"/>
      <c r="O363" s="92"/>
      <c r="P363" s="118"/>
    </row>
    <row r="364" spans="1:16" s="117" customFormat="1" ht="15" customHeight="1">
      <c r="A364" s="90"/>
      <c r="B364" s="386"/>
      <c r="C364" s="354"/>
      <c r="D364" s="240"/>
      <c r="E364" s="355"/>
      <c r="F364" s="241"/>
      <c r="G364" s="354"/>
      <c r="H364" s="249"/>
      <c r="I364" s="249"/>
      <c r="J364" s="359"/>
      <c r="K364" s="89">
        <v>40000</v>
      </c>
      <c r="L364" s="360" t="str">
        <f>IF(K364&lt;&gt;"",VLOOKUP(K364,ChartofAccountsTable,2,FALSE),"")</f>
        <v>Sales -Fuel Hauling</v>
      </c>
      <c r="M364" s="383"/>
      <c r="N364" s="379">
        <v>51250</v>
      </c>
      <c r="O364" s="92"/>
      <c r="P364" s="118"/>
    </row>
    <row r="365" spans="1:16" s="117" customFormat="1" ht="15" customHeight="1">
      <c r="A365" s="90"/>
      <c r="B365" s="387">
        <v>46037</v>
      </c>
      <c r="C365" s="354">
        <v>1239</v>
      </c>
      <c r="D365" s="240"/>
      <c r="E365" s="355" t="s">
        <v>447</v>
      </c>
      <c r="F365" s="241"/>
      <c r="G365" s="354" t="s">
        <v>158</v>
      </c>
      <c r="H365" s="249" t="s">
        <v>149</v>
      </c>
      <c r="I365" s="249">
        <v>1</v>
      </c>
      <c r="J365" s="359" t="s">
        <v>150</v>
      </c>
      <c r="K365" s="89">
        <v>12030</v>
      </c>
      <c r="L365" s="360" t="str">
        <f>IF(K365&lt;&gt;"",VLOOKUP(K365,ChartofAccountsTable,2,FALSE),"")</f>
        <v>A/Receivables - Fuel Clients</v>
      </c>
      <c r="M365" s="383">
        <v>49200</v>
      </c>
      <c r="N365" s="379"/>
      <c r="O365" s="92"/>
      <c r="P365" s="118"/>
    </row>
    <row r="366" spans="1:16" s="117" customFormat="1" ht="15" customHeight="1">
      <c r="A366" s="90"/>
      <c r="B366" s="387"/>
      <c r="C366" s="354"/>
      <c r="D366" s="240"/>
      <c r="E366" s="355"/>
      <c r="F366" s="241"/>
      <c r="G366" s="354"/>
      <c r="H366" s="249"/>
      <c r="I366" s="249"/>
      <c r="J366" s="359"/>
      <c r="K366" s="89">
        <v>40000</v>
      </c>
      <c r="L366" s="360" t="str">
        <f>IF(K366&lt;&gt;"",VLOOKUP(K366,ChartofAccountsTable,2,FALSE),"")</f>
        <v>Sales -Fuel Hauling</v>
      </c>
      <c r="M366" s="383"/>
      <c r="N366" s="379">
        <v>49200</v>
      </c>
      <c r="O366" s="92"/>
      <c r="P366" s="118"/>
    </row>
    <row r="367" spans="1:16" s="117" customFormat="1" ht="15.75" customHeight="1">
      <c r="A367" s="90"/>
      <c r="B367" s="386">
        <v>46038</v>
      </c>
      <c r="C367" s="354">
        <v>1240</v>
      </c>
      <c r="D367" s="240"/>
      <c r="E367" s="355" t="s">
        <v>448</v>
      </c>
      <c r="F367" s="241"/>
      <c r="G367" s="354" t="s">
        <v>148</v>
      </c>
      <c r="H367" s="249" t="s">
        <v>182</v>
      </c>
      <c r="I367" s="249">
        <v>2</v>
      </c>
      <c r="J367" s="359" t="s">
        <v>150</v>
      </c>
      <c r="K367" s="89">
        <v>21000</v>
      </c>
      <c r="L367" s="360" t="str">
        <f>IF(K367&lt;&gt;"",VLOOKUP(K367,ChartofAccountsTable,2,FALSE),"")</f>
        <v>Unearned Revenue - DHPP</v>
      </c>
      <c r="M367" s="383">
        <v>103200</v>
      </c>
      <c r="N367" s="379"/>
      <c r="O367" s="92"/>
      <c r="P367" s="118"/>
    </row>
    <row r="368" spans="1:16" s="117" customFormat="1" ht="15.75" customHeight="1">
      <c r="A368" s="90"/>
      <c r="B368" s="386"/>
      <c r="C368" s="354"/>
      <c r="D368" s="240"/>
      <c r="E368" s="355"/>
      <c r="F368" s="241"/>
      <c r="G368" s="354"/>
      <c r="H368" s="249"/>
      <c r="I368" s="249"/>
      <c r="J368" s="359"/>
      <c r="K368" s="89">
        <v>40000</v>
      </c>
      <c r="L368" s="360" t="str">
        <f>IF(K368&lt;&gt;"",VLOOKUP(K368,ChartofAccountsTable,2,FALSE),"")</f>
        <v>Sales -Fuel Hauling</v>
      </c>
      <c r="M368" s="383"/>
      <c r="N368" s="379">
        <v>103200</v>
      </c>
      <c r="O368" s="92"/>
      <c r="P368" s="118"/>
    </row>
    <row r="369" spans="1:16" s="117" customFormat="1" ht="15" customHeight="1">
      <c r="A369" s="90"/>
      <c r="B369" s="386">
        <v>46038</v>
      </c>
      <c r="C369" s="354">
        <v>1241</v>
      </c>
      <c r="D369" s="240"/>
      <c r="E369" s="355" t="s">
        <v>449</v>
      </c>
      <c r="F369" s="241"/>
      <c r="G369" s="354" t="s">
        <v>283</v>
      </c>
      <c r="H369" s="249" t="s">
        <v>149</v>
      </c>
      <c r="I369" s="249">
        <v>1</v>
      </c>
      <c r="J369" s="359" t="s">
        <v>150</v>
      </c>
      <c r="K369" s="89">
        <v>21000</v>
      </c>
      <c r="L369" s="360" t="str">
        <f>IF(K369&lt;&gt;"",VLOOKUP(K369,ChartofAccountsTable,2,FALSE),"")</f>
        <v>Unearned Revenue - DHPP</v>
      </c>
      <c r="M369" s="383">
        <v>51750</v>
      </c>
      <c r="N369" s="379"/>
      <c r="O369" s="92"/>
      <c r="P369" s="118"/>
    </row>
    <row r="370" spans="1:16" s="117" customFormat="1" ht="15" customHeight="1">
      <c r="A370" s="90"/>
      <c r="B370" s="386"/>
      <c r="C370" s="354"/>
      <c r="D370" s="240"/>
      <c r="E370" s="355"/>
      <c r="F370" s="241"/>
      <c r="G370" s="354"/>
      <c r="H370" s="249"/>
      <c r="I370" s="249"/>
      <c r="J370" s="359"/>
      <c r="K370" s="89">
        <v>40000</v>
      </c>
      <c r="L370" s="360" t="str">
        <f>IF(K370&lt;&gt;"",VLOOKUP(K370,ChartofAccountsTable,2,FALSE),"")</f>
        <v>Sales -Fuel Hauling</v>
      </c>
      <c r="M370" s="383"/>
      <c r="N370" s="379">
        <v>51750</v>
      </c>
      <c r="O370" s="92"/>
      <c r="P370" s="118"/>
    </row>
    <row r="371" spans="1:16" s="117" customFormat="1" ht="15" customHeight="1">
      <c r="A371" s="90"/>
      <c r="B371" s="386">
        <v>46038</v>
      </c>
      <c r="C371" s="354">
        <v>1242</v>
      </c>
      <c r="D371" s="240"/>
      <c r="E371" s="355" t="s">
        <v>450</v>
      </c>
      <c r="F371" s="241"/>
      <c r="G371" s="354" t="s">
        <v>161</v>
      </c>
      <c r="H371" s="249" t="s">
        <v>149</v>
      </c>
      <c r="I371" s="249">
        <v>1</v>
      </c>
      <c r="J371" s="359" t="s">
        <v>150</v>
      </c>
      <c r="K371" s="89">
        <v>21000</v>
      </c>
      <c r="L371" s="360" t="str">
        <f>IF(K371&lt;&gt;"",VLOOKUP(K371,ChartofAccountsTable,2,FALSE),"")</f>
        <v>Unearned Revenue - DHPP</v>
      </c>
      <c r="M371" s="383">
        <v>51950</v>
      </c>
      <c r="N371" s="379"/>
      <c r="O371" s="92"/>
      <c r="P371" s="118"/>
    </row>
    <row r="372" spans="1:16" s="117" customFormat="1" ht="15" customHeight="1">
      <c r="A372" s="90"/>
      <c r="B372" s="386"/>
      <c r="C372" s="354"/>
      <c r="D372" s="240"/>
      <c r="E372" s="355"/>
      <c r="F372" s="241"/>
      <c r="G372" s="354"/>
      <c r="H372" s="249"/>
      <c r="I372" s="249"/>
      <c r="J372" s="359"/>
      <c r="K372" s="89">
        <v>40000</v>
      </c>
      <c r="L372" s="360" t="str">
        <f>IF(K372&lt;&gt;"",VLOOKUP(K372,ChartofAccountsTable,2,FALSE),"")</f>
        <v>Sales -Fuel Hauling</v>
      </c>
      <c r="M372" s="383"/>
      <c r="N372" s="379">
        <v>51950</v>
      </c>
      <c r="O372" s="92"/>
      <c r="P372" s="118"/>
    </row>
    <row r="373" spans="1:16" s="117" customFormat="1" ht="15" customHeight="1">
      <c r="A373" s="90"/>
      <c r="B373" s="386">
        <v>46038</v>
      </c>
      <c r="C373" s="354">
        <v>1243</v>
      </c>
      <c r="D373" s="240"/>
      <c r="E373" s="355" t="s">
        <v>451</v>
      </c>
      <c r="F373" s="241"/>
      <c r="G373" s="354" t="s">
        <v>452</v>
      </c>
      <c r="H373" s="249" t="s">
        <v>173</v>
      </c>
      <c r="I373" s="249">
        <v>1.5</v>
      </c>
      <c r="J373" s="359" t="s">
        <v>150</v>
      </c>
      <c r="K373" s="89">
        <v>21000</v>
      </c>
      <c r="L373" s="360" t="str">
        <f>IF(K373&lt;&gt;"",VLOOKUP(K373,ChartofAccountsTable,2,FALSE),"")</f>
        <v>Unearned Revenue - DHPP</v>
      </c>
      <c r="M373" s="383">
        <v>77075</v>
      </c>
      <c r="N373" s="379"/>
      <c r="O373" s="92"/>
      <c r="P373" s="118"/>
    </row>
    <row r="374" spans="1:16" s="117" customFormat="1" ht="15" customHeight="1">
      <c r="A374" s="90"/>
      <c r="B374" s="386"/>
      <c r="C374" s="354"/>
      <c r="D374" s="240"/>
      <c r="E374" s="355"/>
      <c r="F374" s="241"/>
      <c r="G374" s="354"/>
      <c r="H374" s="249"/>
      <c r="I374" s="249"/>
      <c r="J374" s="359"/>
      <c r="K374" s="89">
        <v>21000</v>
      </c>
      <c r="L374" s="360" t="str">
        <f>IF(K374&lt;&gt;"",VLOOKUP(K374,ChartofAccountsTable,2,FALSE),"")</f>
        <v>Unearned Revenue - DHPP</v>
      </c>
      <c r="M374" s="383">
        <v>600</v>
      </c>
      <c r="N374" s="379"/>
      <c r="O374" s="92" t="s">
        <v>279</v>
      </c>
      <c r="P374" s="118"/>
    </row>
    <row r="375" spans="1:16" s="117" customFormat="1" ht="15" customHeight="1">
      <c r="A375" s="90"/>
      <c r="B375" s="386"/>
      <c r="C375" s="354"/>
      <c r="D375" s="240"/>
      <c r="E375" s="355"/>
      <c r="F375" s="241"/>
      <c r="G375" s="354"/>
      <c r="H375" s="249"/>
      <c r="I375" s="249"/>
      <c r="J375" s="359"/>
      <c r="K375" s="89">
        <v>40000</v>
      </c>
      <c r="L375" s="360" t="str">
        <f>IF(K375&lt;&gt;"",VLOOKUP(K375,ChartofAccountsTable,2,FALSE),"")</f>
        <v>Sales -Fuel Hauling</v>
      </c>
      <c r="M375" s="383"/>
      <c r="N375" s="379">
        <v>77675</v>
      </c>
      <c r="O375" s="92"/>
      <c r="P375" s="118"/>
    </row>
    <row r="376" spans="1:16" s="117" customFormat="1" ht="15" customHeight="1">
      <c r="A376" s="90"/>
      <c r="B376" s="386">
        <v>46038</v>
      </c>
      <c r="C376" s="354">
        <v>1242</v>
      </c>
      <c r="D376" s="240"/>
      <c r="E376" s="355" t="s">
        <v>453</v>
      </c>
      <c r="F376" s="241"/>
      <c r="G376" s="354" t="s">
        <v>197</v>
      </c>
      <c r="H376" s="249" t="s">
        <v>159</v>
      </c>
      <c r="I376" s="249">
        <v>0.5</v>
      </c>
      <c r="J376" s="359" t="s">
        <v>150</v>
      </c>
      <c r="K376" s="89">
        <v>21000</v>
      </c>
      <c r="L376" s="360" t="str">
        <f>IF(K376&lt;&gt;"",VLOOKUP(K376,ChartofAccountsTable,2,FALSE),"")</f>
        <v>Unearned Revenue - DHPP</v>
      </c>
      <c r="M376" s="384">
        <v>25625</v>
      </c>
      <c r="N376" s="379"/>
      <c r="O376" s="92"/>
      <c r="P376" s="118"/>
    </row>
    <row r="377" spans="1:16" s="117" customFormat="1" ht="15" customHeight="1">
      <c r="A377" s="90"/>
      <c r="B377" s="386"/>
      <c r="C377" s="354"/>
      <c r="D377" s="240"/>
      <c r="E377" s="355"/>
      <c r="F377" s="241"/>
      <c r="G377" s="354"/>
      <c r="H377" s="249"/>
      <c r="I377" s="249"/>
      <c r="J377" s="359"/>
      <c r="K377" s="89">
        <v>40000</v>
      </c>
      <c r="L377" s="360" t="str">
        <f>IF(K377&lt;&gt;"",VLOOKUP(K377,ChartofAccountsTable,2,FALSE),"")</f>
        <v>Sales -Fuel Hauling</v>
      </c>
      <c r="M377" s="383"/>
      <c r="N377" s="379">
        <v>25625</v>
      </c>
      <c r="O377" s="92"/>
      <c r="P377" s="118"/>
    </row>
    <row r="378" spans="1:16" s="117" customFormat="1" ht="15" customHeight="1">
      <c r="A378" s="90"/>
      <c r="B378" s="386">
        <v>46039</v>
      </c>
      <c r="C378" s="354">
        <v>1245</v>
      </c>
      <c r="D378" s="240"/>
      <c r="E378" s="355" t="s">
        <v>454</v>
      </c>
      <c r="F378" s="241"/>
      <c r="G378" s="354" t="s">
        <v>276</v>
      </c>
      <c r="H378" s="249" t="s">
        <v>149</v>
      </c>
      <c r="I378" s="249">
        <v>1</v>
      </c>
      <c r="J378" s="359" t="s">
        <v>150</v>
      </c>
      <c r="K378" s="89">
        <v>21000</v>
      </c>
      <c r="L378" s="360" t="str">
        <f>IF(K378&lt;&gt;"",VLOOKUP(K378,ChartofAccountsTable,2,FALSE),"")</f>
        <v>Unearned Revenue - DHPP</v>
      </c>
      <c r="M378" s="383">
        <v>51400</v>
      </c>
      <c r="N378" s="379"/>
      <c r="O378" s="92"/>
      <c r="P378" s="118"/>
    </row>
    <row r="379" spans="1:16" s="117" customFormat="1" ht="15" customHeight="1">
      <c r="A379" s="90"/>
      <c r="B379" s="386"/>
      <c r="C379" s="354"/>
      <c r="D379" s="240"/>
      <c r="E379" s="355"/>
      <c r="F379" s="241"/>
      <c r="G379" s="354"/>
      <c r="H379" s="249"/>
      <c r="I379" s="249"/>
      <c r="J379" s="359"/>
      <c r="K379" s="89">
        <v>21000</v>
      </c>
      <c r="L379" s="360" t="str">
        <f>IF(K379&lt;&gt;"",VLOOKUP(K379,ChartofAccountsTable,2,FALSE),"")</f>
        <v>Unearned Revenue - DHPP</v>
      </c>
      <c r="M379" s="383">
        <v>300</v>
      </c>
      <c r="N379" s="379"/>
      <c r="O379" s="92" t="s">
        <v>455</v>
      </c>
      <c r="P379" s="118"/>
    </row>
    <row r="380" spans="1:16" s="117" customFormat="1" ht="15" customHeight="1">
      <c r="A380" s="90"/>
      <c r="B380" s="386">
        <v>46039</v>
      </c>
      <c r="C380" s="354">
        <v>1246</v>
      </c>
      <c r="D380" s="240"/>
      <c r="E380" s="355" t="s">
        <v>456</v>
      </c>
      <c r="F380" s="241"/>
      <c r="G380" s="354" t="s">
        <v>281</v>
      </c>
      <c r="H380" s="249" t="s">
        <v>149</v>
      </c>
      <c r="I380" s="249">
        <v>1</v>
      </c>
      <c r="J380" s="359" t="s">
        <v>150</v>
      </c>
      <c r="K380" s="89">
        <v>40000</v>
      </c>
      <c r="L380" s="360" t="str">
        <f>IF(K380&lt;&gt;"",VLOOKUP(K380,ChartofAccountsTable,2,FALSE),"")</f>
        <v>Sales -Fuel Hauling</v>
      </c>
      <c r="M380" s="383"/>
      <c r="N380" s="379">
        <v>51700</v>
      </c>
      <c r="O380" s="92"/>
      <c r="P380" s="118"/>
    </row>
    <row r="381" spans="1:16" s="117" customFormat="1" ht="15" customHeight="1">
      <c r="A381" s="90"/>
      <c r="B381" s="386"/>
      <c r="C381" s="354"/>
      <c r="D381" s="240"/>
      <c r="E381" s="355"/>
      <c r="F381" s="241"/>
      <c r="G381" s="354"/>
      <c r="H381" s="249"/>
      <c r="I381" s="249"/>
      <c r="J381" s="359"/>
      <c r="K381" s="89">
        <v>21000</v>
      </c>
      <c r="L381" s="360" t="str">
        <f>IF(K381&lt;&gt;"",VLOOKUP(K381,ChartofAccountsTable,2,FALSE),"")</f>
        <v>Unearned Revenue - DHPP</v>
      </c>
      <c r="M381" s="383">
        <v>51950</v>
      </c>
      <c r="N381" s="379"/>
      <c r="O381" s="92"/>
      <c r="P381" s="118"/>
    </row>
    <row r="382" spans="1:16" s="117" customFormat="1" ht="15" customHeight="1">
      <c r="A382" s="90"/>
      <c r="B382" s="386">
        <v>46039</v>
      </c>
      <c r="C382" s="354">
        <v>1247</v>
      </c>
      <c r="D382" s="240"/>
      <c r="E382" s="355" t="s">
        <v>457</v>
      </c>
      <c r="F382" s="241"/>
      <c r="G382" s="354" t="s">
        <v>209</v>
      </c>
      <c r="H382" s="249" t="s">
        <v>439</v>
      </c>
      <c r="I382" s="249">
        <v>3</v>
      </c>
      <c r="J382" s="359" t="s">
        <v>150</v>
      </c>
      <c r="K382" s="89">
        <v>40000</v>
      </c>
      <c r="L382" s="360" t="str">
        <f>IF(K382&lt;&gt;"",VLOOKUP(K382,ChartofAccountsTable,2,FALSE),"")</f>
        <v>Sales -Fuel Hauling</v>
      </c>
      <c r="M382" s="383"/>
      <c r="N382" s="379">
        <v>51950</v>
      </c>
      <c r="O382" s="92"/>
      <c r="P382" s="118"/>
    </row>
    <row r="383" spans="1:16" s="117" customFormat="1" ht="15" customHeight="1">
      <c r="A383" s="90"/>
      <c r="B383" s="386"/>
      <c r="C383" s="354"/>
      <c r="D383" s="240"/>
      <c r="E383" s="355"/>
      <c r="F383" s="241"/>
      <c r="G383" s="354"/>
      <c r="H383" s="249"/>
      <c r="I383" s="249"/>
      <c r="J383" s="359"/>
      <c r="K383" s="89">
        <v>21000</v>
      </c>
      <c r="L383" s="360" t="str">
        <f>IF(K383&lt;&gt;"",VLOOKUP(K383,ChartofAccountsTable,2,FALSE),"")</f>
        <v>Unearned Revenue - DHPP</v>
      </c>
      <c r="M383" s="383">
        <v>154650</v>
      </c>
      <c r="N383" s="379"/>
      <c r="O383" s="92"/>
      <c r="P383" s="118"/>
    </row>
    <row r="384" spans="1:16" s="117" customFormat="1" ht="15" customHeight="1">
      <c r="A384" s="90"/>
      <c r="B384" s="386"/>
      <c r="C384" s="354"/>
      <c r="D384" s="240"/>
      <c r="E384" s="355"/>
      <c r="F384" s="241"/>
      <c r="G384" s="354"/>
      <c r="H384" s="249"/>
      <c r="I384" s="249"/>
      <c r="J384" s="359"/>
      <c r="K384" s="89">
        <v>40000</v>
      </c>
      <c r="L384" s="360" t="str">
        <f>IF(K384&lt;&gt;"",VLOOKUP(K384,ChartofAccountsTable,2,FALSE),"")</f>
        <v>Sales -Fuel Hauling</v>
      </c>
      <c r="M384" s="383"/>
      <c r="N384" s="379">
        <v>154650</v>
      </c>
      <c r="O384" s="92"/>
      <c r="P384" s="118"/>
    </row>
    <row r="385" spans="1:16" s="117" customFormat="1" ht="15" customHeight="1">
      <c r="A385" s="90"/>
      <c r="B385" s="386">
        <v>46039</v>
      </c>
      <c r="C385" s="354">
        <v>1248</v>
      </c>
      <c r="D385" s="240"/>
      <c r="E385" s="355" t="s">
        <v>458</v>
      </c>
      <c r="F385" s="241"/>
      <c r="G385" s="354" t="s">
        <v>207</v>
      </c>
      <c r="H385" s="249" t="s">
        <v>149</v>
      </c>
      <c r="I385" s="249">
        <v>1</v>
      </c>
      <c r="J385" s="359" t="s">
        <v>150</v>
      </c>
      <c r="K385" s="89">
        <v>21000</v>
      </c>
      <c r="L385" s="360" t="str">
        <f>IF(K385&lt;&gt;"",VLOOKUP(K385,ChartofAccountsTable,2,FALSE),"")</f>
        <v>Unearned Revenue - DHPP</v>
      </c>
      <c r="M385" s="383">
        <v>51550</v>
      </c>
      <c r="N385" s="379"/>
      <c r="O385" s="92"/>
      <c r="P385" s="118"/>
    </row>
    <row r="386" spans="1:16" s="117" customFormat="1" ht="15" customHeight="1">
      <c r="A386" s="90"/>
      <c r="B386" s="386"/>
      <c r="C386" s="354"/>
      <c r="D386" s="240"/>
      <c r="E386" s="355"/>
      <c r="F386" s="241"/>
      <c r="G386" s="354"/>
      <c r="H386" s="249"/>
      <c r="I386" s="249"/>
      <c r="J386" s="359"/>
      <c r="K386" s="89">
        <v>40000</v>
      </c>
      <c r="L386" s="360" t="str">
        <f>IF(K386&lt;&gt;"",VLOOKUP(K386,ChartofAccountsTable,2,FALSE),"")</f>
        <v>Sales -Fuel Hauling</v>
      </c>
      <c r="M386" s="383"/>
      <c r="N386" s="379">
        <v>51550</v>
      </c>
      <c r="O386" s="92"/>
      <c r="P386" s="118"/>
    </row>
    <row r="387" spans="1:16" s="117" customFormat="1" ht="15" customHeight="1">
      <c r="A387" s="90"/>
      <c r="B387" s="386">
        <v>46040</v>
      </c>
      <c r="C387" s="354">
        <v>1251</v>
      </c>
      <c r="D387" s="240"/>
      <c r="E387" s="355" t="s">
        <v>459</v>
      </c>
      <c r="F387" s="241"/>
      <c r="G387" s="354" t="s">
        <v>299</v>
      </c>
      <c r="H387" s="249" t="s">
        <v>149</v>
      </c>
      <c r="I387" s="249">
        <v>1</v>
      </c>
      <c r="J387" s="359" t="s">
        <v>150</v>
      </c>
      <c r="K387" s="89">
        <v>21000</v>
      </c>
      <c r="L387" s="360" t="str">
        <f>IF(K387&lt;&gt;"",VLOOKUP(K387,ChartofAccountsTable,2,FALSE),"")</f>
        <v>Unearned Revenue - DHPP</v>
      </c>
      <c r="M387" s="383">
        <v>51750</v>
      </c>
      <c r="N387" s="379"/>
      <c r="O387" s="92"/>
      <c r="P387" s="118"/>
    </row>
    <row r="388" spans="1:16" s="117" customFormat="1" ht="15" customHeight="1">
      <c r="A388" s="90"/>
      <c r="B388" s="386"/>
      <c r="C388" s="354"/>
      <c r="D388" s="240"/>
      <c r="E388" s="355"/>
      <c r="F388" s="241"/>
      <c r="G388" s="354"/>
      <c r="H388" s="249"/>
      <c r="I388" s="249"/>
      <c r="J388" s="359"/>
      <c r="K388" s="89">
        <v>40000</v>
      </c>
      <c r="L388" s="360" t="str">
        <f>IF(K388&lt;&gt;"",VLOOKUP(K388,ChartofAccountsTable,2,FALSE),"")</f>
        <v>Sales -Fuel Hauling</v>
      </c>
      <c r="M388" s="383"/>
      <c r="N388" s="379">
        <v>51750</v>
      </c>
      <c r="O388" s="92"/>
      <c r="P388" s="118"/>
    </row>
    <row r="389" spans="1:16" s="117" customFormat="1" ht="15" customHeight="1">
      <c r="A389" s="90"/>
      <c r="B389" s="386">
        <v>46040</v>
      </c>
      <c r="C389" s="354">
        <v>1250</v>
      </c>
      <c r="D389" s="240"/>
      <c r="E389" s="355" t="s">
        <v>460</v>
      </c>
      <c r="F389" s="241"/>
      <c r="G389" s="354" t="s">
        <v>154</v>
      </c>
      <c r="H389" s="249" t="s">
        <v>149</v>
      </c>
      <c r="I389" s="249">
        <v>1</v>
      </c>
      <c r="J389" s="359" t="s">
        <v>150</v>
      </c>
      <c r="K389" s="89">
        <v>21000</v>
      </c>
      <c r="L389" s="360" t="str">
        <f>IF(K389&lt;&gt;"",VLOOKUP(K389,ChartofAccountsTable,2,FALSE),"")</f>
        <v>Unearned Revenue - DHPP</v>
      </c>
      <c r="M389" s="383">
        <v>51750</v>
      </c>
      <c r="N389" s="379"/>
      <c r="O389" s="92"/>
      <c r="P389" s="118"/>
    </row>
    <row r="390" spans="1:16" s="117" customFormat="1" ht="15" customHeight="1">
      <c r="A390" s="90"/>
      <c r="B390" s="386"/>
      <c r="C390" s="354"/>
      <c r="D390" s="240"/>
      <c r="E390" s="355"/>
      <c r="F390" s="241"/>
      <c r="G390" s="354"/>
      <c r="H390" s="249"/>
      <c r="I390" s="249"/>
      <c r="J390" s="359"/>
      <c r="K390" s="89">
        <v>40000</v>
      </c>
      <c r="L390" s="360" t="str">
        <f>IF(K390&lt;&gt;"",VLOOKUP(K390,ChartofAccountsTable,2,FALSE),"")</f>
        <v>Sales -Fuel Hauling</v>
      </c>
      <c r="M390" s="383"/>
      <c r="N390" s="379">
        <v>51750</v>
      </c>
      <c r="O390" s="92"/>
      <c r="P390" s="118"/>
    </row>
    <row r="391" spans="1:16" s="117" customFormat="1" ht="15" customHeight="1">
      <c r="A391" s="90"/>
      <c r="B391" s="386">
        <v>46040</v>
      </c>
      <c r="C391" s="354">
        <v>1249</v>
      </c>
      <c r="D391" s="240"/>
      <c r="E391" s="355" t="s">
        <v>461</v>
      </c>
      <c r="F391" s="241"/>
      <c r="G391" s="354" t="s">
        <v>294</v>
      </c>
      <c r="H391" s="249" t="s">
        <v>149</v>
      </c>
      <c r="I391" s="249">
        <v>1</v>
      </c>
      <c r="J391" s="359" t="s">
        <v>150</v>
      </c>
      <c r="K391" s="89">
        <v>21000</v>
      </c>
      <c r="L391" s="360" t="str">
        <f>IF(K391&lt;&gt;"",VLOOKUP(K391,ChartofAccountsTable,2,FALSE),"")</f>
        <v>Unearned Revenue - DHPP</v>
      </c>
      <c r="M391" s="383">
        <v>51625</v>
      </c>
      <c r="N391" s="379"/>
      <c r="O391" s="92"/>
      <c r="P391" s="118"/>
    </row>
    <row r="392" spans="1:16" s="117" customFormat="1" ht="15" customHeight="1">
      <c r="A392" s="90"/>
      <c r="B392" s="386"/>
      <c r="C392" s="354"/>
      <c r="D392" s="240"/>
      <c r="E392" s="355"/>
      <c r="F392" s="241"/>
      <c r="G392" s="354"/>
      <c r="H392" s="249"/>
      <c r="I392" s="249"/>
      <c r="J392" s="359"/>
      <c r="K392" s="89">
        <v>12030</v>
      </c>
      <c r="L392" s="360" t="str">
        <f>IF(K392&lt;&gt;"",VLOOKUP(K392,ChartofAccountsTable,2,FALSE),"")</f>
        <v>A/Receivables - Fuel Clients</v>
      </c>
      <c r="M392" s="383">
        <v>75</v>
      </c>
      <c r="N392" s="379"/>
      <c r="O392" s="92"/>
      <c r="P392" s="118"/>
    </row>
    <row r="393" spans="1:16" s="117" customFormat="1" ht="15" customHeight="1">
      <c r="A393" s="90"/>
      <c r="B393" s="386"/>
      <c r="C393" s="354"/>
      <c r="D393" s="240"/>
      <c r="E393" s="355"/>
      <c r="F393" s="241"/>
      <c r="G393" s="354"/>
      <c r="H393" s="249"/>
      <c r="I393" s="249"/>
      <c r="J393" s="359"/>
      <c r="K393" s="89">
        <v>40000</v>
      </c>
      <c r="L393" s="360" t="str">
        <f>IF(K393&lt;&gt;"",VLOOKUP(K393,ChartofAccountsTable,2,FALSE),"")</f>
        <v>Sales -Fuel Hauling</v>
      </c>
      <c r="M393" s="383"/>
      <c r="N393" s="379">
        <v>51700</v>
      </c>
      <c r="O393" s="92"/>
      <c r="P393" s="118"/>
    </row>
    <row r="394" spans="1:16" s="117" customFormat="1" ht="15" customHeight="1">
      <c r="A394" s="90"/>
      <c r="B394" s="386">
        <v>46040</v>
      </c>
      <c r="C394" s="354">
        <v>1252</v>
      </c>
      <c r="D394" s="240"/>
      <c r="E394" s="355" t="s">
        <v>462</v>
      </c>
      <c r="F394" s="241"/>
      <c r="G394" s="354" t="s">
        <v>289</v>
      </c>
      <c r="H394" s="249" t="s">
        <v>149</v>
      </c>
      <c r="I394" s="249">
        <v>1</v>
      </c>
      <c r="J394" s="359" t="s">
        <v>150</v>
      </c>
      <c r="K394" s="89">
        <v>21000</v>
      </c>
      <c r="L394" s="360" t="str">
        <f>IF(K394&lt;&gt;"",VLOOKUP(K394,ChartofAccountsTable,2,FALSE),"")</f>
        <v>Unearned Revenue - DHPP</v>
      </c>
      <c r="M394" s="383">
        <v>39000</v>
      </c>
      <c r="N394" s="379"/>
      <c r="O394" s="92"/>
      <c r="P394" s="118"/>
    </row>
    <row r="395" spans="1:16" s="117" customFormat="1" ht="15" customHeight="1">
      <c r="A395" s="90"/>
      <c r="B395" s="386"/>
      <c r="C395" s="354"/>
      <c r="D395" s="240"/>
      <c r="E395" s="355"/>
      <c r="F395" s="241"/>
      <c r="G395" s="354"/>
      <c r="H395" s="249"/>
      <c r="I395" s="249"/>
      <c r="J395" s="359"/>
      <c r="K395" s="393">
        <v>12030</v>
      </c>
      <c r="L395" s="360" t="str">
        <f>IF(K395&lt;&gt;"",VLOOKUP(K395,ChartofAccountsTable,2,FALSE),"")</f>
        <v>A/Receivables - Fuel Clients</v>
      </c>
      <c r="M395" s="383">
        <v>12900</v>
      </c>
      <c r="N395" s="379"/>
      <c r="O395" s="92"/>
      <c r="P395" s="118"/>
    </row>
    <row r="396" spans="1:16" s="117" customFormat="1" ht="15" customHeight="1">
      <c r="A396" s="90"/>
      <c r="B396" s="386"/>
      <c r="C396" s="354"/>
      <c r="D396" s="240"/>
      <c r="E396" s="355"/>
      <c r="F396" s="241"/>
      <c r="G396" s="354"/>
      <c r="H396" s="249"/>
      <c r="I396" s="249"/>
      <c r="J396" s="359"/>
      <c r="K396" s="89">
        <v>40000</v>
      </c>
      <c r="L396" s="360" t="str">
        <f>IF(K396&lt;&gt;"",VLOOKUP(K396,ChartofAccountsTable,2,FALSE),"")</f>
        <v>Sales -Fuel Hauling</v>
      </c>
      <c r="M396" s="383"/>
      <c r="N396" s="379">
        <v>51900</v>
      </c>
      <c r="O396" s="92"/>
      <c r="P396" s="118"/>
    </row>
    <row r="397" spans="1:16" s="117" customFormat="1" ht="15" customHeight="1">
      <c r="A397" s="90"/>
      <c r="B397" s="386">
        <v>46040</v>
      </c>
      <c r="C397" s="354">
        <v>1253</v>
      </c>
      <c r="D397" s="240"/>
      <c r="E397" s="355" t="s">
        <v>463</v>
      </c>
      <c r="F397" s="241"/>
      <c r="G397" s="354" t="s">
        <v>200</v>
      </c>
      <c r="H397" s="249" t="s">
        <v>173</v>
      </c>
      <c r="I397" s="249">
        <v>1.5</v>
      </c>
      <c r="J397" s="359" t="s">
        <v>150</v>
      </c>
      <c r="K397" s="89">
        <v>21000</v>
      </c>
      <c r="L397" s="360" t="str">
        <f>IF(K397&lt;&gt;"",VLOOKUP(K397,ChartofAccountsTable,2,FALSE),"")</f>
        <v>Unearned Revenue - DHPP</v>
      </c>
      <c r="M397" s="383">
        <v>77375</v>
      </c>
      <c r="N397" s="379"/>
      <c r="O397" s="92"/>
      <c r="P397" s="118"/>
    </row>
    <row r="398" spans="1:16" s="117" customFormat="1" ht="15" customHeight="1">
      <c r="A398" s="90"/>
      <c r="B398" s="386"/>
      <c r="C398" s="354"/>
      <c r="D398" s="240"/>
      <c r="E398" s="355"/>
      <c r="F398" s="241"/>
      <c r="G398" s="354"/>
      <c r="H398" s="249"/>
      <c r="I398" s="249"/>
      <c r="J398" s="359"/>
      <c r="K398" s="89">
        <v>40000</v>
      </c>
      <c r="L398" s="360" t="str">
        <f>IF(K398&lt;&gt;"",VLOOKUP(K398,ChartofAccountsTable,2,FALSE),"")</f>
        <v>Sales -Fuel Hauling</v>
      </c>
      <c r="M398" s="383"/>
      <c r="N398" s="379">
        <v>77375</v>
      </c>
      <c r="O398" s="92"/>
      <c r="P398" s="118"/>
    </row>
    <row r="399" spans="1:16" s="117" customFormat="1" ht="15" customHeight="1">
      <c r="A399" s="90"/>
      <c r="B399" s="386">
        <v>46040</v>
      </c>
      <c r="C399" s="354">
        <v>1254</v>
      </c>
      <c r="D399" s="240"/>
      <c r="E399" s="355" t="s">
        <v>464</v>
      </c>
      <c r="F399" s="241"/>
      <c r="G399" s="354" t="s">
        <v>158</v>
      </c>
      <c r="H399" s="249" t="s">
        <v>159</v>
      </c>
      <c r="I399" s="249">
        <v>0.5</v>
      </c>
      <c r="J399" s="359" t="s">
        <v>150</v>
      </c>
      <c r="K399" s="89">
        <v>12030</v>
      </c>
      <c r="L399" s="360" t="str">
        <f>IF(K399&lt;&gt;"",VLOOKUP(K399,ChartofAccountsTable,2,FALSE),"")</f>
        <v>A/Receivables - Fuel Clients</v>
      </c>
      <c r="M399" s="383">
        <v>24350</v>
      </c>
      <c r="N399" s="379"/>
      <c r="O399" s="92"/>
      <c r="P399" s="118"/>
    </row>
    <row r="400" spans="1:16" s="117" customFormat="1" ht="15" customHeight="1">
      <c r="A400" s="90"/>
      <c r="B400" s="386"/>
      <c r="C400" s="354"/>
      <c r="D400" s="240"/>
      <c r="E400" s="355"/>
      <c r="F400" s="241"/>
      <c r="G400" s="354"/>
      <c r="H400" s="249"/>
      <c r="I400" s="249"/>
      <c r="J400" s="359"/>
      <c r="K400" s="89">
        <v>40000</v>
      </c>
      <c r="L400" s="360" t="str">
        <f>IF(K400&lt;&gt;"",VLOOKUP(K400,ChartofAccountsTable,2,FALSE),"")</f>
        <v>Sales -Fuel Hauling</v>
      </c>
      <c r="M400" s="383"/>
      <c r="N400" s="379">
        <v>24350</v>
      </c>
      <c r="O400" s="92"/>
      <c r="P400" s="118"/>
    </row>
    <row r="401" spans="1:16" s="117" customFormat="1" ht="15" customHeight="1">
      <c r="A401" s="90"/>
      <c r="B401" s="386">
        <v>46041</v>
      </c>
      <c r="C401" s="354">
        <v>1255</v>
      </c>
      <c r="D401" s="240"/>
      <c r="E401" s="389" t="s">
        <v>465</v>
      </c>
      <c r="F401" s="241"/>
      <c r="G401" s="354" t="s">
        <v>249</v>
      </c>
      <c r="H401" s="249" t="s">
        <v>149</v>
      </c>
      <c r="I401" s="249">
        <v>1</v>
      </c>
      <c r="J401" s="359" t="s">
        <v>150</v>
      </c>
      <c r="K401" s="89">
        <v>21000</v>
      </c>
      <c r="L401" s="360" t="str">
        <f>IF(K401&lt;&gt;"",VLOOKUP(K401,ChartofAccountsTable,2,FALSE),"")</f>
        <v>Unearned Revenue - DHPP</v>
      </c>
      <c r="M401" s="383">
        <v>51450</v>
      </c>
      <c r="N401" s="379"/>
      <c r="O401" s="92"/>
      <c r="P401" s="118"/>
    </row>
    <row r="402" spans="1:16" s="117" customFormat="1" ht="15" customHeight="1">
      <c r="A402" s="90"/>
      <c r="B402" s="386"/>
      <c r="C402" s="354"/>
      <c r="D402" s="240"/>
      <c r="E402" s="389"/>
      <c r="F402" s="241"/>
      <c r="G402" s="354"/>
      <c r="H402" s="249"/>
      <c r="I402" s="249"/>
      <c r="J402" s="359"/>
      <c r="K402" s="89">
        <v>21000</v>
      </c>
      <c r="L402" s="360" t="str">
        <f>IF(K402&lt;&gt;"",VLOOKUP(K402,ChartofAccountsTable,2,FALSE),"")</f>
        <v>Unearned Revenue - DHPP</v>
      </c>
      <c r="M402" s="383">
        <v>300</v>
      </c>
      <c r="N402" s="379"/>
      <c r="O402" s="92" t="s">
        <v>466</v>
      </c>
      <c r="P402" s="118"/>
    </row>
    <row r="403" spans="1:16" s="117" customFormat="1" ht="15" customHeight="1">
      <c r="A403" s="90"/>
      <c r="B403" s="386"/>
      <c r="C403" s="354"/>
      <c r="D403" s="240"/>
      <c r="E403" s="389"/>
      <c r="F403" s="241"/>
      <c r="G403" s="354"/>
      <c r="H403" s="249"/>
      <c r="I403" s="249"/>
      <c r="J403" s="359"/>
      <c r="K403" s="89">
        <v>40000</v>
      </c>
      <c r="L403" s="360" t="str">
        <f>IF(K403&lt;&gt;"",VLOOKUP(K403,ChartofAccountsTable,2,FALSE),"")</f>
        <v>Sales -Fuel Hauling</v>
      </c>
      <c r="M403" s="383"/>
      <c r="N403" s="379">
        <v>51750</v>
      </c>
      <c r="O403" s="92"/>
      <c r="P403" s="118"/>
    </row>
    <row r="404" spans="1:16" s="117" customFormat="1" ht="15" customHeight="1">
      <c r="A404" s="90"/>
      <c r="B404" s="386">
        <v>46041</v>
      </c>
      <c r="C404" s="354">
        <v>1255</v>
      </c>
      <c r="D404" s="240"/>
      <c r="E404" s="355" t="s">
        <v>467</v>
      </c>
      <c r="F404" s="241"/>
      <c r="G404" s="354" t="s">
        <v>249</v>
      </c>
      <c r="H404" s="249" t="s">
        <v>162</v>
      </c>
      <c r="I404" s="249">
        <v>0.5</v>
      </c>
      <c r="J404" s="359" t="s">
        <v>150</v>
      </c>
      <c r="K404" s="89">
        <v>21000</v>
      </c>
      <c r="L404" s="360" t="str">
        <f>IF(K404&lt;&gt;"",VLOOKUP(K404,ChartofAccountsTable,2,FALSE),"")</f>
        <v>Unearned Revenue - DHPP</v>
      </c>
      <c r="M404" s="383">
        <v>24600</v>
      </c>
      <c r="N404" s="379"/>
      <c r="O404" s="92"/>
      <c r="P404" s="118"/>
    </row>
    <row r="405" spans="1:16" s="117" customFormat="1" ht="15" customHeight="1">
      <c r="A405" s="90"/>
      <c r="B405" s="386"/>
      <c r="C405" s="354"/>
      <c r="D405" s="240"/>
      <c r="E405" s="355"/>
      <c r="F405" s="241"/>
      <c r="G405" s="354"/>
      <c r="H405" s="249"/>
      <c r="I405" s="249"/>
      <c r="J405" s="359"/>
      <c r="K405" s="89">
        <v>40000</v>
      </c>
      <c r="L405" s="360" t="str">
        <f>IF(K405&lt;&gt;"",VLOOKUP(K405,ChartofAccountsTable,2,FALSE),"")</f>
        <v>Sales -Fuel Hauling</v>
      </c>
      <c r="M405" s="383"/>
      <c r="N405" s="379">
        <v>24600</v>
      </c>
      <c r="O405" s="92"/>
      <c r="P405" s="118"/>
    </row>
    <row r="406" spans="1:16" s="117" customFormat="1" ht="15" customHeight="1">
      <c r="A406" s="90"/>
      <c r="B406" s="386">
        <v>46041</v>
      </c>
      <c r="C406" s="354">
        <v>1256</v>
      </c>
      <c r="D406" s="240"/>
      <c r="E406" s="355" t="s">
        <v>468</v>
      </c>
      <c r="F406" s="241"/>
      <c r="G406" s="354" t="s">
        <v>356</v>
      </c>
      <c r="H406" s="249" t="s">
        <v>149</v>
      </c>
      <c r="I406" s="249">
        <v>1</v>
      </c>
      <c r="J406" s="359" t="s">
        <v>150</v>
      </c>
      <c r="K406" s="89">
        <v>21000</v>
      </c>
      <c r="L406" s="360" t="str">
        <f>IF(K406&lt;&gt;"",VLOOKUP(K406,ChartofAccountsTable,2,FALSE),"")</f>
        <v>Unearned Revenue - DHPP</v>
      </c>
      <c r="M406" s="383">
        <v>51400</v>
      </c>
      <c r="N406" s="379"/>
      <c r="O406" s="92"/>
      <c r="P406" s="118"/>
    </row>
    <row r="407" spans="1:16" s="117" customFormat="1" ht="15" customHeight="1">
      <c r="A407" s="90"/>
      <c r="B407" s="386"/>
      <c r="C407" s="354"/>
      <c r="D407" s="240"/>
      <c r="E407" s="355"/>
      <c r="F407" s="241"/>
      <c r="G407" s="354"/>
      <c r="H407" s="249"/>
      <c r="I407" s="249"/>
      <c r="J407" s="359"/>
      <c r="K407" s="89">
        <v>40000</v>
      </c>
      <c r="L407" s="360" t="str">
        <f>IF(K407&lt;&gt;"",VLOOKUP(K407,ChartofAccountsTable,2,FALSE),"")</f>
        <v>Sales -Fuel Hauling</v>
      </c>
      <c r="M407" s="383"/>
      <c r="N407" s="379">
        <v>51400</v>
      </c>
      <c r="O407" s="92"/>
      <c r="P407" s="118"/>
    </row>
    <row r="408" spans="1:16" s="117" customFormat="1" ht="15" customHeight="1">
      <c r="A408" s="90"/>
      <c r="B408" s="386">
        <v>46041</v>
      </c>
      <c r="C408" s="354">
        <v>1257</v>
      </c>
      <c r="D408" s="240"/>
      <c r="E408" s="355" t="s">
        <v>469</v>
      </c>
      <c r="F408" s="241"/>
      <c r="G408" s="354" t="s">
        <v>252</v>
      </c>
      <c r="H408" s="249" t="s">
        <v>212</v>
      </c>
      <c r="I408" s="249">
        <v>2</v>
      </c>
      <c r="J408" s="359" t="s">
        <v>150</v>
      </c>
      <c r="K408" s="89">
        <v>21000</v>
      </c>
      <c r="L408" s="360" t="str">
        <f>IF(K408&lt;&gt;"",VLOOKUP(K408,ChartofAccountsTable,2,FALSE),"")</f>
        <v>Unearned Revenue - DHPP</v>
      </c>
      <c r="M408" s="383">
        <v>100350</v>
      </c>
      <c r="N408" s="379"/>
      <c r="O408" s="92"/>
      <c r="P408" s="118"/>
    </row>
    <row r="409" spans="1:16" s="117" customFormat="1" ht="15" customHeight="1">
      <c r="A409" s="90"/>
      <c r="B409" s="386"/>
      <c r="C409" s="354"/>
      <c r="D409" s="240"/>
      <c r="E409" s="355"/>
      <c r="F409" s="241"/>
      <c r="G409" s="354"/>
      <c r="H409" s="249"/>
      <c r="I409" s="249"/>
      <c r="J409" s="359"/>
      <c r="K409" s="89">
        <v>40000</v>
      </c>
      <c r="L409" s="360" t="str">
        <f>IF(K409&lt;&gt;"",VLOOKUP(K409,ChartofAccountsTable,2,FALSE),"")</f>
        <v>Sales -Fuel Hauling</v>
      </c>
      <c r="M409" s="383"/>
      <c r="N409" s="379">
        <v>100350</v>
      </c>
      <c r="O409" s="92"/>
      <c r="P409" s="118"/>
    </row>
    <row r="410" spans="1:16" s="117" customFormat="1" ht="15" customHeight="1">
      <c r="A410" s="90"/>
      <c r="B410" s="386">
        <v>46041</v>
      </c>
      <c r="C410" s="354">
        <v>1258</v>
      </c>
      <c r="D410" s="240"/>
      <c r="E410" s="355" t="s">
        <v>470</v>
      </c>
      <c r="F410" s="241"/>
      <c r="G410" s="354" t="s">
        <v>375</v>
      </c>
      <c r="H410" s="249" t="s">
        <v>162</v>
      </c>
      <c r="I410" s="249">
        <v>0.5</v>
      </c>
      <c r="J410" s="359" t="s">
        <v>150</v>
      </c>
      <c r="K410" s="89">
        <v>21000</v>
      </c>
      <c r="L410" s="360" t="str">
        <f>IF(K410&lt;&gt;"",VLOOKUP(K410,ChartofAccountsTable,2,FALSE),"")</f>
        <v>Unearned Revenue - DHPP</v>
      </c>
      <c r="M410" s="383">
        <v>24750</v>
      </c>
      <c r="N410" s="379"/>
      <c r="O410" s="92"/>
      <c r="P410" s="118"/>
    </row>
    <row r="411" spans="1:16" s="117" customFormat="1" ht="15" customHeight="1">
      <c r="A411" s="90"/>
      <c r="B411" s="386"/>
      <c r="C411" s="354"/>
      <c r="D411" s="240"/>
      <c r="E411" s="355"/>
      <c r="F411" s="241"/>
      <c r="G411" s="354"/>
      <c r="H411" s="249"/>
      <c r="I411" s="249"/>
      <c r="J411" s="359"/>
      <c r="K411" s="89">
        <v>40000</v>
      </c>
      <c r="L411" s="360" t="str">
        <f>IF(K411&lt;&gt;"",VLOOKUP(K411,ChartofAccountsTable,2,FALSE),"")</f>
        <v>Sales -Fuel Hauling</v>
      </c>
      <c r="M411" s="383"/>
      <c r="N411" s="379">
        <v>24750</v>
      </c>
      <c r="O411" s="92"/>
      <c r="P411" s="118"/>
    </row>
    <row r="412" spans="1:16" s="117" customFormat="1" ht="15" customHeight="1">
      <c r="A412" s="90"/>
      <c r="B412" s="386">
        <v>46041</v>
      </c>
      <c r="C412" s="354">
        <v>1259</v>
      </c>
      <c r="D412" s="240"/>
      <c r="E412" s="355" t="s">
        <v>471</v>
      </c>
      <c r="F412" s="241"/>
      <c r="G412" s="354" t="s">
        <v>380</v>
      </c>
      <c r="H412" s="249" t="s">
        <v>149</v>
      </c>
      <c r="I412" s="249">
        <v>1</v>
      </c>
      <c r="J412" s="359" t="s">
        <v>150</v>
      </c>
      <c r="K412" s="89">
        <v>21000</v>
      </c>
      <c r="L412" s="360" t="str">
        <f>IF(K412&lt;&gt;"",VLOOKUP(K412,ChartofAccountsTable,2,FALSE),"")</f>
        <v>Unearned Revenue - DHPP</v>
      </c>
      <c r="M412" s="383">
        <v>51600</v>
      </c>
      <c r="N412" s="379"/>
      <c r="O412" s="92"/>
      <c r="P412" s="118"/>
    </row>
    <row r="413" spans="1:16" s="117" customFormat="1" ht="15" customHeight="1">
      <c r="A413" s="90"/>
      <c r="B413" s="386"/>
      <c r="C413" s="354"/>
      <c r="D413" s="240"/>
      <c r="E413" s="355"/>
      <c r="F413" s="241"/>
      <c r="G413" s="354"/>
      <c r="H413" s="249"/>
      <c r="I413" s="249"/>
      <c r="J413" s="359"/>
      <c r="K413" s="89">
        <v>21000</v>
      </c>
      <c r="L413" s="360" t="str">
        <f>IF(K413&lt;&gt;"",VLOOKUP(K413,ChartofAccountsTable,2,FALSE),"")</f>
        <v>Unearned Revenue - DHPP</v>
      </c>
      <c r="M413" s="383">
        <v>350</v>
      </c>
      <c r="N413" s="379"/>
      <c r="O413" s="92" t="s">
        <v>472</v>
      </c>
      <c r="P413" s="118"/>
    </row>
    <row r="414" spans="1:16" s="117" customFormat="1" ht="15" customHeight="1">
      <c r="A414" s="90"/>
      <c r="B414" s="386"/>
      <c r="C414" s="354"/>
      <c r="D414" s="240"/>
      <c r="E414" s="355"/>
      <c r="F414" s="241"/>
      <c r="G414" s="354"/>
      <c r="H414" s="249"/>
      <c r="I414" s="249"/>
      <c r="J414" s="359"/>
      <c r="K414" s="89">
        <v>40000</v>
      </c>
      <c r="L414" s="360" t="str">
        <f>IF(K414&lt;&gt;"",VLOOKUP(K414,ChartofAccountsTable,2,FALSE),"")</f>
        <v>Sales -Fuel Hauling</v>
      </c>
      <c r="M414" s="383"/>
      <c r="N414" s="379">
        <v>51950</v>
      </c>
      <c r="O414" s="92"/>
      <c r="P414" s="118"/>
    </row>
    <row r="415" spans="1:16" s="117" customFormat="1" ht="15" customHeight="1">
      <c r="A415" s="90"/>
      <c r="B415" s="386">
        <v>46039</v>
      </c>
      <c r="C415" s="354">
        <v>376</v>
      </c>
      <c r="D415" s="240"/>
      <c r="E415" s="355" t="s">
        <v>473</v>
      </c>
      <c r="F415" s="241"/>
      <c r="G415" s="354" t="s">
        <v>474</v>
      </c>
      <c r="H415" s="249" t="s">
        <v>149</v>
      </c>
      <c r="I415" s="249">
        <v>1</v>
      </c>
      <c r="J415" s="359" t="s">
        <v>475</v>
      </c>
      <c r="K415" s="89">
        <v>21000</v>
      </c>
      <c r="L415" s="360" t="str">
        <f>IF(K415&lt;&gt;"",VLOOKUP(K415,ChartofAccountsTable,2,FALSE),"")</f>
        <v>Unearned Revenue - DHPP</v>
      </c>
      <c r="M415" s="383">
        <v>40000</v>
      </c>
      <c r="N415" s="379"/>
      <c r="O415" s="92"/>
      <c r="P415" s="118"/>
    </row>
    <row r="416" spans="1:16" s="117" customFormat="1" ht="15" customHeight="1">
      <c r="A416" s="90"/>
      <c r="B416" s="386"/>
      <c r="C416" s="354"/>
      <c r="D416" s="240"/>
      <c r="E416" s="355"/>
      <c r="F416" s="241"/>
      <c r="G416" s="354"/>
      <c r="H416" s="249"/>
      <c r="I416" s="249"/>
      <c r="J416" s="359"/>
      <c r="K416" s="89">
        <v>12030</v>
      </c>
      <c r="L416" s="360" t="str">
        <f>IF(K416&lt;&gt;"",VLOOKUP(K416,ChartofAccountsTable,2,FALSE),"")</f>
        <v>A/Receivables - Fuel Clients</v>
      </c>
      <c r="M416" s="383">
        <v>11700</v>
      </c>
      <c r="N416" s="379"/>
      <c r="O416" s="92"/>
      <c r="P416" s="118"/>
    </row>
    <row r="417" spans="1:16" s="117" customFormat="1" ht="15" customHeight="1">
      <c r="A417" s="90"/>
      <c r="B417" s="386"/>
      <c r="C417" s="354"/>
      <c r="D417" s="240"/>
      <c r="E417" s="355"/>
      <c r="F417" s="241"/>
      <c r="G417" s="354"/>
      <c r="H417" s="249"/>
      <c r="I417" s="249"/>
      <c r="J417" s="359"/>
      <c r="K417" s="89">
        <v>40000</v>
      </c>
      <c r="L417" s="360" t="str">
        <f>IF(K417&lt;&gt;"",VLOOKUP(K417,ChartofAccountsTable,2,FALSE),"")</f>
        <v>Sales -Fuel Hauling</v>
      </c>
      <c r="M417" s="383"/>
      <c r="N417" s="379">
        <v>51700</v>
      </c>
      <c r="O417" s="92"/>
      <c r="P417" s="118"/>
    </row>
    <row r="418" spans="1:16" s="117" customFormat="1" ht="15" customHeight="1">
      <c r="A418" s="90"/>
      <c r="B418" s="386">
        <v>46039</v>
      </c>
      <c r="C418" s="354">
        <v>377</v>
      </c>
      <c r="D418" s="240"/>
      <c r="E418" s="355" t="s">
        <v>476</v>
      </c>
      <c r="F418" s="241"/>
      <c r="G418" s="354" t="s">
        <v>158</v>
      </c>
      <c r="H418" s="249" t="s">
        <v>162</v>
      </c>
      <c r="I418" s="249">
        <v>0.5</v>
      </c>
      <c r="J418" s="359" t="s">
        <v>475</v>
      </c>
      <c r="K418" s="89">
        <v>21000</v>
      </c>
      <c r="L418" s="360" t="str">
        <f>IF(K418&lt;&gt;"",VLOOKUP(K418,ChartofAccountsTable,2,FALSE),"")</f>
        <v>Unearned Revenue - DHPP</v>
      </c>
      <c r="M418" s="384">
        <v>23600</v>
      </c>
      <c r="N418" s="379"/>
      <c r="O418" s="92"/>
      <c r="P418" s="118"/>
    </row>
    <row r="419" spans="1:16" s="117" customFormat="1" ht="15" customHeight="1">
      <c r="A419" s="90"/>
      <c r="B419" s="386"/>
      <c r="C419" s="354"/>
      <c r="D419" s="240"/>
      <c r="E419" s="355"/>
      <c r="F419" s="241"/>
      <c r="G419" s="354"/>
      <c r="H419" s="249"/>
      <c r="I419" s="249"/>
      <c r="J419" s="359"/>
      <c r="K419" s="89">
        <v>40000</v>
      </c>
      <c r="L419" s="360" t="str">
        <f>IF(K419&lt;&gt;"",VLOOKUP(K419,ChartofAccountsTable,2,FALSE),"")</f>
        <v>Sales -Fuel Hauling</v>
      </c>
      <c r="M419" s="383"/>
      <c r="N419" s="379">
        <v>23600</v>
      </c>
      <c r="O419" s="92"/>
      <c r="P419" s="118"/>
    </row>
    <row r="420" spans="1:16" s="117" customFormat="1" ht="15" customHeight="1">
      <c r="A420" s="90"/>
      <c r="B420" s="386">
        <v>46039</v>
      </c>
      <c r="C420" s="354">
        <v>379</v>
      </c>
      <c r="D420" s="240"/>
      <c r="E420" s="355" t="s">
        <v>477</v>
      </c>
      <c r="F420" s="241"/>
      <c r="G420" s="354" t="s">
        <v>197</v>
      </c>
      <c r="H420" s="390" t="s">
        <v>149</v>
      </c>
      <c r="I420" s="390">
        <v>1</v>
      </c>
      <c r="J420" s="359" t="s">
        <v>475</v>
      </c>
      <c r="K420" s="89">
        <v>21000</v>
      </c>
      <c r="L420" s="360" t="str">
        <f>IF(K420&lt;&gt;"",VLOOKUP(K420,ChartofAccountsTable,2,FALSE),"")</f>
        <v>Unearned Revenue - DHPP</v>
      </c>
      <c r="M420" s="383">
        <v>51700</v>
      </c>
      <c r="N420" s="379"/>
      <c r="O420" s="92"/>
      <c r="P420" s="118"/>
    </row>
    <row r="421" spans="1:16" s="117" customFormat="1" ht="15" customHeight="1">
      <c r="A421" s="90"/>
      <c r="B421" s="386"/>
      <c r="C421" s="354"/>
      <c r="D421" s="240"/>
      <c r="E421" s="355"/>
      <c r="F421" s="241"/>
      <c r="G421" s="354"/>
      <c r="H421" s="390"/>
      <c r="I421" s="390"/>
      <c r="J421" s="359"/>
      <c r="K421" s="89">
        <v>40000</v>
      </c>
      <c r="L421" s="360" t="str">
        <f>IF(K421&lt;&gt;"",VLOOKUP(K421,ChartofAccountsTable,2,FALSE),"")</f>
        <v>Sales -Fuel Hauling</v>
      </c>
      <c r="M421" s="383"/>
      <c r="N421" s="379">
        <v>51700</v>
      </c>
      <c r="O421" s="92"/>
      <c r="P421" s="118"/>
    </row>
    <row r="422" spans="1:16" s="117" customFormat="1" ht="15" customHeight="1">
      <c r="A422" s="90"/>
      <c r="B422" s="386">
        <v>46039</v>
      </c>
      <c r="C422" s="354">
        <v>378</v>
      </c>
      <c r="D422" s="240"/>
      <c r="E422" s="355" t="s">
        <v>478</v>
      </c>
      <c r="F422" s="241"/>
      <c r="G422" s="354" t="s">
        <v>178</v>
      </c>
      <c r="H422" s="249" t="s">
        <v>168</v>
      </c>
      <c r="I422" s="249">
        <v>0.5</v>
      </c>
      <c r="J422" s="359" t="s">
        <v>475</v>
      </c>
      <c r="K422" s="89">
        <v>21000</v>
      </c>
      <c r="L422" s="360" t="str">
        <f>IF(K422&lt;&gt;"",VLOOKUP(K422,ChartofAccountsTable,2,FALSE),"")</f>
        <v>Unearned Revenue - DHPP</v>
      </c>
      <c r="M422" s="383">
        <v>25925</v>
      </c>
      <c r="N422" s="379"/>
      <c r="O422" s="92"/>
      <c r="P422" s="118"/>
    </row>
    <row r="423" spans="1:16" s="117" customFormat="1" ht="15" customHeight="1">
      <c r="A423" s="90"/>
      <c r="B423" s="386"/>
      <c r="C423" s="354"/>
      <c r="D423" s="240"/>
      <c r="E423" s="355"/>
      <c r="F423" s="241"/>
      <c r="G423" s="354"/>
      <c r="H423" s="249"/>
      <c r="I423" s="249"/>
      <c r="J423" s="359"/>
      <c r="K423" s="89">
        <v>40000</v>
      </c>
      <c r="L423" s="360" t="str">
        <f>IF(K423&lt;&gt;"",VLOOKUP(K423,ChartofAccountsTable,2,FALSE),"")</f>
        <v>Sales -Fuel Hauling</v>
      </c>
      <c r="M423" s="383"/>
      <c r="N423" s="379">
        <v>25925</v>
      </c>
      <c r="O423" s="92"/>
      <c r="P423" s="118"/>
    </row>
    <row r="424" spans="1:16" s="117" customFormat="1" ht="15" customHeight="1">
      <c r="A424" s="90"/>
      <c r="B424" s="386">
        <v>46039</v>
      </c>
      <c r="C424" s="354">
        <v>381</v>
      </c>
      <c r="D424" s="240"/>
      <c r="E424" s="355" t="s">
        <v>479</v>
      </c>
      <c r="F424" s="241"/>
      <c r="G424" s="354" t="s">
        <v>211</v>
      </c>
      <c r="H424" s="249" t="s">
        <v>480</v>
      </c>
      <c r="I424" s="249">
        <v>2</v>
      </c>
      <c r="J424" s="359" t="s">
        <v>475</v>
      </c>
      <c r="K424" s="89">
        <v>21000</v>
      </c>
      <c r="L424" s="360" t="str">
        <f>IF(K424&lt;&gt;"",VLOOKUP(K424,ChartofAccountsTable,2,FALSE),"")</f>
        <v>Unearned Revenue - DHPP</v>
      </c>
      <c r="M424" s="383">
        <v>97000</v>
      </c>
      <c r="N424" s="379"/>
      <c r="O424" s="92"/>
      <c r="P424" s="118"/>
    </row>
    <row r="425" spans="1:16" s="117" customFormat="1" ht="15" customHeight="1">
      <c r="A425" s="90"/>
      <c r="B425" s="386"/>
      <c r="C425" s="354"/>
      <c r="D425" s="240"/>
      <c r="E425" s="355"/>
      <c r="F425" s="241"/>
      <c r="G425" s="354"/>
      <c r="H425" s="249"/>
      <c r="I425" s="249"/>
      <c r="J425" s="359"/>
      <c r="K425" s="89">
        <v>12030</v>
      </c>
      <c r="L425" s="360" t="str">
        <f>IF(K425&lt;&gt;"",VLOOKUP(K425,ChartofAccountsTable,2,FALSE),"")</f>
        <v>A/Receivables - Fuel Clients</v>
      </c>
      <c r="M425" s="383">
        <v>5225</v>
      </c>
      <c r="N425" s="379"/>
      <c r="O425" s="92"/>
      <c r="P425" s="118"/>
    </row>
    <row r="426" spans="1:16" s="117" customFormat="1" ht="15" customHeight="1">
      <c r="A426" s="90"/>
      <c r="B426" s="386"/>
      <c r="C426" s="354"/>
      <c r="D426" s="240"/>
      <c r="E426" s="355"/>
      <c r="F426" s="241"/>
      <c r="G426" s="354"/>
      <c r="H426" s="249"/>
      <c r="I426" s="249"/>
      <c r="J426" s="359"/>
      <c r="K426" s="89">
        <v>40000</v>
      </c>
      <c r="L426" s="360" t="str">
        <f>IF(K426&lt;&gt;"",VLOOKUP(K426,ChartofAccountsTable,2,FALSE),"")</f>
        <v>Sales -Fuel Hauling</v>
      </c>
      <c r="M426" s="383"/>
      <c r="N426" s="379">
        <v>102225</v>
      </c>
      <c r="O426" s="92"/>
      <c r="P426" s="118"/>
    </row>
    <row r="427" spans="1:16" s="117" customFormat="1" ht="15" customHeight="1">
      <c r="A427" s="90"/>
      <c r="B427" s="386">
        <v>46039</v>
      </c>
      <c r="C427" s="354">
        <v>381</v>
      </c>
      <c r="D427" s="394" t="s">
        <v>481</v>
      </c>
      <c r="E427" s="355" t="s">
        <v>482</v>
      </c>
      <c r="F427" s="344" t="s">
        <v>483</v>
      </c>
      <c r="G427" s="354" t="s">
        <v>218</v>
      </c>
      <c r="H427" s="249" t="s">
        <v>159</v>
      </c>
      <c r="I427" s="249">
        <v>0.5</v>
      </c>
      <c r="J427" s="359" t="s">
        <v>475</v>
      </c>
      <c r="K427" s="89">
        <v>21000</v>
      </c>
      <c r="L427" s="360" t="str">
        <f>IF(K427&lt;&gt;"",VLOOKUP(K427,ChartofAccountsTable,2,FALSE),"")</f>
        <v>Unearned Revenue - DHPP</v>
      </c>
      <c r="M427" s="383">
        <v>25875</v>
      </c>
      <c r="N427" s="379"/>
      <c r="O427" s="92"/>
      <c r="P427" s="118"/>
    </row>
    <row r="428" spans="1:16" s="117" customFormat="1" ht="15" customHeight="1">
      <c r="A428" s="90"/>
      <c r="B428" s="386"/>
      <c r="C428" s="354"/>
      <c r="D428" s="240"/>
      <c r="E428" s="355"/>
      <c r="F428" s="241"/>
      <c r="G428" s="354"/>
      <c r="H428" s="249"/>
      <c r="I428" s="249"/>
      <c r="J428" s="359"/>
      <c r="K428" s="89">
        <v>40000</v>
      </c>
      <c r="L428" s="360" t="str">
        <f>IF(K428&lt;&gt;"",VLOOKUP(K428,ChartofAccountsTable,2,FALSE),"")</f>
        <v>Sales -Fuel Hauling</v>
      </c>
      <c r="M428" s="383"/>
      <c r="N428" s="379">
        <v>25875</v>
      </c>
      <c r="O428" s="92"/>
      <c r="P428" s="118"/>
    </row>
    <row r="429" spans="1:16" s="117" customFormat="1" ht="15" customHeight="1">
      <c r="A429" s="90"/>
      <c r="B429" s="386">
        <v>46039</v>
      </c>
      <c r="C429" s="354">
        <v>382</v>
      </c>
      <c r="D429" s="394" t="s">
        <v>484</v>
      </c>
      <c r="E429" s="355" t="s">
        <v>485</v>
      </c>
      <c r="F429" s="344" t="s">
        <v>483</v>
      </c>
      <c r="G429" s="354" t="s">
        <v>420</v>
      </c>
      <c r="H429" s="249" t="s">
        <v>149</v>
      </c>
      <c r="I429" s="249">
        <v>1</v>
      </c>
      <c r="J429" s="359" t="s">
        <v>475</v>
      </c>
      <c r="K429" s="89">
        <v>21000</v>
      </c>
      <c r="L429" s="360" t="str">
        <f>IF(K429&lt;&gt;"",VLOOKUP(K429,ChartofAccountsTable,2,FALSE),"")</f>
        <v>Unearned Revenue - DHPP</v>
      </c>
      <c r="M429" s="383">
        <v>51800</v>
      </c>
      <c r="N429" s="379"/>
      <c r="O429" s="92"/>
      <c r="P429" s="118"/>
    </row>
    <row r="430" spans="1:16" s="117" customFormat="1" ht="15" customHeight="1">
      <c r="A430" s="90"/>
      <c r="B430" s="386"/>
      <c r="C430" s="354"/>
      <c r="D430" s="240"/>
      <c r="E430" s="355"/>
      <c r="F430" s="241"/>
      <c r="G430" s="354"/>
      <c r="H430" s="249"/>
      <c r="I430" s="249"/>
      <c r="J430" s="359"/>
      <c r="K430" s="89">
        <v>40000</v>
      </c>
      <c r="L430" s="360" t="str">
        <f>IF(K430&lt;&gt;"",VLOOKUP(K430,ChartofAccountsTable,2,FALSE),"")</f>
        <v>Sales -Fuel Hauling</v>
      </c>
      <c r="M430" s="383"/>
      <c r="N430" s="379">
        <v>51800</v>
      </c>
      <c r="O430" s="92"/>
      <c r="P430" s="118"/>
    </row>
    <row r="431" spans="1:16" s="117" customFormat="1" ht="15" customHeight="1">
      <c r="A431" s="90"/>
      <c r="B431" s="386">
        <v>46039</v>
      </c>
      <c r="C431" s="354">
        <v>383</v>
      </c>
      <c r="D431" s="394" t="s">
        <v>486</v>
      </c>
      <c r="E431" s="355" t="s">
        <v>487</v>
      </c>
      <c r="F431" s="344" t="s">
        <v>483</v>
      </c>
      <c r="G431" s="354" t="s">
        <v>225</v>
      </c>
      <c r="H431" s="249" t="s">
        <v>192</v>
      </c>
      <c r="I431" s="249">
        <v>1</v>
      </c>
      <c r="J431" s="359" t="s">
        <v>475</v>
      </c>
      <c r="K431" s="89">
        <v>21000</v>
      </c>
      <c r="L431" s="360" t="str">
        <f>IF(K431&lt;&gt;"",VLOOKUP(K431,ChartofAccountsTable,2,FALSE),"")</f>
        <v>Unearned Revenue - DHPP</v>
      </c>
      <c r="M431" s="383">
        <v>51300</v>
      </c>
      <c r="N431" s="379"/>
      <c r="O431" s="92"/>
      <c r="P431" s="118"/>
    </row>
    <row r="432" spans="1:16" s="117" customFormat="1" ht="15" customHeight="1">
      <c r="A432" s="90"/>
      <c r="B432" s="386"/>
      <c r="C432" s="354"/>
      <c r="D432" s="240"/>
      <c r="E432" s="355"/>
      <c r="F432" s="241"/>
      <c r="G432" s="354"/>
      <c r="H432" s="249"/>
      <c r="I432" s="249"/>
      <c r="J432" s="359"/>
      <c r="K432" s="89">
        <v>40000</v>
      </c>
      <c r="L432" s="360" t="str">
        <f>IF(K432&lt;&gt;"",VLOOKUP(K432,ChartofAccountsTable,2,FALSE),"")</f>
        <v>Sales -Fuel Hauling</v>
      </c>
      <c r="M432" s="383"/>
      <c r="N432" s="379">
        <v>51300</v>
      </c>
      <c r="O432" s="92"/>
      <c r="P432" s="118"/>
    </row>
    <row r="433" spans="1:16" s="117" customFormat="1" ht="15" customHeight="1">
      <c r="A433" s="90"/>
      <c r="B433" s="386">
        <v>46039</v>
      </c>
      <c r="C433" s="354">
        <v>384</v>
      </c>
      <c r="D433" s="394" t="s">
        <v>488</v>
      </c>
      <c r="E433" s="355" t="s">
        <v>489</v>
      </c>
      <c r="F433" s="344" t="s">
        <v>483</v>
      </c>
      <c r="G433" s="354" t="s">
        <v>490</v>
      </c>
      <c r="H433" s="249" t="s">
        <v>168</v>
      </c>
      <c r="I433" s="249">
        <v>0.5</v>
      </c>
      <c r="J433" s="359" t="s">
        <v>475</v>
      </c>
      <c r="K433" s="89">
        <v>21000</v>
      </c>
      <c r="L433" s="360" t="str">
        <f>IF(K433&lt;&gt;"",VLOOKUP(K433,ChartofAccountsTable,2,FALSE),"")</f>
        <v>Unearned Revenue - DHPP</v>
      </c>
      <c r="M433" s="383">
        <v>26175</v>
      </c>
      <c r="N433" s="379"/>
      <c r="O433" s="92"/>
      <c r="P433" s="118"/>
    </row>
    <row r="434" spans="1:16" s="117" customFormat="1" ht="15" customHeight="1">
      <c r="A434" s="90"/>
      <c r="B434" s="386"/>
      <c r="C434" s="354"/>
      <c r="D434" s="240"/>
      <c r="E434" s="355"/>
      <c r="F434" s="241"/>
      <c r="G434" s="354"/>
      <c r="H434" s="249"/>
      <c r="I434" s="249"/>
      <c r="J434" s="359"/>
      <c r="K434" s="89">
        <v>40000</v>
      </c>
      <c r="L434" s="360" t="str">
        <f>IF(K434&lt;&gt;"",VLOOKUP(K434,ChartofAccountsTable,2,FALSE),"")</f>
        <v>Sales -Fuel Hauling</v>
      </c>
      <c r="M434" s="383"/>
      <c r="N434" s="379">
        <v>26175</v>
      </c>
      <c r="O434" s="92"/>
      <c r="P434" s="118"/>
    </row>
    <row r="435" spans="1:16" s="117" customFormat="1" ht="15" customHeight="1">
      <c r="A435" s="90"/>
      <c r="B435" s="386">
        <v>46037</v>
      </c>
      <c r="C435" s="354">
        <v>1000</v>
      </c>
      <c r="D435" s="394" t="s">
        <v>491</v>
      </c>
      <c r="E435" s="355" t="s">
        <v>492</v>
      </c>
      <c r="F435" s="344" t="s">
        <v>483</v>
      </c>
      <c r="G435" s="354" t="s">
        <v>356</v>
      </c>
      <c r="H435" s="249" t="s">
        <v>493</v>
      </c>
      <c r="I435" s="249">
        <v>1</v>
      </c>
      <c r="J435" s="359" t="s">
        <v>174</v>
      </c>
      <c r="K435" s="89">
        <v>21000</v>
      </c>
      <c r="L435" s="360" t="str">
        <f>IF(K435&lt;&gt;"",VLOOKUP(K435,ChartofAccountsTable,2,FALSE),"")</f>
        <v>Unearned Revenue - DHPP</v>
      </c>
      <c r="M435" s="383">
        <v>49350</v>
      </c>
      <c r="N435" s="379"/>
      <c r="O435" s="92"/>
      <c r="P435" s="118"/>
    </row>
    <row r="436" spans="1:16" s="117" customFormat="1" ht="15" customHeight="1">
      <c r="A436" s="90"/>
      <c r="B436" s="386"/>
      <c r="C436" s="354"/>
      <c r="D436" s="240"/>
      <c r="E436" s="355"/>
      <c r="F436" s="241"/>
      <c r="G436" s="354"/>
      <c r="H436" s="249"/>
      <c r="I436" s="249"/>
      <c r="J436" s="359"/>
      <c r="K436" s="89">
        <v>40000</v>
      </c>
      <c r="L436" s="360" t="str">
        <f>IF(K436&lt;&gt;"",VLOOKUP(K436,ChartofAccountsTable,2,FALSE),"")</f>
        <v>Sales -Fuel Hauling</v>
      </c>
      <c r="M436" s="383"/>
      <c r="N436" s="379">
        <v>49350</v>
      </c>
      <c r="O436" s="92"/>
      <c r="P436" s="118"/>
    </row>
    <row r="437" spans="1:16" s="117" customFormat="1" ht="15" customHeight="1">
      <c r="A437" s="90"/>
      <c r="B437" s="386">
        <v>46037</v>
      </c>
      <c r="C437" s="354">
        <v>1001</v>
      </c>
      <c r="D437" s="394" t="s">
        <v>494</v>
      </c>
      <c r="E437" s="355" t="s">
        <v>495</v>
      </c>
      <c r="F437" s="344" t="s">
        <v>483</v>
      </c>
      <c r="G437" s="354" t="s">
        <v>252</v>
      </c>
      <c r="H437" s="249" t="s">
        <v>267</v>
      </c>
      <c r="I437" s="249">
        <v>4</v>
      </c>
      <c r="J437" s="359" t="s">
        <v>174</v>
      </c>
      <c r="K437" s="89">
        <v>21000</v>
      </c>
      <c r="L437" s="360" t="str">
        <f>IF(K437&lt;&gt;"",VLOOKUP(K437,ChartofAccountsTable,2,FALSE),"")</f>
        <v>Unearned Revenue - DHPP</v>
      </c>
      <c r="M437" s="383">
        <v>202350</v>
      </c>
      <c r="N437" s="379"/>
      <c r="O437" s="92"/>
      <c r="P437" s="118"/>
    </row>
    <row r="438" spans="1:16" s="117" customFormat="1" ht="15" customHeight="1">
      <c r="A438" s="90"/>
      <c r="B438" s="386"/>
      <c r="C438" s="354"/>
      <c r="D438" s="240"/>
      <c r="E438" s="355"/>
      <c r="F438" s="241"/>
      <c r="G438" s="354"/>
      <c r="H438" s="249"/>
      <c r="I438" s="249"/>
      <c r="J438" s="359"/>
      <c r="K438" s="89">
        <v>40000</v>
      </c>
      <c r="L438" s="360" t="str">
        <f>IF(K438&lt;&gt;"",VLOOKUP(K438,ChartofAccountsTable,2,FALSE),"")</f>
        <v>Sales -Fuel Hauling</v>
      </c>
      <c r="M438" s="383"/>
      <c r="N438" s="379">
        <v>202350</v>
      </c>
      <c r="O438" s="92"/>
      <c r="P438" s="118"/>
    </row>
    <row r="439" spans="1:16" s="117" customFormat="1" ht="15" customHeight="1">
      <c r="A439" s="90"/>
      <c r="B439" s="386">
        <v>46037</v>
      </c>
      <c r="C439" s="354">
        <v>1002</v>
      </c>
      <c r="D439" s="394" t="s">
        <v>496</v>
      </c>
      <c r="E439" s="355" t="s">
        <v>497</v>
      </c>
      <c r="F439" s="344" t="s">
        <v>483</v>
      </c>
      <c r="G439" s="354" t="s">
        <v>334</v>
      </c>
      <c r="H439" s="249" t="s">
        <v>149</v>
      </c>
      <c r="I439" s="249">
        <v>1</v>
      </c>
      <c r="J439" s="359" t="s">
        <v>174</v>
      </c>
      <c r="K439" s="89">
        <v>21000</v>
      </c>
      <c r="L439" s="360" t="str">
        <f>IF(K439&lt;&gt;"",VLOOKUP(K439,ChartofAccountsTable,2,FALSE),"")</f>
        <v>Unearned Revenue - DHPP</v>
      </c>
      <c r="M439" s="383">
        <v>51450</v>
      </c>
      <c r="N439" s="379"/>
      <c r="O439" s="92"/>
      <c r="P439" s="118"/>
    </row>
    <row r="440" spans="1:16" s="117" customFormat="1" ht="15" customHeight="1">
      <c r="A440" s="90"/>
      <c r="B440" s="386"/>
      <c r="C440" s="354"/>
      <c r="D440" s="240"/>
      <c r="E440" s="355"/>
      <c r="F440" s="344"/>
      <c r="G440" s="354"/>
      <c r="H440" s="249"/>
      <c r="I440" s="249"/>
      <c r="J440" s="359"/>
      <c r="K440" s="89">
        <v>40000</v>
      </c>
      <c r="L440" s="360" t="str">
        <f>IF(K440&lt;&gt;"",VLOOKUP(K440,ChartofAccountsTable,2,FALSE),"")</f>
        <v>Sales -Fuel Hauling</v>
      </c>
      <c r="M440" s="383"/>
      <c r="N440" s="379">
        <v>51450</v>
      </c>
      <c r="O440" s="92"/>
      <c r="P440" s="118"/>
    </row>
    <row r="441" spans="1:16" s="117" customFormat="1" ht="15" customHeight="1">
      <c r="A441" s="90"/>
      <c r="B441" s="386">
        <v>46037</v>
      </c>
      <c r="C441" s="354">
        <v>1003</v>
      </c>
      <c r="D441" s="394" t="s">
        <v>498</v>
      </c>
      <c r="E441" s="355" t="s">
        <v>499</v>
      </c>
      <c r="F441" s="344" t="s">
        <v>483</v>
      </c>
      <c r="G441" s="354" t="s">
        <v>336</v>
      </c>
      <c r="H441" s="249" t="s">
        <v>493</v>
      </c>
      <c r="I441" s="249">
        <v>1</v>
      </c>
      <c r="J441" s="359" t="s">
        <v>174</v>
      </c>
      <c r="K441" s="89">
        <v>21000</v>
      </c>
      <c r="L441" s="360" t="str">
        <f>IF(K441&lt;&gt;"",VLOOKUP(K441,ChartofAccountsTable,2,FALSE),"")</f>
        <v>Unearned Revenue - DHPP</v>
      </c>
      <c r="M441" s="383">
        <v>49550</v>
      </c>
      <c r="N441" s="379"/>
      <c r="O441" s="92"/>
      <c r="P441" s="118"/>
    </row>
    <row r="442" spans="1:16" s="117" customFormat="1" ht="15" customHeight="1">
      <c r="A442" s="90"/>
      <c r="B442" s="386"/>
      <c r="C442" s="354"/>
      <c r="D442" s="240"/>
      <c r="E442" s="355"/>
      <c r="F442" s="241"/>
      <c r="G442" s="354"/>
      <c r="H442" s="249"/>
      <c r="I442" s="249"/>
      <c r="J442" s="359"/>
      <c r="K442" s="89">
        <v>40000</v>
      </c>
      <c r="L442" s="360" t="str">
        <f>IF(K442&lt;&gt;"",VLOOKUP(K442,ChartofAccountsTable,2,FALSE),"")</f>
        <v>Sales -Fuel Hauling</v>
      </c>
      <c r="M442" s="383"/>
      <c r="N442" s="379">
        <v>49550</v>
      </c>
      <c r="O442" s="92"/>
      <c r="P442" s="118"/>
    </row>
    <row r="443" spans="1:16" s="117" customFormat="1" ht="15" customHeight="1">
      <c r="A443" s="90"/>
      <c r="B443" s="386">
        <v>46037</v>
      </c>
      <c r="C443" s="354">
        <v>1003</v>
      </c>
      <c r="D443" s="394" t="s">
        <v>500</v>
      </c>
      <c r="E443" s="355" t="s">
        <v>501</v>
      </c>
      <c r="F443" s="344" t="s">
        <v>483</v>
      </c>
      <c r="G443" s="354" t="s">
        <v>336</v>
      </c>
      <c r="H443" s="249" t="s">
        <v>192</v>
      </c>
      <c r="I443" s="249">
        <v>1</v>
      </c>
      <c r="J443" s="359" t="s">
        <v>174</v>
      </c>
      <c r="K443" s="89">
        <v>21000</v>
      </c>
      <c r="L443" s="360" t="str">
        <f>IF(K443&lt;&gt;"",VLOOKUP(K443,ChartofAccountsTable,2,FALSE),"")</f>
        <v>Unearned Revenue - DHPP</v>
      </c>
      <c r="M443" s="384">
        <v>51200</v>
      </c>
      <c r="N443" s="379"/>
      <c r="O443" s="92"/>
      <c r="P443" s="118"/>
    </row>
    <row r="444" spans="1:16" s="117" customFormat="1" ht="15" customHeight="1">
      <c r="A444" s="90"/>
      <c r="B444" s="386"/>
      <c r="C444" s="354"/>
      <c r="D444" s="240"/>
      <c r="E444" s="355"/>
      <c r="F444" s="241"/>
      <c r="G444" s="354"/>
      <c r="H444" s="249"/>
      <c r="I444" s="249"/>
      <c r="J444" s="359"/>
      <c r="K444" s="89">
        <v>40000</v>
      </c>
      <c r="L444" s="360" t="str">
        <f>IF(K444&lt;&gt;"",VLOOKUP(K444,ChartofAccountsTable,2,FALSE),"")</f>
        <v>Sales -Fuel Hauling</v>
      </c>
      <c r="M444" s="383"/>
      <c r="N444" s="379">
        <v>51200</v>
      </c>
      <c r="O444" s="92"/>
      <c r="P444" s="118"/>
    </row>
    <row r="445" spans="1:16" s="117" customFormat="1" ht="15" customHeight="1">
      <c r="A445" s="90"/>
      <c r="B445" s="386">
        <v>46037</v>
      </c>
      <c r="C445" s="354">
        <v>1005</v>
      </c>
      <c r="D445" s="394" t="s">
        <v>502</v>
      </c>
      <c r="E445" s="348" t="s">
        <v>503</v>
      </c>
      <c r="F445" s="344" t="s">
        <v>483</v>
      </c>
      <c r="G445" s="354" t="s">
        <v>313</v>
      </c>
      <c r="H445" s="249" t="s">
        <v>149</v>
      </c>
      <c r="I445" s="249">
        <v>1</v>
      </c>
      <c r="J445" s="359" t="s">
        <v>174</v>
      </c>
      <c r="K445" s="89">
        <v>21000</v>
      </c>
      <c r="L445" s="360" t="str">
        <f>IF(K445&lt;&gt;"",VLOOKUP(K445,ChartofAccountsTable,2,FALSE),"")</f>
        <v>Unearned Revenue - DHPP</v>
      </c>
      <c r="M445" s="383">
        <v>51700</v>
      </c>
      <c r="N445" s="379"/>
      <c r="O445" s="92"/>
      <c r="P445" s="118"/>
    </row>
    <row r="446" spans="1:16" s="117" customFormat="1" ht="15" customHeight="1">
      <c r="A446" s="90"/>
      <c r="B446" s="386"/>
      <c r="C446" s="354"/>
      <c r="D446" s="240"/>
      <c r="E446" s="348"/>
      <c r="F446" s="241"/>
      <c r="G446" s="354"/>
      <c r="H446" s="249"/>
      <c r="I446" s="249"/>
      <c r="J446" s="359"/>
      <c r="K446" s="89">
        <v>40000</v>
      </c>
      <c r="L446" s="360" t="str">
        <f>IF(K446&lt;&gt;"",VLOOKUP(K446,ChartofAccountsTable,2,FALSE),"")</f>
        <v>Sales -Fuel Hauling</v>
      </c>
      <c r="M446" s="383"/>
      <c r="N446" s="379">
        <v>51700</v>
      </c>
      <c r="O446" s="92"/>
      <c r="P446" s="118"/>
    </row>
    <row r="447" spans="1:16" s="117" customFormat="1" ht="15" customHeight="1">
      <c r="A447" s="90"/>
      <c r="B447" s="386">
        <v>46037</v>
      </c>
      <c r="C447" s="354">
        <v>1004</v>
      </c>
      <c r="D447" s="394" t="s">
        <v>504</v>
      </c>
      <c r="E447" s="355" t="s">
        <v>505</v>
      </c>
      <c r="F447" s="344" t="s">
        <v>483</v>
      </c>
      <c r="G447" s="354" t="s">
        <v>506</v>
      </c>
      <c r="H447" s="249" t="s">
        <v>149</v>
      </c>
      <c r="I447" s="249">
        <v>1</v>
      </c>
      <c r="J447" s="359" t="s">
        <v>174</v>
      </c>
      <c r="K447" s="89">
        <v>21000</v>
      </c>
      <c r="L447" s="360" t="str">
        <f>IF(K447&lt;&gt;"",VLOOKUP(K447,ChartofAccountsTable,2,FALSE),"")</f>
        <v>Unearned Revenue - DHPP</v>
      </c>
      <c r="M447" s="383">
        <v>51900</v>
      </c>
      <c r="N447" s="379"/>
      <c r="O447" s="92"/>
      <c r="P447" s="118"/>
    </row>
    <row r="448" spans="1:16" s="117" customFormat="1" ht="15" customHeight="1">
      <c r="A448" s="90"/>
      <c r="B448" s="386"/>
      <c r="C448" s="354"/>
      <c r="D448" s="240"/>
      <c r="E448" s="355"/>
      <c r="F448" s="241"/>
      <c r="G448" s="354"/>
      <c r="H448" s="249"/>
      <c r="I448" s="249"/>
      <c r="J448" s="359"/>
      <c r="K448" s="89">
        <v>40000</v>
      </c>
      <c r="L448" s="360" t="str">
        <f>IF(K448&lt;&gt;"",VLOOKUP(K448,ChartofAccountsTable,2,FALSE),"")</f>
        <v>Sales -Fuel Hauling</v>
      </c>
      <c r="M448" s="383"/>
      <c r="N448" s="379">
        <v>51900</v>
      </c>
      <c r="O448" s="92"/>
      <c r="P448" s="118"/>
    </row>
    <row r="449" spans="1:16" s="117" customFormat="1" ht="15" customHeight="1">
      <c r="A449" s="90"/>
      <c r="B449" s="386">
        <v>46038</v>
      </c>
      <c r="C449" s="354">
        <v>1006</v>
      </c>
      <c r="D449" s="394" t="s">
        <v>507</v>
      </c>
      <c r="E449" s="355" t="s">
        <v>508</v>
      </c>
      <c r="F449" s="344" t="s">
        <v>483</v>
      </c>
      <c r="G449" s="354" t="s">
        <v>194</v>
      </c>
      <c r="H449" s="391" t="s">
        <v>149</v>
      </c>
      <c r="I449" s="249">
        <v>1</v>
      </c>
      <c r="J449" s="359" t="s">
        <v>174</v>
      </c>
      <c r="K449" s="89">
        <v>21000</v>
      </c>
      <c r="L449" s="360" t="str">
        <f>IF(K449&lt;&gt;"",VLOOKUP(K449,ChartofAccountsTable,2,FALSE),"")</f>
        <v>Unearned Revenue - DHPP</v>
      </c>
      <c r="M449" s="383">
        <v>51850</v>
      </c>
      <c r="N449" s="379"/>
      <c r="O449" s="92"/>
      <c r="P449" s="118"/>
    </row>
    <row r="450" spans="1:16" s="117" customFormat="1" ht="15" customHeight="1">
      <c r="A450" s="90"/>
      <c r="B450" s="386"/>
      <c r="C450" s="354"/>
      <c r="D450" s="240"/>
      <c r="E450" s="355"/>
      <c r="F450" s="241"/>
      <c r="G450" s="354"/>
      <c r="H450" s="391"/>
      <c r="I450" s="249"/>
      <c r="J450" s="359"/>
      <c r="K450" s="89">
        <v>40000</v>
      </c>
      <c r="L450" s="360" t="str">
        <f>IF(K450&lt;&gt;"",VLOOKUP(K450,ChartofAccountsTable,2,FALSE),"")</f>
        <v>Sales -Fuel Hauling</v>
      </c>
      <c r="M450" s="383"/>
      <c r="N450" s="379">
        <v>51850</v>
      </c>
      <c r="O450" s="92"/>
      <c r="P450" s="118"/>
    </row>
    <row r="451" spans="1:16" s="117" customFormat="1" ht="15" customHeight="1">
      <c r="A451" s="90"/>
      <c r="B451" s="386">
        <v>46038</v>
      </c>
      <c r="C451" s="354">
        <v>1007</v>
      </c>
      <c r="D451" s="394" t="s">
        <v>509</v>
      </c>
      <c r="E451" s="355" t="s">
        <v>510</v>
      </c>
      <c r="F451" s="344" t="s">
        <v>483</v>
      </c>
      <c r="G451" s="354" t="s">
        <v>164</v>
      </c>
      <c r="H451" s="249" t="s">
        <v>159</v>
      </c>
      <c r="I451" s="249">
        <v>0.5</v>
      </c>
      <c r="J451" s="359" t="s">
        <v>174</v>
      </c>
      <c r="K451" s="89">
        <v>12030</v>
      </c>
      <c r="L451" s="360" t="str">
        <f>IF(K451&lt;&gt;"",VLOOKUP(K451,ChartofAccountsTable,2,FALSE),"")</f>
        <v>A/Receivables - Fuel Clients</v>
      </c>
      <c r="M451" s="383">
        <v>25675</v>
      </c>
      <c r="N451" s="379"/>
      <c r="O451" s="92"/>
      <c r="P451" s="118"/>
    </row>
    <row r="452" spans="1:16" s="117" customFormat="1" ht="15" customHeight="1">
      <c r="A452" s="90"/>
      <c r="B452" s="386"/>
      <c r="C452" s="354"/>
      <c r="D452" s="240"/>
      <c r="E452" s="355"/>
      <c r="F452" s="241"/>
      <c r="G452" s="354"/>
      <c r="H452" s="249"/>
      <c r="I452" s="249"/>
      <c r="J452" s="359"/>
      <c r="K452" s="89">
        <v>40000</v>
      </c>
      <c r="L452" s="360" t="str">
        <f>IF(K452&lt;&gt;"",VLOOKUP(K452,ChartofAccountsTable,2,FALSE),"")</f>
        <v>Sales -Fuel Hauling</v>
      </c>
      <c r="M452" s="383"/>
      <c r="N452" s="379">
        <v>25675</v>
      </c>
      <c r="O452" s="92"/>
      <c r="P452" s="118"/>
    </row>
    <row r="453" spans="1:16" s="117" customFormat="1" ht="15" customHeight="1">
      <c r="A453" s="90"/>
      <c r="B453" s="386">
        <v>46039</v>
      </c>
      <c r="C453" s="354">
        <v>1012</v>
      </c>
      <c r="D453" s="394" t="s">
        <v>511</v>
      </c>
      <c r="E453" s="355" t="s">
        <v>512</v>
      </c>
      <c r="F453" s="344" t="s">
        <v>483</v>
      </c>
      <c r="G453" s="354" t="s">
        <v>249</v>
      </c>
      <c r="H453" s="249" t="s">
        <v>162</v>
      </c>
      <c r="I453" s="249">
        <v>0.5</v>
      </c>
      <c r="J453" s="359" t="s">
        <v>174</v>
      </c>
      <c r="K453" s="89">
        <v>21000</v>
      </c>
      <c r="L453" s="360" t="str">
        <f>IF(K453&lt;&gt;"",VLOOKUP(K453,ChartofAccountsTable,2,FALSE),"")</f>
        <v>Unearned Revenue - DHPP</v>
      </c>
      <c r="M453" s="383">
        <v>24600</v>
      </c>
      <c r="N453" s="379"/>
      <c r="O453" s="92"/>
      <c r="P453" s="118"/>
    </row>
    <row r="454" spans="1:16" s="117" customFormat="1" ht="15" customHeight="1">
      <c r="A454" s="90"/>
      <c r="B454" s="386"/>
      <c r="C454" s="354"/>
      <c r="D454" s="240"/>
      <c r="E454" s="355"/>
      <c r="F454" s="241"/>
      <c r="G454" s="354"/>
      <c r="H454" s="249"/>
      <c r="I454" s="249"/>
      <c r="J454" s="359"/>
      <c r="K454" s="89">
        <v>40000</v>
      </c>
      <c r="L454" s="360" t="str">
        <f>IF(K454&lt;&gt;"",VLOOKUP(K454,ChartofAccountsTable,2,FALSE),"")</f>
        <v>Sales -Fuel Hauling</v>
      </c>
      <c r="M454" s="383"/>
      <c r="N454" s="379">
        <v>24600</v>
      </c>
      <c r="O454" s="92"/>
      <c r="P454" s="118"/>
    </row>
    <row r="455" spans="1:16" s="117" customFormat="1" ht="15" customHeight="1">
      <c r="A455" s="90"/>
      <c r="B455" s="386">
        <v>46038</v>
      </c>
      <c r="C455" s="354">
        <v>1008</v>
      </c>
      <c r="D455" s="394" t="s">
        <v>513</v>
      </c>
      <c r="E455" s="355" t="s">
        <v>514</v>
      </c>
      <c r="F455" s="344" t="s">
        <v>483</v>
      </c>
      <c r="G455" s="354" t="s">
        <v>356</v>
      </c>
      <c r="H455" s="249" t="s">
        <v>159</v>
      </c>
      <c r="I455" s="249">
        <v>0.5</v>
      </c>
      <c r="J455" s="359" t="s">
        <v>174</v>
      </c>
      <c r="K455" s="89">
        <v>21000</v>
      </c>
      <c r="L455" s="360" t="str">
        <f>IF(K455&lt;&gt;"",VLOOKUP(K455,ChartofAccountsTable,2,FALSE),"")</f>
        <v>Unearned Revenue - DHPP</v>
      </c>
      <c r="M455" s="383">
        <v>25450</v>
      </c>
      <c r="N455" s="379"/>
      <c r="O455" s="92"/>
      <c r="P455" s="118"/>
    </row>
    <row r="456" spans="1:16" s="117" customFormat="1" ht="15" customHeight="1">
      <c r="A456" s="90"/>
      <c r="B456" s="386"/>
      <c r="C456" s="354"/>
      <c r="D456" s="240"/>
      <c r="E456" s="355"/>
      <c r="F456" s="241"/>
      <c r="G456" s="354"/>
      <c r="H456" s="249"/>
      <c r="I456" s="249"/>
      <c r="J456" s="359"/>
      <c r="K456" s="89">
        <v>40000</v>
      </c>
      <c r="L456" s="360" t="str">
        <f>IF(K456&lt;&gt;"",VLOOKUP(K456,ChartofAccountsTable,2,FALSE),"")</f>
        <v>Sales -Fuel Hauling</v>
      </c>
      <c r="M456" s="383"/>
      <c r="N456" s="379">
        <v>25450</v>
      </c>
      <c r="O456" s="92"/>
      <c r="P456" s="118"/>
    </row>
    <row r="457" spans="1:16" s="117" customFormat="1" ht="15" customHeight="1">
      <c r="A457" s="90"/>
      <c r="B457" s="386">
        <v>46039</v>
      </c>
      <c r="C457" s="354">
        <v>1011</v>
      </c>
      <c r="D457" s="394" t="s">
        <v>515</v>
      </c>
      <c r="E457" s="355" t="s">
        <v>516</v>
      </c>
      <c r="F457" s="344" t="s">
        <v>483</v>
      </c>
      <c r="G457" s="354" t="s">
        <v>375</v>
      </c>
      <c r="H457" s="249" t="s">
        <v>173</v>
      </c>
      <c r="I457" s="249">
        <v>1.5</v>
      </c>
      <c r="J457" s="359" t="s">
        <v>174</v>
      </c>
      <c r="K457" s="89">
        <v>21000</v>
      </c>
      <c r="L457" s="360" t="str">
        <f>IF(K457&lt;&gt;"",VLOOKUP(K457,ChartofAccountsTable,2,FALSE),"")</f>
        <v>Unearned Revenue - DHPP</v>
      </c>
      <c r="M457" s="383">
        <v>77225</v>
      </c>
      <c r="N457" s="379"/>
      <c r="O457" s="92"/>
      <c r="P457" s="118"/>
    </row>
    <row r="458" spans="1:16" s="117" customFormat="1" ht="15" customHeight="1">
      <c r="A458" s="90"/>
      <c r="B458" s="386"/>
      <c r="C458" s="354"/>
      <c r="D458" s="240"/>
      <c r="E458" s="355"/>
      <c r="F458" s="241"/>
      <c r="G458" s="354"/>
      <c r="H458" s="249"/>
      <c r="I458" s="249"/>
      <c r="J458" s="359"/>
      <c r="K458" s="89">
        <v>40000</v>
      </c>
      <c r="L458" s="360" t="str">
        <f>IF(K458&lt;&gt;"",VLOOKUP(K458,ChartofAccountsTable,2,FALSE),"")</f>
        <v>Sales -Fuel Hauling</v>
      </c>
      <c r="M458" s="383"/>
      <c r="N458" s="379">
        <v>77225</v>
      </c>
      <c r="O458" s="92"/>
      <c r="P458" s="118"/>
    </row>
    <row r="459" spans="1:16" s="117" customFormat="1" ht="15" customHeight="1">
      <c r="A459" s="90"/>
      <c r="B459" s="386">
        <v>46039</v>
      </c>
      <c r="C459" s="354">
        <v>1009</v>
      </c>
      <c r="D459" s="394" t="s">
        <v>517</v>
      </c>
      <c r="E459" s="355" t="s">
        <v>518</v>
      </c>
      <c r="F459" s="344" t="s">
        <v>483</v>
      </c>
      <c r="G459" s="388" t="s">
        <v>519</v>
      </c>
      <c r="H459" s="249" t="s">
        <v>439</v>
      </c>
      <c r="I459" s="249">
        <v>3</v>
      </c>
      <c r="J459" s="359" t="s">
        <v>174</v>
      </c>
      <c r="K459" s="89">
        <v>21000</v>
      </c>
      <c r="L459" s="360" t="str">
        <f>IF(K459&lt;&gt;"",VLOOKUP(K459,ChartofAccountsTable,2,FALSE),"")</f>
        <v>Unearned Revenue - DHPP</v>
      </c>
      <c r="M459" s="383">
        <v>153450</v>
      </c>
      <c r="N459" s="379"/>
      <c r="O459" s="92"/>
      <c r="P459" s="118"/>
    </row>
    <row r="460" spans="1:16" s="117" customFormat="1" ht="15" customHeight="1">
      <c r="A460" s="90"/>
      <c r="B460" s="386"/>
      <c r="C460" s="354"/>
      <c r="D460" s="240"/>
      <c r="E460" s="355"/>
      <c r="F460" s="241"/>
      <c r="G460" s="388"/>
      <c r="H460" s="249"/>
      <c r="I460" s="249"/>
      <c r="J460" s="359"/>
      <c r="K460" s="89">
        <v>40000</v>
      </c>
      <c r="L460" s="360" t="str">
        <f>IF(K460&lt;&gt;"",VLOOKUP(K460,ChartofAccountsTable,2,FALSE),"")</f>
        <v>Sales -Fuel Hauling</v>
      </c>
      <c r="M460" s="383"/>
      <c r="N460" s="379">
        <v>153450</v>
      </c>
      <c r="O460" s="92"/>
      <c r="P460" s="118"/>
    </row>
    <row r="461" spans="1:16" s="117" customFormat="1" ht="15" customHeight="1">
      <c r="A461" s="90"/>
      <c r="B461" s="386">
        <v>46039</v>
      </c>
      <c r="C461" s="354">
        <v>1010</v>
      </c>
      <c r="D461" s="394" t="s">
        <v>520</v>
      </c>
      <c r="E461" s="355" t="s">
        <v>521</v>
      </c>
      <c r="F461" s="344" t="s">
        <v>483</v>
      </c>
      <c r="G461" s="354" t="s">
        <v>313</v>
      </c>
      <c r="H461" s="249" t="s">
        <v>149</v>
      </c>
      <c r="I461" s="249">
        <v>1</v>
      </c>
      <c r="J461" s="359" t="s">
        <v>174</v>
      </c>
      <c r="K461" s="89">
        <v>21000</v>
      </c>
      <c r="L461" s="360" t="str">
        <f>IF(K461&lt;&gt;"",VLOOKUP(K461,ChartofAccountsTable,2,FALSE),"")</f>
        <v>Unearned Revenue - DHPP</v>
      </c>
      <c r="M461" s="383">
        <v>51700</v>
      </c>
      <c r="N461" s="379"/>
      <c r="O461" s="92"/>
      <c r="P461" s="118"/>
    </row>
    <row r="462" spans="1:16" s="117" customFormat="1" ht="15" customHeight="1">
      <c r="A462" s="90"/>
      <c r="B462" s="386"/>
      <c r="C462" s="354"/>
      <c r="D462" s="240"/>
      <c r="E462" s="355"/>
      <c r="F462" s="241"/>
      <c r="G462" s="354"/>
      <c r="H462" s="249"/>
      <c r="I462" s="249"/>
      <c r="J462" s="359"/>
      <c r="K462" s="89">
        <v>40000</v>
      </c>
      <c r="L462" s="360" t="str">
        <f>IF(K462&lt;&gt;"",VLOOKUP(K462,ChartofAccountsTable,2,FALSE),"")</f>
        <v>Sales -Fuel Hauling</v>
      </c>
      <c r="M462" s="383"/>
      <c r="N462" s="379">
        <v>51700</v>
      </c>
      <c r="O462" s="92"/>
      <c r="P462" s="118"/>
    </row>
    <row r="463" spans="1:16" s="117" customFormat="1" ht="15" customHeight="1">
      <c r="A463" s="90"/>
      <c r="B463" s="386">
        <v>46039</v>
      </c>
      <c r="C463" s="354">
        <v>1014</v>
      </c>
      <c r="D463" s="394" t="s">
        <v>522</v>
      </c>
      <c r="E463" s="355" t="s">
        <v>523</v>
      </c>
      <c r="F463" s="344" t="s">
        <v>483</v>
      </c>
      <c r="G463" s="354" t="s">
        <v>338</v>
      </c>
      <c r="H463" s="249" t="s">
        <v>149</v>
      </c>
      <c r="I463" s="249">
        <v>1</v>
      </c>
      <c r="J463" s="359" t="s">
        <v>174</v>
      </c>
      <c r="K463" s="89">
        <v>21000</v>
      </c>
      <c r="L463" s="360" t="str">
        <f>IF(K463&lt;&gt;"",VLOOKUP(K463,ChartofAccountsTable,2,FALSE),"")</f>
        <v>Unearned Revenue - DHPP</v>
      </c>
      <c r="M463" s="395">
        <v>30000</v>
      </c>
      <c r="N463" s="138"/>
      <c r="O463" s="92"/>
      <c r="P463" s="118"/>
    </row>
    <row r="464" spans="1:16" s="117" customFormat="1" ht="15" customHeight="1">
      <c r="A464" s="90"/>
      <c r="B464" s="386"/>
      <c r="C464" s="354"/>
      <c r="D464" s="240"/>
      <c r="E464" s="355"/>
      <c r="F464" s="241"/>
      <c r="G464" s="354"/>
      <c r="H464" s="249"/>
      <c r="I464" s="249"/>
      <c r="J464" s="359"/>
      <c r="K464" s="89">
        <v>12030</v>
      </c>
      <c r="L464" s="360" t="str">
        <f>IF(K464&lt;&gt;"",VLOOKUP(K464,ChartofAccountsTable,2,FALSE),"")</f>
        <v>A/Receivables - Fuel Clients</v>
      </c>
      <c r="M464" s="383">
        <v>22250</v>
      </c>
      <c r="N464" s="138"/>
      <c r="O464" s="92"/>
      <c r="P464" s="118"/>
    </row>
    <row r="465" spans="1:16" s="117" customFormat="1" ht="15" customHeight="1">
      <c r="A465" s="90"/>
      <c r="B465" s="386"/>
      <c r="C465" s="354"/>
      <c r="D465" s="240"/>
      <c r="E465" s="355"/>
      <c r="F465" s="241"/>
      <c r="G465" s="354"/>
      <c r="H465" s="249"/>
      <c r="I465" s="249"/>
      <c r="J465" s="359"/>
      <c r="K465" s="89">
        <v>40000</v>
      </c>
      <c r="L465" s="360" t="str">
        <f>IF(K465&lt;&gt;"",VLOOKUP(K465,ChartofAccountsTable,2,FALSE),"")</f>
        <v>Sales -Fuel Hauling</v>
      </c>
      <c r="M465" s="383"/>
      <c r="N465" s="138">
        <v>52250</v>
      </c>
      <c r="O465" s="92"/>
      <c r="P465" s="118"/>
    </row>
    <row r="466" spans="1:16" s="117" customFormat="1" ht="15" customHeight="1">
      <c r="A466" s="90"/>
      <c r="B466" s="386">
        <v>46039</v>
      </c>
      <c r="C466" s="354">
        <v>1013</v>
      </c>
      <c r="D466" s="394" t="s">
        <v>524</v>
      </c>
      <c r="E466" s="355" t="s">
        <v>525</v>
      </c>
      <c r="F466" s="344" t="s">
        <v>483</v>
      </c>
      <c r="G466" s="354" t="s">
        <v>341</v>
      </c>
      <c r="H466" s="249" t="s">
        <v>179</v>
      </c>
      <c r="I466" s="249">
        <v>1</v>
      </c>
      <c r="J466" s="359" t="s">
        <v>174</v>
      </c>
      <c r="K466" s="89">
        <v>21000</v>
      </c>
      <c r="L466" s="360" t="str">
        <f>IF(K466&lt;&gt;"",VLOOKUP(K466,ChartofAccountsTable,2,FALSE),"")</f>
        <v>Unearned Revenue - DHPP</v>
      </c>
      <c r="M466" s="252">
        <v>50875</v>
      </c>
      <c r="N466" s="138"/>
      <c r="O466" s="92"/>
      <c r="P466" s="118"/>
    </row>
    <row r="467" spans="1:16" s="117" customFormat="1" ht="15" customHeight="1">
      <c r="A467" s="90"/>
      <c r="B467" s="386"/>
      <c r="C467" s="354"/>
      <c r="D467" s="240"/>
      <c r="E467" s="355"/>
      <c r="F467" s="241"/>
      <c r="G467" s="354"/>
      <c r="H467" s="249"/>
      <c r="I467" s="249"/>
      <c r="J467" s="359"/>
      <c r="K467" s="89">
        <v>40000</v>
      </c>
      <c r="L467" s="360" t="str">
        <f>IF(K467&lt;&gt;"",VLOOKUP(K467,ChartofAccountsTable,2,FALSE),"")</f>
        <v>Sales -Fuel Hauling</v>
      </c>
      <c r="M467" s="252"/>
      <c r="N467" s="138">
        <v>50875</v>
      </c>
      <c r="O467" s="92"/>
      <c r="P467" s="118"/>
    </row>
    <row r="468" spans="1:16" s="117" customFormat="1" ht="15" customHeight="1">
      <c r="A468" s="90"/>
      <c r="B468" s="386">
        <v>46039</v>
      </c>
      <c r="C468" s="354">
        <v>1015</v>
      </c>
      <c r="D468" s="394" t="s">
        <v>526</v>
      </c>
      <c r="E468" s="355" t="s">
        <v>527</v>
      </c>
      <c r="F468" s="344" t="s">
        <v>483</v>
      </c>
      <c r="G468" s="354" t="s">
        <v>158</v>
      </c>
      <c r="H468" s="249" t="s">
        <v>528</v>
      </c>
      <c r="I468" s="249">
        <v>10</v>
      </c>
      <c r="J468" s="359" t="s">
        <v>174</v>
      </c>
      <c r="K468" s="89">
        <v>21000</v>
      </c>
      <c r="L468" s="360" t="str">
        <f>IF(K468&lt;&gt;"",VLOOKUP(K468,ChartofAccountsTable,2,FALSE),"")</f>
        <v>Unearned Revenue - DHPP</v>
      </c>
      <c r="M468" s="252">
        <v>485000</v>
      </c>
      <c r="N468" s="138"/>
      <c r="O468" s="92"/>
      <c r="P468" s="118"/>
    </row>
    <row r="469" spans="1:16" s="117" customFormat="1" ht="15" customHeight="1">
      <c r="A469" s="90"/>
      <c r="B469" s="386"/>
      <c r="C469" s="354"/>
      <c r="D469" s="240"/>
      <c r="E469" s="355"/>
      <c r="F469" s="241"/>
      <c r="G469" s="354"/>
      <c r="H469" s="249"/>
      <c r="I469" s="249"/>
      <c r="J469" s="359"/>
      <c r="K469" s="89">
        <v>40000</v>
      </c>
      <c r="L469" s="360" t="str">
        <f>IF(K469&lt;&gt;"",VLOOKUP(K469,ChartofAccountsTable,2,FALSE),"")</f>
        <v>Sales -Fuel Hauling</v>
      </c>
      <c r="M469" s="252"/>
      <c r="N469" s="138">
        <v>485000</v>
      </c>
      <c r="O469" s="92"/>
      <c r="P469" s="118"/>
    </row>
    <row r="470" spans="1:16" s="117" customFormat="1" ht="15" customHeight="1">
      <c r="A470" s="90"/>
      <c r="B470" s="386">
        <v>46037</v>
      </c>
      <c r="C470" s="354">
        <v>211</v>
      </c>
      <c r="D470" s="394" t="s">
        <v>529</v>
      </c>
      <c r="E470" s="355" t="s">
        <v>530</v>
      </c>
      <c r="F470" s="344" t="s">
        <v>483</v>
      </c>
      <c r="G470" s="354" t="s">
        <v>194</v>
      </c>
      <c r="H470" s="390" t="s">
        <v>149</v>
      </c>
      <c r="I470" s="390">
        <v>1</v>
      </c>
      <c r="J470" s="359" t="s">
        <v>195</v>
      </c>
      <c r="K470" s="89">
        <v>21000</v>
      </c>
      <c r="L470" s="360" t="str">
        <f>IF(K470&lt;&gt;"",VLOOKUP(K470,ChartofAccountsTable,2,FALSE),"")</f>
        <v>Unearned Revenue - DHPP</v>
      </c>
      <c r="M470" s="252">
        <v>51850</v>
      </c>
      <c r="N470" s="138"/>
      <c r="O470" s="92"/>
      <c r="P470" s="118"/>
    </row>
    <row r="471" spans="1:16" s="117" customFormat="1" ht="15" customHeight="1">
      <c r="A471" s="90"/>
      <c r="B471" s="386"/>
      <c r="C471" s="354"/>
      <c r="D471" s="240"/>
      <c r="E471" s="355"/>
      <c r="F471" s="241"/>
      <c r="G471" s="354"/>
      <c r="H471" s="390"/>
      <c r="I471" s="390"/>
      <c r="J471" s="359"/>
      <c r="K471" s="89">
        <v>40000</v>
      </c>
      <c r="L471" s="360" t="str">
        <f>IF(K471&lt;&gt;"",VLOOKUP(K471,ChartofAccountsTable,2,FALSE),"")</f>
        <v>Sales -Fuel Hauling</v>
      </c>
      <c r="M471" s="252"/>
      <c r="N471" s="138">
        <v>51850</v>
      </c>
      <c r="O471" s="92"/>
      <c r="P471" s="118"/>
    </row>
    <row r="472" spans="1:16" s="117" customFormat="1" ht="15" customHeight="1">
      <c r="A472" s="90"/>
      <c r="B472" s="386">
        <v>46037</v>
      </c>
      <c r="C472" s="354">
        <v>212</v>
      </c>
      <c r="D472" s="394" t="s">
        <v>531</v>
      </c>
      <c r="E472" s="355" t="s">
        <v>532</v>
      </c>
      <c r="F472" s="344" t="s">
        <v>483</v>
      </c>
      <c r="G472" s="354" t="s">
        <v>202</v>
      </c>
      <c r="H472" s="249" t="s">
        <v>149</v>
      </c>
      <c r="I472" s="391">
        <v>1</v>
      </c>
      <c r="J472" s="359" t="s">
        <v>195</v>
      </c>
      <c r="K472" s="89">
        <v>21000</v>
      </c>
      <c r="L472" s="360" t="str">
        <f>IF(K472&lt;&gt;"",VLOOKUP(K472,ChartofAccountsTable,2,FALSE),"")</f>
        <v>Unearned Revenue - DHPP</v>
      </c>
      <c r="M472" s="252">
        <v>51700</v>
      </c>
      <c r="N472" s="138"/>
      <c r="O472" s="92"/>
      <c r="P472" s="118"/>
    </row>
    <row r="473" spans="1:16" s="117" customFormat="1" ht="15" customHeight="1">
      <c r="A473" s="90"/>
      <c r="B473" s="386"/>
      <c r="C473" s="354"/>
      <c r="D473" s="240"/>
      <c r="E473" s="355"/>
      <c r="F473" s="241"/>
      <c r="G473" s="354"/>
      <c r="H473" s="249"/>
      <c r="I473" s="391"/>
      <c r="J473" s="359"/>
      <c r="K473" s="89">
        <v>40000</v>
      </c>
      <c r="L473" s="360" t="str">
        <f>IF(K473&lt;&gt;"",VLOOKUP(K473,ChartofAccountsTable,2,FALSE),"")</f>
        <v>Sales -Fuel Hauling</v>
      </c>
      <c r="M473" s="252"/>
      <c r="N473" s="138">
        <v>51700</v>
      </c>
      <c r="O473" s="92"/>
      <c r="P473" s="118"/>
    </row>
    <row r="474" spans="1:16" s="117" customFormat="1" ht="15" customHeight="1">
      <c r="A474" s="90"/>
      <c r="B474" s="386">
        <v>46037</v>
      </c>
      <c r="C474" s="354">
        <v>213</v>
      </c>
      <c r="D474" s="394" t="s">
        <v>533</v>
      </c>
      <c r="E474" s="355" t="s">
        <v>534</v>
      </c>
      <c r="F474" s="344" t="s">
        <v>483</v>
      </c>
      <c r="G474" s="354" t="s">
        <v>158</v>
      </c>
      <c r="H474" s="249" t="s">
        <v>159</v>
      </c>
      <c r="I474" s="391">
        <v>0.5</v>
      </c>
      <c r="J474" s="359" t="s">
        <v>195</v>
      </c>
      <c r="K474" s="89">
        <v>12030</v>
      </c>
      <c r="L474" s="360" t="str">
        <f>IF(K474&lt;&gt;"",VLOOKUP(K474,ChartofAccountsTable,2,FALSE),"")</f>
        <v>A/Receivables - Fuel Clients</v>
      </c>
      <c r="M474" s="283">
        <v>24350</v>
      </c>
      <c r="N474" s="138"/>
      <c r="O474" s="92"/>
      <c r="P474" s="118"/>
    </row>
    <row r="475" spans="1:16" s="117" customFormat="1" ht="15" customHeight="1">
      <c r="A475" s="90"/>
      <c r="B475" s="386"/>
      <c r="C475" s="354"/>
      <c r="D475" s="240"/>
      <c r="E475" s="355"/>
      <c r="F475" s="241"/>
      <c r="G475" s="354"/>
      <c r="H475" s="249"/>
      <c r="I475" s="391"/>
      <c r="J475" s="359"/>
      <c r="K475" s="89">
        <v>40000</v>
      </c>
      <c r="L475" s="360" t="str">
        <f>IF(K475&lt;&gt;"",VLOOKUP(K475,ChartofAccountsTable,2,FALSE),"")</f>
        <v>Sales -Fuel Hauling</v>
      </c>
      <c r="M475" s="252"/>
      <c r="N475" s="138">
        <v>24350</v>
      </c>
      <c r="O475" s="92"/>
      <c r="P475" s="118"/>
    </row>
    <row r="476" spans="1:16" s="117" customFormat="1" ht="15" customHeight="1">
      <c r="A476" s="90"/>
      <c r="B476" s="386">
        <v>46037</v>
      </c>
      <c r="C476" s="354">
        <v>214</v>
      </c>
      <c r="D476" s="394" t="s">
        <v>535</v>
      </c>
      <c r="E476" s="355" t="s">
        <v>536</v>
      </c>
      <c r="F476" s="344" t="s">
        <v>483</v>
      </c>
      <c r="G476" s="354" t="s">
        <v>214</v>
      </c>
      <c r="H476" s="249" t="s">
        <v>173</v>
      </c>
      <c r="I476" s="391">
        <v>1.5</v>
      </c>
      <c r="J476" s="359" t="s">
        <v>195</v>
      </c>
      <c r="K476" s="89">
        <v>21000</v>
      </c>
      <c r="L476" s="360" t="str">
        <f>IF(K476&lt;&gt;"",VLOOKUP(K476,ChartofAccountsTable,2,FALSE),"")</f>
        <v>Unearned Revenue - DHPP</v>
      </c>
      <c r="M476" s="252">
        <v>77375</v>
      </c>
      <c r="N476" s="138"/>
      <c r="O476" s="92"/>
      <c r="P476" s="118"/>
    </row>
    <row r="477" spans="1:16" s="117" customFormat="1" ht="15" customHeight="1">
      <c r="A477" s="90"/>
      <c r="B477" s="386"/>
      <c r="C477" s="354"/>
      <c r="D477" s="240"/>
      <c r="E477" s="355"/>
      <c r="F477" s="241"/>
      <c r="G477" s="354"/>
      <c r="H477" s="249"/>
      <c r="I477" s="391"/>
      <c r="J477" s="359"/>
      <c r="K477" s="89">
        <v>40000</v>
      </c>
      <c r="L477" s="360" t="str">
        <f>IF(K477&lt;&gt;"",VLOOKUP(K477,ChartofAccountsTable,2,FALSE),"")</f>
        <v>Sales -Fuel Hauling</v>
      </c>
      <c r="M477" s="252"/>
      <c r="N477" s="138">
        <v>77375</v>
      </c>
      <c r="O477" s="92"/>
      <c r="P477" s="118"/>
    </row>
    <row r="478" spans="1:16" s="117" customFormat="1" ht="15" customHeight="1">
      <c r="A478" s="90"/>
      <c r="B478" s="386">
        <v>46037</v>
      </c>
      <c r="C478" s="354">
        <v>215</v>
      </c>
      <c r="D478" s="394" t="s">
        <v>537</v>
      </c>
      <c r="E478" s="355" t="s">
        <v>538</v>
      </c>
      <c r="F478" s="344" t="s">
        <v>483</v>
      </c>
      <c r="G478" s="354" t="s">
        <v>539</v>
      </c>
      <c r="H478" s="249" t="s">
        <v>149</v>
      </c>
      <c r="I478" s="391">
        <v>1</v>
      </c>
      <c r="J478" s="359" t="s">
        <v>195</v>
      </c>
      <c r="K478" s="89">
        <v>21000</v>
      </c>
      <c r="L478" s="360" t="str">
        <f>IF(K478&lt;&gt;"",VLOOKUP(K478,ChartofAccountsTable,2,FALSE),"")</f>
        <v>Unearned Revenue - DHPP</v>
      </c>
      <c r="M478" s="252">
        <v>51800</v>
      </c>
      <c r="N478" s="138"/>
      <c r="O478" s="92"/>
      <c r="P478" s="118"/>
    </row>
    <row r="479" spans="1:16" s="117" customFormat="1" ht="15" customHeight="1">
      <c r="A479" s="90"/>
      <c r="B479" s="386"/>
      <c r="C479" s="354"/>
      <c r="D479" s="240"/>
      <c r="E479" s="355"/>
      <c r="F479" s="241"/>
      <c r="G479" s="354"/>
      <c r="H479" s="249"/>
      <c r="I479" s="391"/>
      <c r="J479" s="359"/>
      <c r="K479" s="89">
        <v>40000</v>
      </c>
      <c r="L479" s="360" t="str">
        <f>IF(K479&lt;&gt;"",VLOOKUP(K479,ChartofAccountsTable,2,FALSE),"")</f>
        <v>Sales -Fuel Hauling</v>
      </c>
      <c r="M479" s="252"/>
      <c r="N479" s="138">
        <v>51800</v>
      </c>
      <c r="O479" s="92"/>
      <c r="P479" s="118"/>
    </row>
    <row r="480" spans="1:16" s="117" customFormat="1" ht="15" customHeight="1">
      <c r="A480" s="90"/>
      <c r="B480" s="386">
        <v>46037</v>
      </c>
      <c r="C480" s="354">
        <v>216</v>
      </c>
      <c r="D480" s="394" t="s">
        <v>540</v>
      </c>
      <c r="E480" s="348" t="s">
        <v>541</v>
      </c>
      <c r="F480" s="344" t="s">
        <v>483</v>
      </c>
      <c r="G480" s="354" t="s">
        <v>232</v>
      </c>
      <c r="H480" s="249" t="s">
        <v>149</v>
      </c>
      <c r="I480" s="391">
        <v>1</v>
      </c>
      <c r="J480" s="359" t="s">
        <v>195</v>
      </c>
      <c r="K480" s="89">
        <v>21000</v>
      </c>
      <c r="L480" s="360" t="str">
        <f>IF(K480&lt;&gt;"",VLOOKUP(K480,ChartofAccountsTable,2,FALSE),"")</f>
        <v>Unearned Revenue - DHPP</v>
      </c>
      <c r="M480" s="252">
        <v>51250</v>
      </c>
      <c r="N480" s="138"/>
      <c r="O480" s="92"/>
      <c r="P480" s="118"/>
    </row>
    <row r="481" spans="1:16" s="117" customFormat="1" ht="15" customHeight="1">
      <c r="A481" s="90"/>
      <c r="B481" s="386"/>
      <c r="C481" s="354"/>
      <c r="D481" s="240"/>
      <c r="E481" s="348"/>
      <c r="F481" s="241"/>
      <c r="G481" s="354"/>
      <c r="H481" s="249"/>
      <c r="I481" s="391"/>
      <c r="J481" s="359"/>
      <c r="K481" s="89">
        <v>40000</v>
      </c>
      <c r="L481" s="360" t="str">
        <f>IF(K481&lt;&gt;"",VLOOKUP(K481,ChartofAccountsTable,2,FALSE),"")</f>
        <v>Sales -Fuel Hauling</v>
      </c>
      <c r="M481" s="252"/>
      <c r="N481" s="138">
        <v>51250</v>
      </c>
      <c r="O481" s="92"/>
      <c r="P481" s="118"/>
    </row>
    <row r="482" spans="1:16" s="117" customFormat="1" ht="15" customHeight="1">
      <c r="A482" s="90"/>
      <c r="B482" s="386">
        <v>46037</v>
      </c>
      <c r="C482" s="354">
        <v>216</v>
      </c>
      <c r="D482" s="394" t="s">
        <v>542</v>
      </c>
      <c r="E482" s="348" t="s">
        <v>543</v>
      </c>
      <c r="F482" s="344" t="s">
        <v>483</v>
      </c>
      <c r="G482" s="354" t="s">
        <v>232</v>
      </c>
      <c r="H482" s="249" t="s">
        <v>544</v>
      </c>
      <c r="I482" s="391">
        <v>4</v>
      </c>
      <c r="J482" s="359" t="s">
        <v>195</v>
      </c>
      <c r="K482" s="89">
        <v>21000</v>
      </c>
      <c r="L482" s="360" t="str">
        <f>IF(K482&lt;&gt;"",VLOOKUP(K482,ChartofAccountsTable,2,FALSE),"")</f>
        <v>Unearned Revenue - DHPP</v>
      </c>
      <c r="M482" s="252">
        <v>204500</v>
      </c>
      <c r="N482" s="138"/>
      <c r="O482" s="92"/>
      <c r="P482" s="118"/>
    </row>
    <row r="483" spans="1:16" s="117" customFormat="1" ht="15" customHeight="1">
      <c r="A483" s="90"/>
      <c r="B483" s="386"/>
      <c r="C483" s="354"/>
      <c r="D483" s="240"/>
      <c r="E483" s="348"/>
      <c r="F483" s="241"/>
      <c r="G483" s="354"/>
      <c r="H483" s="249"/>
      <c r="I483" s="391"/>
      <c r="J483" s="359"/>
      <c r="K483" s="89">
        <v>40000</v>
      </c>
      <c r="L483" s="360" t="str">
        <f>IF(K483&lt;&gt;"",VLOOKUP(K483,ChartofAccountsTable,2,FALSE),"")</f>
        <v>Sales -Fuel Hauling</v>
      </c>
      <c r="M483" s="252"/>
      <c r="N483" s="138">
        <v>204500</v>
      </c>
      <c r="O483" s="92"/>
      <c r="P483" s="118"/>
    </row>
    <row r="484" spans="1:16" s="117" customFormat="1" ht="15" customHeight="1">
      <c r="A484" s="90"/>
      <c r="B484" s="386">
        <v>46038</v>
      </c>
      <c r="C484" s="354">
        <v>217</v>
      </c>
      <c r="D484" s="394" t="s">
        <v>545</v>
      </c>
      <c r="E484" s="355" t="s">
        <v>546</v>
      </c>
      <c r="F484" s="344" t="s">
        <v>483</v>
      </c>
      <c r="G484" s="354" t="s">
        <v>229</v>
      </c>
      <c r="H484" s="249" t="s">
        <v>493</v>
      </c>
      <c r="I484" s="391">
        <v>1</v>
      </c>
      <c r="J484" s="359" t="s">
        <v>195</v>
      </c>
      <c r="K484" s="89">
        <v>21000</v>
      </c>
      <c r="L484" s="360" t="str">
        <f>IF(K484&lt;&gt;"",VLOOKUP(K484,ChartofAccountsTable,2,FALSE),"")</f>
        <v>Unearned Revenue - DHPP</v>
      </c>
      <c r="M484" s="252">
        <v>49550</v>
      </c>
      <c r="N484" s="138"/>
      <c r="O484" s="92"/>
      <c r="P484" s="118"/>
    </row>
    <row r="485" spans="1:16" s="117" customFormat="1" ht="15" customHeight="1">
      <c r="A485" s="90"/>
      <c r="B485" s="386"/>
      <c r="C485" s="354"/>
      <c r="D485" s="240"/>
      <c r="E485" s="355"/>
      <c r="F485" s="241"/>
      <c r="G485" s="354"/>
      <c r="H485" s="249"/>
      <c r="I485" s="391"/>
      <c r="J485" s="359"/>
      <c r="K485" s="89">
        <v>40000</v>
      </c>
      <c r="L485" s="360" t="str">
        <f>IF(K485&lt;&gt;"",VLOOKUP(K485,ChartofAccountsTable,2,FALSE),"")</f>
        <v>Sales -Fuel Hauling</v>
      </c>
      <c r="M485" s="252"/>
      <c r="N485" s="138">
        <v>49550</v>
      </c>
      <c r="O485" s="92"/>
      <c r="P485" s="118"/>
    </row>
    <row r="486" spans="1:16" s="117" customFormat="1" ht="15" customHeight="1">
      <c r="A486" s="90"/>
      <c r="B486" s="386">
        <v>46038</v>
      </c>
      <c r="C486" s="354">
        <v>218</v>
      </c>
      <c r="D486" s="394" t="s">
        <v>547</v>
      </c>
      <c r="E486" s="355" t="s">
        <v>548</v>
      </c>
      <c r="F486" s="344" t="s">
        <v>483</v>
      </c>
      <c r="G486" s="354" t="s">
        <v>191</v>
      </c>
      <c r="H486" s="249" t="s">
        <v>149</v>
      </c>
      <c r="I486" s="391">
        <v>1</v>
      </c>
      <c r="J486" s="359" t="s">
        <v>195</v>
      </c>
      <c r="K486" s="89">
        <v>21000</v>
      </c>
      <c r="L486" s="360" t="str">
        <f>IF(K486&lt;&gt;"",VLOOKUP(K486,ChartofAccountsTable,2,FALSE),"")</f>
        <v>Unearned Revenue - DHPP</v>
      </c>
      <c r="M486" s="252">
        <v>51850</v>
      </c>
      <c r="N486" s="138"/>
      <c r="O486" s="92"/>
      <c r="P486" s="118"/>
    </row>
    <row r="487" spans="1:16" s="117" customFormat="1" ht="15" customHeight="1">
      <c r="A487" s="90"/>
      <c r="B487" s="386"/>
      <c r="C487" s="354"/>
      <c r="D487" s="240"/>
      <c r="E487" s="355"/>
      <c r="F487" s="241"/>
      <c r="G487" s="354"/>
      <c r="H487" s="249"/>
      <c r="I487" s="391"/>
      <c r="J487" s="359"/>
      <c r="K487" s="89">
        <v>40000</v>
      </c>
      <c r="L487" s="360" t="str">
        <f>IF(K487&lt;&gt;"",VLOOKUP(K487,ChartofAccountsTable,2,FALSE),"")</f>
        <v>Sales -Fuel Hauling</v>
      </c>
      <c r="M487" s="252"/>
      <c r="N487" s="138">
        <v>51850</v>
      </c>
      <c r="O487" s="92"/>
      <c r="P487" s="118"/>
    </row>
    <row r="488" spans="1:16" s="117" customFormat="1" ht="15" customHeight="1">
      <c r="A488" s="90"/>
      <c r="B488" s="386">
        <v>46039</v>
      </c>
      <c r="C488" s="354">
        <v>219</v>
      </c>
      <c r="D488" s="394" t="s">
        <v>549</v>
      </c>
      <c r="E488" s="355" t="s">
        <v>550</v>
      </c>
      <c r="F488" s="344" t="s">
        <v>483</v>
      </c>
      <c r="G488" s="354" t="s">
        <v>254</v>
      </c>
      <c r="H488" s="249" t="s">
        <v>493</v>
      </c>
      <c r="I488" s="391">
        <v>1</v>
      </c>
      <c r="J488" s="359" t="s">
        <v>195</v>
      </c>
      <c r="K488" s="89">
        <v>21000</v>
      </c>
      <c r="L488" s="360" t="str">
        <f>IF(K488&lt;&gt;"",VLOOKUP(K488,ChartofAccountsTable,2,FALSE),"")</f>
        <v>Unearned Revenue - DHPP</v>
      </c>
      <c r="M488" s="252">
        <v>49350</v>
      </c>
      <c r="N488" s="138"/>
      <c r="O488" s="92"/>
      <c r="P488" s="118"/>
    </row>
    <row r="489" spans="1:16" s="117" customFormat="1" ht="15" customHeight="1">
      <c r="A489" s="90"/>
      <c r="B489" s="386"/>
      <c r="C489" s="354"/>
      <c r="D489" s="240"/>
      <c r="E489" s="355"/>
      <c r="F489" s="241"/>
      <c r="G489" s="354"/>
      <c r="H489" s="249"/>
      <c r="I489" s="391"/>
      <c r="J489" s="359"/>
      <c r="K489" s="89">
        <v>40000</v>
      </c>
      <c r="L489" s="360" t="str">
        <f>IF(K489&lt;&gt;"",VLOOKUP(K489,ChartofAccountsTable,2,FALSE),"")</f>
        <v>Sales -Fuel Hauling</v>
      </c>
      <c r="M489" s="252"/>
      <c r="N489" s="138">
        <v>49350</v>
      </c>
      <c r="O489" s="92"/>
      <c r="P489" s="118"/>
    </row>
    <row r="490" spans="1:16" s="117" customFormat="1" ht="15" customHeight="1">
      <c r="A490" s="90"/>
      <c r="B490" s="386">
        <v>46039</v>
      </c>
      <c r="C490" s="354">
        <v>220</v>
      </c>
      <c r="D490" s="394" t="s">
        <v>551</v>
      </c>
      <c r="E490" s="355" t="s">
        <v>552</v>
      </c>
      <c r="F490" s="344" t="s">
        <v>483</v>
      </c>
      <c r="G490" s="354" t="s">
        <v>405</v>
      </c>
      <c r="H490" s="249" t="s">
        <v>493</v>
      </c>
      <c r="I490" s="391">
        <v>1</v>
      </c>
      <c r="J490" s="359" t="s">
        <v>195</v>
      </c>
      <c r="K490" s="89">
        <v>21000</v>
      </c>
      <c r="L490" s="360" t="str">
        <f>IF(K490&lt;&gt;"",VLOOKUP(K490,ChartofAccountsTable,2,FALSE),"")</f>
        <v>Unearned Revenue - DHPP</v>
      </c>
      <c r="M490" s="252">
        <v>49400</v>
      </c>
      <c r="N490" s="138"/>
      <c r="O490" s="92"/>
      <c r="P490" s="118"/>
    </row>
    <row r="491" spans="1:16" s="117" customFormat="1" ht="15" customHeight="1">
      <c r="A491" s="90"/>
      <c r="B491" s="386"/>
      <c r="C491" s="354"/>
      <c r="D491" s="240"/>
      <c r="E491" s="355"/>
      <c r="F491" s="241"/>
      <c r="G491" s="354"/>
      <c r="H491" s="249"/>
      <c r="I491" s="391"/>
      <c r="J491" s="359"/>
      <c r="K491" s="89">
        <v>40000</v>
      </c>
      <c r="L491" s="360" t="str">
        <f>IF(K491&lt;&gt;"",VLOOKUP(K491,ChartofAccountsTable,2,FALSE),"")</f>
        <v>Sales -Fuel Hauling</v>
      </c>
      <c r="M491" s="252"/>
      <c r="N491" s="138">
        <v>49400</v>
      </c>
      <c r="O491" s="92"/>
      <c r="P491" s="118"/>
    </row>
    <row r="492" spans="1:16" s="117" customFormat="1" ht="15" customHeight="1">
      <c r="A492" s="90"/>
      <c r="B492" s="386">
        <v>46039</v>
      </c>
      <c r="C492" s="354">
        <v>222</v>
      </c>
      <c r="D492" s="394" t="s">
        <v>553</v>
      </c>
      <c r="E492" s="355" t="s">
        <v>554</v>
      </c>
      <c r="F492" s="344" t="s">
        <v>483</v>
      </c>
      <c r="G492" s="354" t="s">
        <v>244</v>
      </c>
      <c r="H492" s="249" t="s">
        <v>149</v>
      </c>
      <c r="I492" s="391">
        <v>1</v>
      </c>
      <c r="J492" s="359" t="s">
        <v>195</v>
      </c>
      <c r="K492" s="89">
        <v>21000</v>
      </c>
      <c r="L492" s="360" t="str">
        <f>IF(K492&lt;&gt;"",VLOOKUP(K492,ChartofAccountsTable,2,FALSE),"")</f>
        <v>Unearned Revenue - DHPP</v>
      </c>
      <c r="M492" s="252">
        <v>51800</v>
      </c>
      <c r="N492" s="138"/>
      <c r="O492" s="92"/>
      <c r="P492" s="118"/>
    </row>
    <row r="493" spans="1:16" s="117" customFormat="1" ht="15" customHeight="1">
      <c r="A493" s="90"/>
      <c r="B493" s="386"/>
      <c r="C493" s="354"/>
      <c r="D493" s="240"/>
      <c r="E493" s="355"/>
      <c r="F493" s="241"/>
      <c r="G493" s="354"/>
      <c r="H493" s="249"/>
      <c r="I493" s="391"/>
      <c r="J493" s="359"/>
      <c r="K493" s="89">
        <v>40000</v>
      </c>
      <c r="L493" s="360" t="str">
        <f>IF(K493&lt;&gt;"",VLOOKUP(K493,ChartofAccountsTable,2,FALSE),"")</f>
        <v>Sales -Fuel Hauling</v>
      </c>
      <c r="M493" s="252"/>
      <c r="N493" s="138">
        <v>51800</v>
      </c>
      <c r="O493" s="92"/>
      <c r="P493" s="118"/>
    </row>
    <row r="494" spans="1:16" s="117" customFormat="1" ht="15" customHeight="1">
      <c r="A494" s="90"/>
      <c r="B494" s="386">
        <v>46039</v>
      </c>
      <c r="C494" s="354">
        <v>223</v>
      </c>
      <c r="D494" s="394" t="s">
        <v>555</v>
      </c>
      <c r="E494" s="355" t="s">
        <v>556</v>
      </c>
      <c r="F494" s="344" t="s">
        <v>483</v>
      </c>
      <c r="G494" s="354" t="s">
        <v>557</v>
      </c>
      <c r="H494" s="249" t="s">
        <v>544</v>
      </c>
      <c r="I494" s="391">
        <v>4</v>
      </c>
      <c r="J494" s="359" t="s">
        <v>195</v>
      </c>
      <c r="K494" s="89">
        <v>21000</v>
      </c>
      <c r="L494" s="360" t="str">
        <f>IF(K494&lt;&gt;"",VLOOKUP(K494,ChartofAccountsTable,2,FALSE),"")</f>
        <v>Unearned Revenue - DHPP</v>
      </c>
      <c r="M494" s="252">
        <v>205300</v>
      </c>
      <c r="N494" s="138"/>
      <c r="O494" s="92"/>
      <c r="P494" s="118"/>
    </row>
    <row r="495" spans="1:16" s="117" customFormat="1" ht="15" customHeight="1">
      <c r="A495" s="90"/>
      <c r="B495" s="386"/>
      <c r="C495" s="354"/>
      <c r="D495" s="240"/>
      <c r="E495" s="355"/>
      <c r="F495" s="241"/>
      <c r="G495" s="354"/>
      <c r="H495" s="249"/>
      <c r="I495" s="391"/>
      <c r="J495" s="359"/>
      <c r="K495" s="89">
        <v>40000</v>
      </c>
      <c r="L495" s="360" t="str">
        <f>IF(K495&lt;&gt;"",VLOOKUP(K495,ChartofAccountsTable,2,FALSE),"")</f>
        <v>Sales -Fuel Hauling</v>
      </c>
      <c r="M495" s="252"/>
      <c r="N495" s="138">
        <v>205300</v>
      </c>
      <c r="O495" s="92"/>
      <c r="P495" s="118"/>
    </row>
    <row r="496" spans="1:16" s="117" customFormat="1" ht="15" customHeight="1">
      <c r="A496" s="90"/>
      <c r="B496" s="386">
        <v>46039</v>
      </c>
      <c r="C496" s="354">
        <v>221</v>
      </c>
      <c r="D496" s="394" t="s">
        <v>558</v>
      </c>
      <c r="E496" s="355" t="s">
        <v>559</v>
      </c>
      <c r="F496" s="344" t="s">
        <v>483</v>
      </c>
      <c r="G496" s="354" t="s">
        <v>242</v>
      </c>
      <c r="H496" s="249" t="s">
        <v>149</v>
      </c>
      <c r="I496" s="391">
        <v>1</v>
      </c>
      <c r="J496" s="359" t="s">
        <v>195</v>
      </c>
      <c r="K496" s="89">
        <v>21000</v>
      </c>
      <c r="L496" s="360" t="str">
        <f>IF(K496&lt;&gt;"",VLOOKUP(K496,ChartofAccountsTable,2,FALSE),"")</f>
        <v>Unearned Revenue - DHPP</v>
      </c>
      <c r="M496" s="252">
        <v>51950</v>
      </c>
      <c r="N496" s="138"/>
      <c r="O496" s="92"/>
      <c r="P496" s="118"/>
    </row>
    <row r="497" spans="1:16" s="117" customFormat="1" ht="15" customHeight="1">
      <c r="A497" s="90"/>
      <c r="B497" s="386"/>
      <c r="C497" s="354"/>
      <c r="D497" s="240"/>
      <c r="E497" s="355"/>
      <c r="F497" s="241"/>
      <c r="G497" s="354"/>
      <c r="H497" s="249"/>
      <c r="I497" s="391"/>
      <c r="J497" s="359"/>
      <c r="K497" s="89">
        <v>40000</v>
      </c>
      <c r="L497" s="360" t="str">
        <f>IF(K497&lt;&gt;"",VLOOKUP(K497,ChartofAccountsTable,2,FALSE),"")</f>
        <v>Sales -Fuel Hauling</v>
      </c>
      <c r="M497" s="252"/>
      <c r="N497" s="138">
        <v>51950</v>
      </c>
      <c r="O497" s="92"/>
      <c r="P497" s="118"/>
    </row>
    <row r="498" spans="1:16" s="117" customFormat="1" ht="15" customHeight="1">
      <c r="A498" s="90"/>
      <c r="B498" s="386">
        <v>46039</v>
      </c>
      <c r="C498" s="354">
        <v>224</v>
      </c>
      <c r="D498" s="394" t="s">
        <v>560</v>
      </c>
      <c r="E498" s="355" t="s">
        <v>561</v>
      </c>
      <c r="F498" s="344" t="s">
        <v>483</v>
      </c>
      <c r="G498" s="354" t="s">
        <v>258</v>
      </c>
      <c r="H498" s="249" t="s">
        <v>149</v>
      </c>
      <c r="I498" s="391">
        <v>1</v>
      </c>
      <c r="J498" s="359" t="s">
        <v>195</v>
      </c>
      <c r="K498" s="89">
        <v>21000</v>
      </c>
      <c r="L498" s="360" t="str">
        <f>IF(K498&lt;&gt;"",VLOOKUP(K498,ChartofAccountsTable,2,FALSE),"")</f>
        <v>Unearned Revenue - DHPP</v>
      </c>
      <c r="M498" s="283">
        <v>50850</v>
      </c>
      <c r="N498" s="138"/>
      <c r="O498" s="92"/>
      <c r="P498" s="118"/>
    </row>
    <row r="499" spans="1:16" s="117" customFormat="1" ht="15" customHeight="1">
      <c r="A499" s="90"/>
      <c r="B499" s="386"/>
      <c r="C499" s="354"/>
      <c r="D499" s="240"/>
      <c r="E499" s="355"/>
      <c r="F499" s="241"/>
      <c r="G499" s="354"/>
      <c r="H499" s="249"/>
      <c r="I499" s="391"/>
      <c r="J499" s="359"/>
      <c r="K499" s="89">
        <v>12030</v>
      </c>
      <c r="L499" s="360" t="str">
        <f>IF(K499&lt;&gt;"",VLOOKUP(K499,ChartofAccountsTable,2,FALSE),"")</f>
        <v>A/Receivables - Fuel Clients</v>
      </c>
      <c r="M499" s="252">
        <v>900</v>
      </c>
      <c r="N499" s="138"/>
      <c r="O499" s="254"/>
      <c r="P499" s="118"/>
    </row>
    <row r="500" spans="1:16" s="117" customFormat="1" ht="15" customHeight="1">
      <c r="A500" s="90"/>
      <c r="B500" s="386"/>
      <c r="C500" s="354"/>
      <c r="D500" s="240"/>
      <c r="E500" s="355"/>
      <c r="F500" s="241"/>
      <c r="G500" s="354"/>
      <c r="H500" s="249"/>
      <c r="I500" s="391"/>
      <c r="J500" s="359"/>
      <c r="K500" s="89">
        <v>40000</v>
      </c>
      <c r="L500" s="360" t="str">
        <f>IF(K500&lt;&gt;"",VLOOKUP(K500,ChartofAccountsTable,2,FALSE),"")</f>
        <v>Sales -Fuel Hauling</v>
      </c>
      <c r="M500" s="252"/>
      <c r="N500" s="138">
        <v>51750</v>
      </c>
      <c r="O500" s="254"/>
      <c r="P500" s="118"/>
    </row>
    <row r="501" spans="1:16" s="117" customFormat="1" ht="15" customHeight="1">
      <c r="A501" s="90"/>
      <c r="B501" s="386">
        <v>46039</v>
      </c>
      <c r="C501" s="354">
        <v>225</v>
      </c>
      <c r="D501" s="394" t="s">
        <v>562</v>
      </c>
      <c r="E501" s="355" t="s">
        <v>563</v>
      </c>
      <c r="F501" s="344" t="s">
        <v>483</v>
      </c>
      <c r="G501" s="354" t="s">
        <v>274</v>
      </c>
      <c r="H501" s="249" t="s">
        <v>182</v>
      </c>
      <c r="I501" s="391">
        <v>2</v>
      </c>
      <c r="J501" s="359" t="s">
        <v>195</v>
      </c>
      <c r="K501" s="89">
        <v>21000</v>
      </c>
      <c r="L501" s="360" t="str">
        <f>IF(K501&lt;&gt;"",VLOOKUP(K501,ChartofAccountsTable,2,FALSE),"")</f>
        <v>Unearned Revenue - DHPP</v>
      </c>
      <c r="M501" s="252">
        <v>102600</v>
      </c>
      <c r="N501" s="138"/>
      <c r="O501" s="76"/>
      <c r="P501" s="118"/>
    </row>
    <row r="502" spans="1:16" s="117" customFormat="1" ht="15" customHeight="1">
      <c r="A502" s="90"/>
      <c r="B502" s="386"/>
      <c r="C502" s="354"/>
      <c r="D502" s="240"/>
      <c r="E502" s="355"/>
      <c r="F502" s="241"/>
      <c r="G502" s="354"/>
      <c r="H502" s="249"/>
      <c r="I502" s="391"/>
      <c r="J502" s="359"/>
      <c r="K502" s="89">
        <v>12030</v>
      </c>
      <c r="L502" s="360" t="str">
        <f>IF(K502&lt;&gt;"",VLOOKUP(K502,ChartofAccountsTable,2,FALSE),"")</f>
        <v>A/Receivables - Fuel Clients</v>
      </c>
      <c r="M502" s="252">
        <v>900</v>
      </c>
      <c r="N502" s="138"/>
      <c r="O502" s="76"/>
      <c r="P502" s="118"/>
    </row>
    <row r="503" spans="1:16" s="117" customFormat="1" ht="15" customHeight="1">
      <c r="A503" s="90"/>
      <c r="B503" s="386"/>
      <c r="C503" s="354"/>
      <c r="D503" s="240"/>
      <c r="E503" s="355"/>
      <c r="F503" s="241"/>
      <c r="G503" s="354"/>
      <c r="H503" s="249"/>
      <c r="I503" s="391"/>
      <c r="J503" s="359"/>
      <c r="K503" s="89">
        <v>40000</v>
      </c>
      <c r="L503" s="360" t="str">
        <f>IF(K503&lt;&gt;"",VLOOKUP(K503,ChartofAccountsTable,2,FALSE),"")</f>
        <v>Sales -Fuel Hauling</v>
      </c>
      <c r="M503" s="252"/>
      <c r="N503" s="138">
        <v>103500</v>
      </c>
      <c r="O503" s="76"/>
      <c r="P503" s="118"/>
    </row>
    <row r="504" spans="1:16" s="117" customFormat="1" ht="15" customHeight="1">
      <c r="A504" s="90"/>
      <c r="B504" s="386">
        <v>46039</v>
      </c>
      <c r="C504" s="354">
        <v>226</v>
      </c>
      <c r="D504" s="394" t="s">
        <v>564</v>
      </c>
      <c r="E504" s="355" t="s">
        <v>565</v>
      </c>
      <c r="F504" s="344" t="s">
        <v>483</v>
      </c>
      <c r="G504" s="354" t="s">
        <v>229</v>
      </c>
      <c r="H504" s="249" t="s">
        <v>149</v>
      </c>
      <c r="I504" s="391">
        <v>1</v>
      </c>
      <c r="J504" s="359" t="s">
        <v>195</v>
      </c>
      <c r="K504" s="89">
        <v>21000</v>
      </c>
      <c r="L504" s="360" t="str">
        <f>IF(K504&lt;&gt;"",VLOOKUP(K504,ChartofAccountsTable,2,FALSE),"")</f>
        <v>Unearned Revenue - DHPP</v>
      </c>
      <c r="M504" s="252">
        <v>51800</v>
      </c>
      <c r="N504" s="138"/>
      <c r="O504" s="76"/>
      <c r="P504" s="118"/>
    </row>
    <row r="505" spans="1:16" s="117" customFormat="1" ht="15" customHeight="1">
      <c r="A505" s="90"/>
      <c r="B505" s="386"/>
      <c r="C505" s="354"/>
      <c r="D505" s="240"/>
      <c r="E505" s="355"/>
      <c r="F505" s="241"/>
      <c r="G505" s="354"/>
      <c r="H505" s="249"/>
      <c r="I505" s="391"/>
      <c r="J505" s="359"/>
      <c r="K505" s="89">
        <v>40000</v>
      </c>
      <c r="L505" s="360" t="str">
        <f>IF(K505&lt;&gt;"",VLOOKUP(K505,ChartofAccountsTable,2,FALSE),"")</f>
        <v>Sales -Fuel Hauling</v>
      </c>
      <c r="M505" s="252"/>
      <c r="N505" s="138">
        <v>51800</v>
      </c>
      <c r="O505" s="76"/>
      <c r="P505" s="118"/>
    </row>
    <row r="506" spans="1:16" s="117" customFormat="1" ht="15" customHeight="1">
      <c r="A506" s="90"/>
      <c r="B506" s="386">
        <v>46037</v>
      </c>
      <c r="C506" s="354">
        <v>1059</v>
      </c>
      <c r="D506" s="394" t="s">
        <v>566</v>
      </c>
      <c r="E506" s="355" t="s">
        <v>567</v>
      </c>
      <c r="F506" s="344" t="s">
        <v>483</v>
      </c>
      <c r="G506" s="354" t="s">
        <v>164</v>
      </c>
      <c r="H506" s="249" t="s">
        <v>149</v>
      </c>
      <c r="I506" s="391">
        <v>1</v>
      </c>
      <c r="J506" s="359" t="s">
        <v>215</v>
      </c>
      <c r="K506" s="89">
        <v>12030</v>
      </c>
      <c r="L506" s="360" t="str">
        <f>IF(K506&lt;&gt;"",VLOOKUP(K506,ChartofAccountsTable,2,FALSE),"")</f>
        <v>A/Receivables - Fuel Clients</v>
      </c>
      <c r="M506" s="252">
        <v>51850</v>
      </c>
      <c r="N506" s="138"/>
      <c r="O506" s="76"/>
      <c r="P506" s="118"/>
    </row>
    <row r="507" spans="1:16" s="117" customFormat="1" ht="15" customHeight="1">
      <c r="A507" s="90"/>
      <c r="B507" s="386"/>
      <c r="C507" s="354"/>
      <c r="D507" s="240"/>
      <c r="E507" s="355"/>
      <c r="F507" s="241"/>
      <c r="G507" s="354"/>
      <c r="H507" s="249"/>
      <c r="I507" s="391"/>
      <c r="J507" s="359"/>
      <c r="K507" s="89">
        <v>40000</v>
      </c>
      <c r="L507" s="360" t="str">
        <f>IF(K507&lt;&gt;"",VLOOKUP(K507,ChartofAccountsTable,2,FALSE),"")</f>
        <v>Sales -Fuel Hauling</v>
      </c>
      <c r="N507" s="138">
        <v>51850</v>
      </c>
      <c r="O507" s="76"/>
      <c r="P507" s="118"/>
    </row>
    <row r="508" spans="1:16" s="117" customFormat="1" ht="15" customHeight="1">
      <c r="A508" s="90"/>
      <c r="B508" s="386">
        <v>46037</v>
      </c>
      <c r="C508" s="354">
        <v>1060</v>
      </c>
      <c r="D508" s="394" t="s">
        <v>568</v>
      </c>
      <c r="E508" s="355" t="s">
        <v>569</v>
      </c>
      <c r="F508" s="344" t="s">
        <v>483</v>
      </c>
      <c r="G508" s="354" t="s">
        <v>249</v>
      </c>
      <c r="H508" s="249" t="s">
        <v>149</v>
      </c>
      <c r="I508" s="391">
        <v>1</v>
      </c>
      <c r="J508" s="359" t="s">
        <v>215</v>
      </c>
      <c r="K508" s="89">
        <v>21000</v>
      </c>
      <c r="L508" s="360" t="str">
        <f>IF(K508&lt;&gt;"",VLOOKUP(K508,ChartofAccountsTable,2,FALSE),"")</f>
        <v>Unearned Revenue - DHPP</v>
      </c>
      <c r="M508" s="252">
        <v>51450</v>
      </c>
      <c r="N508" s="138"/>
      <c r="O508" s="76"/>
      <c r="P508" s="118"/>
    </row>
    <row r="509" spans="1:16" s="117" customFormat="1" ht="15" customHeight="1">
      <c r="A509" s="90"/>
      <c r="B509" s="386"/>
      <c r="C509" s="354"/>
      <c r="D509" s="240"/>
      <c r="E509" s="355"/>
      <c r="F509" s="241"/>
      <c r="G509" s="354"/>
      <c r="H509" s="249"/>
      <c r="I509" s="391"/>
      <c r="J509" s="359"/>
      <c r="K509" s="89">
        <v>40000</v>
      </c>
      <c r="L509" s="360" t="str">
        <f>IF(K509&lt;&gt;"",VLOOKUP(K509,ChartofAccountsTable,2,FALSE),"")</f>
        <v>Sales -Fuel Hauling</v>
      </c>
      <c r="M509" s="252"/>
      <c r="N509" s="138">
        <v>51450</v>
      </c>
      <c r="O509" s="76"/>
      <c r="P509" s="118"/>
    </row>
    <row r="510" spans="1:16" s="117" customFormat="1" ht="15" customHeight="1">
      <c r="A510" s="90"/>
      <c r="B510" s="386">
        <v>46037</v>
      </c>
      <c r="C510" s="354">
        <v>1061</v>
      </c>
      <c r="D510" s="394" t="s">
        <v>513</v>
      </c>
      <c r="E510" s="355" t="s">
        <v>570</v>
      </c>
      <c r="F510" s="344" t="s">
        <v>483</v>
      </c>
      <c r="G510" s="354" t="s">
        <v>356</v>
      </c>
      <c r="H510" s="249" t="s">
        <v>159</v>
      </c>
      <c r="I510" s="391">
        <v>0.5</v>
      </c>
      <c r="J510" s="359" t="s">
        <v>215</v>
      </c>
      <c r="K510" s="89">
        <v>21000</v>
      </c>
      <c r="L510" s="360" t="str">
        <f>IF(K510&lt;&gt;"",VLOOKUP(K510,ChartofAccountsTable,2,FALSE),"")</f>
        <v>Unearned Revenue - DHPP</v>
      </c>
      <c r="M510" s="252">
        <v>25450</v>
      </c>
      <c r="N510" s="138"/>
      <c r="O510" s="76"/>
      <c r="P510" s="118"/>
    </row>
    <row r="511" spans="1:16" s="117" customFormat="1" ht="15" customHeight="1">
      <c r="A511" s="90"/>
      <c r="B511" s="386"/>
      <c r="C511" s="354"/>
      <c r="D511" s="240"/>
      <c r="E511" s="355"/>
      <c r="F511" s="241"/>
      <c r="G511" s="354"/>
      <c r="H511" s="249"/>
      <c r="I511" s="391"/>
      <c r="J511" s="359"/>
      <c r="K511" s="89">
        <v>40000</v>
      </c>
      <c r="L511" s="360" t="str">
        <f>IF(K511&lt;&gt;"",VLOOKUP(K511,ChartofAccountsTable,2,FALSE),"")</f>
        <v>Sales -Fuel Hauling</v>
      </c>
      <c r="M511" s="252"/>
      <c r="N511" s="138">
        <v>25450</v>
      </c>
      <c r="O511" s="76"/>
      <c r="P511" s="118"/>
    </row>
    <row r="512" spans="1:16" s="117" customFormat="1" ht="15" customHeight="1">
      <c r="A512" s="90"/>
      <c r="B512" s="386">
        <v>46038</v>
      </c>
      <c r="C512" s="354">
        <v>1062</v>
      </c>
      <c r="D512" s="394" t="s">
        <v>571</v>
      </c>
      <c r="E512" s="355" t="s">
        <v>572</v>
      </c>
      <c r="F512" s="344" t="s">
        <v>483</v>
      </c>
      <c r="G512" s="354" t="s">
        <v>428</v>
      </c>
      <c r="H512" s="249" t="s">
        <v>544</v>
      </c>
      <c r="I512" s="391">
        <v>4</v>
      </c>
      <c r="J512" s="359" t="s">
        <v>215</v>
      </c>
      <c r="K512" s="89">
        <v>21000</v>
      </c>
      <c r="L512" s="360" t="str">
        <f>IF(K512&lt;&gt;"",VLOOKUP(K512,ChartofAccountsTable,2,FALSE),"")</f>
        <v>Unearned Revenue - DHPP</v>
      </c>
      <c r="M512" s="252">
        <v>206500</v>
      </c>
      <c r="N512" s="138"/>
      <c r="O512" s="76"/>
      <c r="P512" s="118"/>
    </row>
    <row r="513" spans="1:16" s="117" customFormat="1" ht="15" customHeight="1">
      <c r="A513" s="90"/>
      <c r="B513" s="386"/>
      <c r="C513" s="354"/>
      <c r="D513" s="240"/>
      <c r="E513" s="355"/>
      <c r="F513" s="241"/>
      <c r="G513" s="354"/>
      <c r="H513" s="249"/>
      <c r="I513" s="391"/>
      <c r="J513" s="359"/>
      <c r="K513" s="89">
        <v>40000</v>
      </c>
      <c r="L513" s="360" t="str">
        <f>IF(K513&lt;&gt;"",VLOOKUP(K513,ChartofAccountsTable,2,FALSE),"")</f>
        <v>Sales -Fuel Hauling</v>
      </c>
      <c r="M513" s="252"/>
      <c r="N513" s="138">
        <v>206500</v>
      </c>
      <c r="O513" s="76"/>
      <c r="P513" s="118"/>
    </row>
    <row r="514" spans="1:16" s="117" customFormat="1" ht="15" customHeight="1">
      <c r="A514" s="90"/>
      <c r="B514" s="386">
        <v>46038</v>
      </c>
      <c r="C514" s="354">
        <v>1064</v>
      </c>
      <c r="D514" s="394" t="s">
        <v>573</v>
      </c>
      <c r="E514" s="355" t="s">
        <v>574</v>
      </c>
      <c r="F514" s="344" t="s">
        <v>483</v>
      </c>
      <c r="G514" s="354" t="s">
        <v>260</v>
      </c>
      <c r="H514" s="249" t="s">
        <v>149</v>
      </c>
      <c r="I514" s="391">
        <v>1</v>
      </c>
      <c r="J514" s="359" t="s">
        <v>215</v>
      </c>
      <c r="K514" s="89">
        <v>21000</v>
      </c>
      <c r="L514" s="360" t="str">
        <f>IF(K514&lt;&gt;"",VLOOKUP(K514,ChartofAccountsTable,2,FALSE),"")</f>
        <v>Unearned Revenue - DHPP</v>
      </c>
      <c r="M514" s="252">
        <v>51050</v>
      </c>
      <c r="N514" s="138"/>
      <c r="O514" s="76"/>
      <c r="P514" s="118"/>
    </row>
    <row r="515" spans="1:16" s="117" customFormat="1" ht="15" customHeight="1">
      <c r="A515" s="90"/>
      <c r="B515" s="386"/>
      <c r="C515" s="354"/>
      <c r="D515" s="394"/>
      <c r="E515" s="355"/>
      <c r="F515" s="391"/>
      <c r="G515" s="354"/>
      <c r="H515" s="249"/>
      <c r="I515" s="391"/>
      <c r="J515" s="359"/>
      <c r="K515" s="89">
        <v>12030</v>
      </c>
      <c r="L515" s="360" t="str">
        <f>IF(K515&lt;&gt;"",VLOOKUP(K515,ChartofAccountsTable,2,FALSE),"")</f>
        <v>A/Receivables - Fuel Clients</v>
      </c>
      <c r="M515" s="252">
        <v>700</v>
      </c>
      <c r="N515" s="138"/>
      <c r="O515" s="76"/>
      <c r="P515" s="118"/>
    </row>
    <row r="516" spans="1:16" s="117" customFormat="1" ht="15" customHeight="1">
      <c r="A516" s="90"/>
      <c r="B516" s="386"/>
      <c r="C516" s="354"/>
      <c r="D516" s="240"/>
      <c r="E516" s="355"/>
      <c r="F516" s="241"/>
      <c r="G516" s="354"/>
      <c r="H516" s="249"/>
      <c r="I516" s="391"/>
      <c r="J516" s="359"/>
      <c r="K516" s="89">
        <v>40000</v>
      </c>
      <c r="L516" s="360" t="str">
        <f>IF(K516&lt;&gt;"",VLOOKUP(K516,ChartofAccountsTable,2,FALSE),"")</f>
        <v>Sales -Fuel Hauling</v>
      </c>
      <c r="M516" s="252"/>
      <c r="N516" s="138">
        <v>51750</v>
      </c>
      <c r="O516" s="76"/>
      <c r="P516" s="118"/>
    </row>
    <row r="517" spans="1:16" s="117" customFormat="1" ht="15" customHeight="1">
      <c r="A517" s="90"/>
      <c r="B517" s="386">
        <v>46038</v>
      </c>
      <c r="C517" s="354">
        <v>1063</v>
      </c>
      <c r="D517" s="394" t="s">
        <v>575</v>
      </c>
      <c r="E517" s="355" t="s">
        <v>576</v>
      </c>
      <c r="F517" s="344" t="s">
        <v>483</v>
      </c>
      <c r="G517" s="354" t="s">
        <v>264</v>
      </c>
      <c r="H517" s="249" t="s">
        <v>577</v>
      </c>
      <c r="I517" s="391">
        <v>3.5</v>
      </c>
      <c r="J517" s="359" t="s">
        <v>215</v>
      </c>
      <c r="K517" s="89">
        <v>21000</v>
      </c>
      <c r="L517" s="360" t="str">
        <f>IF(K517&lt;&gt;"",VLOOKUP(K517,ChartofAccountsTable,2,FALSE),"")</f>
        <v>Unearned Revenue - DHPP</v>
      </c>
      <c r="M517" s="252">
        <v>179300</v>
      </c>
      <c r="N517" s="138"/>
      <c r="O517" s="76"/>
      <c r="P517" s="118"/>
    </row>
    <row r="518" spans="1:16" s="117" customFormat="1" ht="15" customHeight="1">
      <c r="A518" s="90"/>
      <c r="B518" s="386"/>
      <c r="C518" s="354"/>
      <c r="D518" s="240"/>
      <c r="E518" s="355"/>
      <c r="F518" s="241"/>
      <c r="G518" s="354"/>
      <c r="H518" s="249"/>
      <c r="I518" s="391"/>
      <c r="J518" s="359"/>
      <c r="K518" s="89">
        <v>40000</v>
      </c>
      <c r="L518" s="360" t="str">
        <f>IF(K518&lt;&gt;"",VLOOKUP(K518,ChartofAccountsTable,2,FALSE),"")</f>
        <v>Sales -Fuel Hauling</v>
      </c>
      <c r="M518" s="252"/>
      <c r="N518" s="138">
        <v>179300</v>
      </c>
      <c r="O518" s="76"/>
      <c r="P518" s="118"/>
    </row>
    <row r="519" spans="1:16" s="117" customFormat="1" ht="15" customHeight="1">
      <c r="A519" s="90"/>
      <c r="B519" s="386">
        <v>46038</v>
      </c>
      <c r="C519" s="354">
        <v>1065</v>
      </c>
      <c r="D519" s="394" t="s">
        <v>578</v>
      </c>
      <c r="E519" s="355" t="s">
        <v>579</v>
      </c>
      <c r="F519" s="344" t="s">
        <v>483</v>
      </c>
      <c r="G519" s="354" t="s">
        <v>258</v>
      </c>
      <c r="H519" s="249" t="s">
        <v>149</v>
      </c>
      <c r="I519" s="391">
        <v>1</v>
      </c>
      <c r="J519" s="359" t="s">
        <v>215</v>
      </c>
      <c r="K519" s="89">
        <v>21000</v>
      </c>
      <c r="L519" s="360" t="str">
        <f>IF(K519&lt;&gt;"",VLOOKUP(K519,ChartofAccountsTable,2,FALSE),"")</f>
        <v>Unearned Revenue - DHPP</v>
      </c>
      <c r="M519" s="252">
        <v>51750</v>
      </c>
      <c r="N519" s="138"/>
      <c r="O519" s="76"/>
      <c r="P519" s="118"/>
    </row>
    <row r="520" spans="1:16" s="117" customFormat="1" ht="15" customHeight="1">
      <c r="A520" s="90"/>
      <c r="B520" s="386"/>
      <c r="C520" s="354"/>
      <c r="D520" s="240"/>
      <c r="E520" s="355"/>
      <c r="F520" s="241"/>
      <c r="G520" s="354"/>
      <c r="H520" s="249"/>
      <c r="I520" s="391"/>
      <c r="J520" s="359"/>
      <c r="K520" s="89">
        <v>40000</v>
      </c>
      <c r="L520" s="360" t="str">
        <f>IF(K520&lt;&gt;"",VLOOKUP(K520,ChartofAccountsTable,2,FALSE),"")</f>
        <v>Sales -Fuel Hauling</v>
      </c>
      <c r="M520" s="252"/>
      <c r="N520" s="138">
        <v>51750</v>
      </c>
      <c r="O520" s="76"/>
      <c r="P520" s="118"/>
    </row>
    <row r="521" spans="1:16" s="117" customFormat="1" ht="15" customHeight="1">
      <c r="A521" s="90"/>
      <c r="B521" s="386">
        <v>46038</v>
      </c>
      <c r="C521" s="354">
        <v>1066</v>
      </c>
      <c r="D521" s="394" t="s">
        <v>580</v>
      </c>
      <c r="E521" s="355" t="s">
        <v>581</v>
      </c>
      <c r="F521" s="344" t="s">
        <v>483</v>
      </c>
      <c r="G521" s="354" t="s">
        <v>269</v>
      </c>
      <c r="H521" s="249" t="s">
        <v>149</v>
      </c>
      <c r="I521" s="391">
        <v>1</v>
      </c>
      <c r="J521" s="359" t="s">
        <v>215</v>
      </c>
      <c r="K521" s="89">
        <v>21000</v>
      </c>
      <c r="L521" s="360" t="str">
        <f>IF(K521&lt;&gt;"",VLOOKUP(K521,ChartofAccountsTable,2,FALSE),"")</f>
        <v>Unearned Revenue - DHPP</v>
      </c>
      <c r="M521" s="252">
        <v>51750</v>
      </c>
      <c r="N521" s="138"/>
      <c r="O521" s="76"/>
      <c r="P521" s="118"/>
    </row>
    <row r="522" spans="1:16" s="117" customFormat="1" ht="15" customHeight="1">
      <c r="A522" s="90"/>
      <c r="B522" s="386"/>
      <c r="C522" s="354"/>
      <c r="D522" s="240"/>
      <c r="E522" s="355"/>
      <c r="F522" s="241"/>
      <c r="G522" s="354"/>
      <c r="H522" s="249"/>
      <c r="I522" s="391"/>
      <c r="J522" s="359"/>
      <c r="K522" s="89">
        <v>40000</v>
      </c>
      <c r="L522" s="360" t="str">
        <f>IF(K522&lt;&gt;"",VLOOKUP(K522,ChartofAccountsTable,2,FALSE),"")</f>
        <v>Sales -Fuel Hauling</v>
      </c>
      <c r="M522" s="252"/>
      <c r="N522" s="138">
        <v>51750</v>
      </c>
      <c r="O522" s="76"/>
      <c r="P522" s="118"/>
    </row>
    <row r="523" spans="1:16" s="117" customFormat="1" ht="15" customHeight="1">
      <c r="A523" s="90"/>
      <c r="B523" s="386">
        <v>46038</v>
      </c>
      <c r="C523" s="354">
        <v>1067</v>
      </c>
      <c r="D523" s="240" t="s">
        <v>582</v>
      </c>
      <c r="E523" s="355" t="s">
        <v>583</v>
      </c>
      <c r="F523" s="344" t="s">
        <v>483</v>
      </c>
      <c r="G523" s="354" t="s">
        <v>438</v>
      </c>
      <c r="H523" s="249" t="s">
        <v>173</v>
      </c>
      <c r="I523" s="391">
        <v>1.5</v>
      </c>
      <c r="J523" s="359" t="s">
        <v>215</v>
      </c>
      <c r="K523" s="89">
        <v>21000</v>
      </c>
      <c r="L523" s="360" t="str">
        <f>IF(K523&lt;&gt;"",VLOOKUP(K523,ChartofAccountsTable,2,FALSE),"")</f>
        <v>Unearned Revenue - DHPP</v>
      </c>
      <c r="M523" s="252">
        <v>50000</v>
      </c>
      <c r="N523" s="138"/>
      <c r="O523" s="76"/>
      <c r="P523" s="118"/>
    </row>
    <row r="524" spans="1:16" s="117" customFormat="1" ht="15" customHeight="1">
      <c r="A524" s="90"/>
      <c r="B524" s="386"/>
      <c r="C524" s="354"/>
      <c r="D524" s="240"/>
      <c r="E524" s="355"/>
      <c r="F524" s="241"/>
      <c r="G524" s="354"/>
      <c r="H524" s="249"/>
      <c r="I524" s="391"/>
      <c r="J524" s="359"/>
      <c r="K524" s="89">
        <v>12030</v>
      </c>
      <c r="L524" s="360" t="str">
        <f>IF(K524&lt;&gt;"",VLOOKUP(K524,ChartofAccountsTable,2,FALSE),"")</f>
        <v>A/Receivables - Fuel Clients</v>
      </c>
      <c r="M524" s="252">
        <v>27375</v>
      </c>
      <c r="N524" s="138"/>
      <c r="O524" s="76"/>
      <c r="P524" s="118"/>
    </row>
    <row r="525" spans="1:16" s="117" customFormat="1" ht="15" customHeight="1">
      <c r="A525" s="90"/>
      <c r="B525" s="386"/>
      <c r="C525" s="354"/>
      <c r="D525" s="240"/>
      <c r="E525" s="355"/>
      <c r="F525" s="241"/>
      <c r="G525" s="354"/>
      <c r="H525" s="249"/>
      <c r="I525" s="391"/>
      <c r="J525" s="359"/>
      <c r="K525" s="89">
        <v>40000</v>
      </c>
      <c r="L525" s="360" t="str">
        <f>IF(K525&lt;&gt;"",VLOOKUP(K525,ChartofAccountsTable,2,FALSE),"")</f>
        <v>Sales -Fuel Hauling</v>
      </c>
      <c r="M525" s="252"/>
      <c r="N525" s="138">
        <v>77375</v>
      </c>
      <c r="O525" s="76"/>
      <c r="P525" s="118"/>
    </row>
    <row r="526" spans="1:16" s="117" customFormat="1" ht="15" customHeight="1">
      <c r="A526" s="90"/>
      <c r="B526" s="386">
        <v>46038</v>
      </c>
      <c r="C526" s="354">
        <v>1064</v>
      </c>
      <c r="D526" s="394" t="s">
        <v>584</v>
      </c>
      <c r="E526" s="355" t="s">
        <v>585</v>
      </c>
      <c r="F526" s="344" t="s">
        <v>483</v>
      </c>
      <c r="G526" s="354" t="s">
        <v>260</v>
      </c>
      <c r="H526" s="249" t="s">
        <v>159</v>
      </c>
      <c r="I526" s="391">
        <v>0.5</v>
      </c>
      <c r="J526" s="359" t="s">
        <v>215</v>
      </c>
      <c r="K526" s="89">
        <v>21000</v>
      </c>
      <c r="L526" s="360" t="str">
        <f>IF(K526&lt;&gt;"",VLOOKUP(K526,ChartofAccountsTable,2,FALSE),"")</f>
        <v>Unearned Revenue - DHPP</v>
      </c>
      <c r="M526" s="252">
        <v>25500</v>
      </c>
      <c r="N526" s="138"/>
      <c r="O526" s="76"/>
      <c r="P526" s="118"/>
    </row>
    <row r="527" spans="1:16" s="117" customFormat="1" ht="15" customHeight="1">
      <c r="A527" s="90"/>
      <c r="B527" s="386"/>
      <c r="C527" s="354"/>
      <c r="D527" s="240"/>
      <c r="E527" s="355"/>
      <c r="F527" s="241"/>
      <c r="G527" s="354"/>
      <c r="H527" s="249"/>
      <c r="I527" s="391"/>
      <c r="J527" s="359"/>
      <c r="K527" s="89">
        <v>12030</v>
      </c>
      <c r="L527" s="360" t="str">
        <f>IF(K527&lt;&gt;"",VLOOKUP(K527,ChartofAccountsTable,2,FALSE),"")</f>
        <v>A/Receivables - Fuel Clients</v>
      </c>
      <c r="M527" s="252">
        <v>125</v>
      </c>
      <c r="N527" s="138"/>
      <c r="O527" s="76"/>
      <c r="P527" s="118"/>
    </row>
    <row r="528" spans="1:16" s="117" customFormat="1" ht="15" customHeight="1">
      <c r="A528" s="90"/>
      <c r="B528" s="386"/>
      <c r="C528" s="354"/>
      <c r="D528" s="240"/>
      <c r="E528" s="355"/>
      <c r="F528" s="241"/>
      <c r="G528" s="354"/>
      <c r="H528" s="249"/>
      <c r="I528" s="391"/>
      <c r="J528" s="359"/>
      <c r="K528" s="89">
        <v>40000</v>
      </c>
      <c r="L528" s="360" t="str">
        <f>IF(K528&lt;&gt;"",VLOOKUP(K528,ChartofAccountsTable,2,FALSE),"")</f>
        <v>Sales -Fuel Hauling</v>
      </c>
      <c r="M528" s="252"/>
      <c r="N528" s="138">
        <v>25625</v>
      </c>
      <c r="O528" s="76"/>
      <c r="P528" s="118"/>
    </row>
    <row r="529" spans="1:16" s="117" customFormat="1" ht="15" customHeight="1">
      <c r="A529" s="90"/>
      <c r="B529" s="386">
        <v>46039</v>
      </c>
      <c r="C529" s="354">
        <v>1073</v>
      </c>
      <c r="D529" s="394" t="s">
        <v>586</v>
      </c>
      <c r="E529" s="355" t="s">
        <v>587</v>
      </c>
      <c r="F529" s="344" t="s">
        <v>483</v>
      </c>
      <c r="G529" s="354" t="s">
        <v>347</v>
      </c>
      <c r="H529" s="249" t="s">
        <v>149</v>
      </c>
      <c r="I529" s="391">
        <v>1</v>
      </c>
      <c r="J529" s="359" t="s">
        <v>215</v>
      </c>
      <c r="K529" s="89">
        <v>21000</v>
      </c>
      <c r="L529" s="360" t="str">
        <f>IF(K529&lt;&gt;"",VLOOKUP(K529,ChartofAccountsTable,2,FALSE),"")</f>
        <v>Unearned Revenue - DHPP</v>
      </c>
      <c r="M529" s="283">
        <v>51800</v>
      </c>
      <c r="N529" s="138"/>
      <c r="O529" s="76"/>
      <c r="P529" s="118"/>
    </row>
    <row r="530" spans="1:16" s="117" customFormat="1" ht="15" customHeight="1">
      <c r="A530" s="90"/>
      <c r="B530" s="386"/>
      <c r="C530" s="354"/>
      <c r="D530" s="240"/>
      <c r="E530" s="355"/>
      <c r="F530" s="241"/>
      <c r="G530" s="354"/>
      <c r="H530" s="249"/>
      <c r="I530" s="391"/>
      <c r="J530" s="359"/>
      <c r="K530" s="89">
        <v>40000</v>
      </c>
      <c r="L530" s="360" t="str">
        <f>IF(K530&lt;&gt;"",VLOOKUP(K530,ChartofAccountsTable,2,FALSE),"")</f>
        <v>Sales -Fuel Hauling</v>
      </c>
      <c r="M530" s="252"/>
      <c r="N530" s="138">
        <v>51800</v>
      </c>
      <c r="O530" s="76"/>
      <c r="P530" s="118"/>
    </row>
    <row r="531" spans="1:16" s="117" customFormat="1" ht="15" customHeight="1">
      <c r="A531" s="90"/>
      <c r="B531" s="386">
        <v>46039</v>
      </c>
      <c r="C531" s="354">
        <v>1068</v>
      </c>
      <c r="D531" s="394" t="s">
        <v>588</v>
      </c>
      <c r="E531" s="355" t="s">
        <v>589</v>
      </c>
      <c r="F531" s="344" t="s">
        <v>483</v>
      </c>
      <c r="G531" s="354" t="s">
        <v>187</v>
      </c>
      <c r="H531" s="249" t="s">
        <v>590</v>
      </c>
      <c r="I531" s="391">
        <v>7</v>
      </c>
      <c r="J531" s="359" t="s">
        <v>215</v>
      </c>
      <c r="K531" s="89">
        <v>21000</v>
      </c>
      <c r="L531" s="360" t="str">
        <f>IF(K531&lt;&gt;"",VLOOKUP(K531,ChartofAccountsTable,2,FALSE),"")</f>
        <v>Unearned Revenue - DHPP</v>
      </c>
      <c r="M531" s="252">
        <v>289500</v>
      </c>
      <c r="N531" s="138"/>
      <c r="O531" s="76"/>
      <c r="P531" s="118"/>
    </row>
    <row r="532" spans="1:16" s="117" customFormat="1" ht="15" customHeight="1">
      <c r="A532" s="90"/>
      <c r="B532" s="386"/>
      <c r="C532" s="354"/>
      <c r="D532" s="240"/>
      <c r="E532" s="355"/>
      <c r="F532" s="241"/>
      <c r="G532" s="354"/>
      <c r="H532" s="249"/>
      <c r="I532" s="391"/>
      <c r="J532" s="359"/>
      <c r="K532" s="89">
        <v>12030</v>
      </c>
      <c r="L532" s="360" t="str">
        <f>IF(K532&lt;&gt;"",VLOOKUP(K532,ChartofAccountsTable,2,FALSE),"")</f>
        <v>A/Receivables - Fuel Clients</v>
      </c>
      <c r="M532" s="252">
        <v>65950</v>
      </c>
      <c r="N532" s="138"/>
      <c r="O532" s="76"/>
      <c r="P532" s="118"/>
    </row>
    <row r="533" spans="1:16" s="117" customFormat="1" ht="15" customHeight="1">
      <c r="A533" s="90"/>
      <c r="B533" s="386"/>
      <c r="C533" s="354"/>
      <c r="D533" s="240"/>
      <c r="E533" s="355"/>
      <c r="F533" s="241"/>
      <c r="G533" s="354"/>
      <c r="H533" s="249"/>
      <c r="I533" s="391"/>
      <c r="J533" s="359"/>
      <c r="K533" s="89">
        <v>40000</v>
      </c>
      <c r="L533" s="360" t="str">
        <f>IF(K533&lt;&gt;"",VLOOKUP(K533,ChartofAccountsTable,2,FALSE),"")</f>
        <v>Sales -Fuel Hauling</v>
      </c>
      <c r="M533" s="252"/>
      <c r="N533" s="138">
        <v>355450</v>
      </c>
      <c r="O533" s="76"/>
      <c r="P533" s="118"/>
    </row>
    <row r="534" spans="1:16" s="117" customFormat="1" ht="15" customHeight="1">
      <c r="A534" s="90"/>
      <c r="B534" s="386">
        <v>46039</v>
      </c>
      <c r="C534" s="354">
        <v>1069</v>
      </c>
      <c r="D534" s="394" t="s">
        <v>542</v>
      </c>
      <c r="E534" s="355" t="s">
        <v>591</v>
      </c>
      <c r="F534" s="344" t="s">
        <v>483</v>
      </c>
      <c r="G534" s="354" t="s">
        <v>232</v>
      </c>
      <c r="H534" s="249" t="s">
        <v>592</v>
      </c>
      <c r="I534" s="391">
        <v>2</v>
      </c>
      <c r="J534" s="359" t="s">
        <v>215</v>
      </c>
      <c r="K534" s="89">
        <v>21000</v>
      </c>
      <c r="L534" s="360" t="str">
        <f>IF(K534&lt;&gt;"",VLOOKUP(K534,ChartofAccountsTable,2,FALSE),"")</f>
        <v>Unearned Revenue - DHPP</v>
      </c>
      <c r="M534" s="252">
        <v>102500</v>
      </c>
      <c r="N534" s="138"/>
      <c r="O534" s="76"/>
      <c r="P534" s="118"/>
    </row>
    <row r="535" spans="1:16" s="117" customFormat="1" ht="15" customHeight="1">
      <c r="A535" s="90"/>
      <c r="B535" s="386"/>
      <c r="C535" s="354"/>
      <c r="D535" s="240"/>
      <c r="E535" s="355"/>
      <c r="F535" s="241"/>
      <c r="G535" s="354"/>
      <c r="H535" s="249"/>
      <c r="I535" s="391"/>
      <c r="J535" s="359"/>
      <c r="K535" s="89">
        <v>40000</v>
      </c>
      <c r="L535" s="360" t="str">
        <f>IF(K535&lt;&gt;"",VLOOKUP(K535,ChartofAccountsTable,2,FALSE),"")</f>
        <v>Sales -Fuel Hauling</v>
      </c>
      <c r="M535" s="252"/>
      <c r="N535" s="138">
        <v>102500</v>
      </c>
      <c r="O535" s="76"/>
      <c r="P535" s="118"/>
    </row>
    <row r="536" spans="1:16" s="117" customFormat="1" ht="15" customHeight="1">
      <c r="A536" s="90"/>
      <c r="B536" s="386">
        <v>46039</v>
      </c>
      <c r="C536" s="354">
        <v>1070</v>
      </c>
      <c r="D536" s="394" t="s">
        <v>593</v>
      </c>
      <c r="E536" s="355" t="s">
        <v>594</v>
      </c>
      <c r="F536" s="344" t="s">
        <v>483</v>
      </c>
      <c r="G536" s="354" t="s">
        <v>189</v>
      </c>
      <c r="H536" s="249" t="s">
        <v>359</v>
      </c>
      <c r="I536" s="391">
        <v>3</v>
      </c>
      <c r="J536" s="359" t="s">
        <v>215</v>
      </c>
      <c r="K536" s="89">
        <v>21000</v>
      </c>
      <c r="L536" s="360" t="str">
        <f>IF(K536&lt;&gt;"",VLOOKUP(K536,ChartofAccountsTable,2,FALSE),"")</f>
        <v>Unearned Revenue - DHPP</v>
      </c>
      <c r="M536" s="252">
        <v>151990</v>
      </c>
      <c r="N536" s="138"/>
      <c r="O536" s="76"/>
      <c r="P536" s="118"/>
    </row>
    <row r="537" spans="1:16" s="117" customFormat="1" ht="15" customHeight="1">
      <c r="A537" s="90"/>
      <c r="B537" s="386"/>
      <c r="C537" s="354"/>
      <c r="D537" s="240"/>
      <c r="E537" s="355"/>
      <c r="F537" s="241"/>
      <c r="G537" s="354"/>
      <c r="H537" s="249"/>
      <c r="I537" s="391"/>
      <c r="J537" s="359"/>
      <c r="K537" s="89">
        <v>40000</v>
      </c>
      <c r="L537" s="360" t="str">
        <f>IF(K537&lt;&gt;"",VLOOKUP(K537,ChartofAccountsTable,2,FALSE),"")</f>
        <v>Sales -Fuel Hauling</v>
      </c>
      <c r="M537" s="252"/>
      <c r="N537" s="138">
        <v>151990</v>
      </c>
      <c r="O537" s="76"/>
      <c r="P537" s="118"/>
    </row>
    <row r="538" spans="1:16" s="117" customFormat="1" ht="15" customHeight="1">
      <c r="A538" s="90"/>
      <c r="B538" s="386">
        <v>46039</v>
      </c>
      <c r="C538" s="354">
        <v>1071</v>
      </c>
      <c r="D538" s="394" t="s">
        <v>595</v>
      </c>
      <c r="E538" s="355" t="s">
        <v>596</v>
      </c>
      <c r="F538" s="344" t="s">
        <v>483</v>
      </c>
      <c r="G538" s="354" t="s">
        <v>351</v>
      </c>
      <c r="H538" s="249" t="s">
        <v>149</v>
      </c>
      <c r="I538" s="391">
        <v>1</v>
      </c>
      <c r="J538" s="359" t="s">
        <v>215</v>
      </c>
      <c r="K538" s="89">
        <v>21000</v>
      </c>
      <c r="L538" s="360" t="str">
        <f>IF(K538&lt;&gt;"",VLOOKUP(K538,ChartofAccountsTable,2,FALSE),"")</f>
        <v>Unearned Revenue - DHPP</v>
      </c>
      <c r="M538" s="252">
        <v>51900</v>
      </c>
      <c r="N538" s="138"/>
      <c r="O538" s="76"/>
      <c r="P538" s="118"/>
    </row>
    <row r="539" spans="1:16" s="117" customFormat="1" ht="15" customHeight="1">
      <c r="A539" s="90"/>
      <c r="B539" s="386"/>
      <c r="C539" s="354"/>
      <c r="D539" s="240"/>
      <c r="E539" s="355"/>
      <c r="F539" s="241"/>
      <c r="G539" s="354"/>
      <c r="H539" s="249"/>
      <c r="I539" s="391"/>
      <c r="J539" s="359"/>
      <c r="K539" s="89">
        <v>40000</v>
      </c>
      <c r="L539" s="360" t="str">
        <f>IF(K539&lt;&gt;"",VLOOKUP(K539,ChartofAccountsTable,2,FALSE),"")</f>
        <v>Sales -Fuel Hauling</v>
      </c>
      <c r="M539" s="252"/>
      <c r="N539" s="138">
        <v>51900</v>
      </c>
      <c r="O539" s="76"/>
      <c r="P539" s="118"/>
    </row>
    <row r="540" spans="1:16" s="117" customFormat="1" ht="15" customHeight="1">
      <c r="A540" s="90"/>
      <c r="B540" s="386">
        <v>46039</v>
      </c>
      <c r="C540" s="354">
        <v>1072</v>
      </c>
      <c r="D540" s="394" t="s">
        <v>597</v>
      </c>
      <c r="E540" s="355" t="s">
        <v>598</v>
      </c>
      <c r="F540" s="344" t="s">
        <v>483</v>
      </c>
      <c r="G540" s="354" t="s">
        <v>191</v>
      </c>
      <c r="H540" s="391" t="s">
        <v>149</v>
      </c>
      <c r="I540" s="391">
        <v>1</v>
      </c>
      <c r="J540" s="359" t="s">
        <v>215</v>
      </c>
      <c r="K540" s="89">
        <v>21000</v>
      </c>
      <c r="L540" s="360" t="str">
        <f>IF(K540&lt;&gt;"",VLOOKUP(K540,ChartofAccountsTable,2,FALSE),"")</f>
        <v>Unearned Revenue - DHPP</v>
      </c>
      <c r="M540" s="252">
        <v>51850</v>
      </c>
      <c r="N540" s="138"/>
      <c r="O540" s="76"/>
      <c r="P540" s="118"/>
    </row>
    <row r="541" spans="1:16" s="117" customFormat="1" ht="15" customHeight="1">
      <c r="A541" s="90"/>
      <c r="B541" s="386"/>
      <c r="C541" s="354"/>
      <c r="D541" s="240"/>
      <c r="E541" s="355"/>
      <c r="F541" s="241"/>
      <c r="G541" s="354"/>
      <c r="H541" s="391"/>
      <c r="I541" s="391"/>
      <c r="J541" s="359"/>
      <c r="K541" s="89">
        <v>40000</v>
      </c>
      <c r="L541" s="360" t="str">
        <f>IF(K541&lt;&gt;"",VLOOKUP(K541,ChartofAccountsTable,2,FALSE),"")</f>
        <v>Sales -Fuel Hauling</v>
      </c>
      <c r="M541" s="252"/>
      <c r="N541" s="138">
        <v>51850</v>
      </c>
      <c r="O541" s="76"/>
      <c r="P541" s="118"/>
    </row>
    <row r="542" spans="1:16" s="117" customFormat="1" ht="15" customHeight="1">
      <c r="A542" s="90"/>
      <c r="B542" s="386">
        <v>46037</v>
      </c>
      <c r="C542" s="354">
        <v>536</v>
      </c>
      <c r="D542" s="394" t="s">
        <v>599</v>
      </c>
      <c r="E542" s="355" t="s">
        <v>600</v>
      </c>
      <c r="F542" s="344" t="s">
        <v>483</v>
      </c>
      <c r="G542" s="354" t="s">
        <v>158</v>
      </c>
      <c r="H542" s="249" t="s">
        <v>601</v>
      </c>
      <c r="I542" s="391">
        <v>4.5</v>
      </c>
      <c r="J542" s="359" t="s">
        <v>250</v>
      </c>
      <c r="K542" s="89">
        <v>12030</v>
      </c>
      <c r="L542" s="360" t="str">
        <f>IF(K542&lt;&gt;"",VLOOKUP(K542,ChartofAccountsTable,2,FALSE),"")</f>
        <v>A/Receivables - Fuel Clients</v>
      </c>
      <c r="M542" s="252">
        <v>217150</v>
      </c>
      <c r="N542" s="138"/>
      <c r="O542" s="76"/>
      <c r="P542" s="118"/>
    </row>
    <row r="543" spans="1:16" s="117" customFormat="1" ht="15" customHeight="1">
      <c r="A543" s="90"/>
      <c r="B543" s="386"/>
      <c r="C543" s="354"/>
      <c r="D543" s="240"/>
      <c r="E543" s="355"/>
      <c r="F543" s="241"/>
      <c r="G543" s="354"/>
      <c r="H543" s="249"/>
      <c r="I543" s="391"/>
      <c r="J543" s="359"/>
      <c r="K543" s="89">
        <v>40000</v>
      </c>
      <c r="L543" s="360" t="str">
        <f>IF(K543&lt;&gt;"",VLOOKUP(K543,ChartofAccountsTable,2,FALSE),"")</f>
        <v>Sales -Fuel Hauling</v>
      </c>
      <c r="M543" s="252"/>
      <c r="N543" s="138">
        <v>217150</v>
      </c>
      <c r="O543" s="76"/>
      <c r="P543" s="118"/>
    </row>
    <row r="544" spans="1:16" s="117" customFormat="1" ht="15" customHeight="1">
      <c r="A544" s="90"/>
      <c r="B544" s="386">
        <v>46037</v>
      </c>
      <c r="C544" s="354">
        <v>537</v>
      </c>
      <c r="D544" s="394" t="s">
        <v>602</v>
      </c>
      <c r="E544" s="355" t="s">
        <v>603</v>
      </c>
      <c r="F544" s="344" t="s">
        <v>483</v>
      </c>
      <c r="G544" s="354" t="s">
        <v>148</v>
      </c>
      <c r="H544" s="249" t="s">
        <v>604</v>
      </c>
      <c r="I544" s="391">
        <v>2</v>
      </c>
      <c r="J544" s="359" t="s">
        <v>605</v>
      </c>
      <c r="K544" s="89">
        <v>21000</v>
      </c>
      <c r="L544" s="360" t="str">
        <f>IF(K544&lt;&gt;"",VLOOKUP(K544,ChartofAccountsTable,2,FALSE),"")</f>
        <v>Unearned Revenue - DHPP</v>
      </c>
      <c r="M544" s="252">
        <v>100450</v>
      </c>
      <c r="N544" s="138"/>
      <c r="O544" s="76" t="s">
        <v>606</v>
      </c>
      <c r="P544" s="118"/>
    </row>
    <row r="545" spans="1:16" s="117" customFormat="1" ht="15" customHeight="1">
      <c r="A545" s="90"/>
      <c r="B545" s="386"/>
      <c r="C545" s="354"/>
      <c r="D545" s="240"/>
      <c r="E545" s="355"/>
      <c r="F545" s="241"/>
      <c r="G545" s="354"/>
      <c r="H545" s="249"/>
      <c r="I545" s="391"/>
      <c r="J545" s="359"/>
      <c r="K545" s="89">
        <v>40000</v>
      </c>
      <c r="L545" s="360" t="str">
        <f>IF(K545&lt;&gt;"",VLOOKUP(K545,ChartofAccountsTable,2,FALSE),"")</f>
        <v>Sales -Fuel Hauling</v>
      </c>
      <c r="M545" s="252"/>
      <c r="N545" s="138">
        <v>100450</v>
      </c>
      <c r="O545" s="76"/>
      <c r="P545" s="118"/>
    </row>
    <row r="546" spans="1:16" s="117" customFormat="1" ht="15" customHeight="1">
      <c r="A546" s="90"/>
      <c r="B546" s="386">
        <v>46037</v>
      </c>
      <c r="C546" s="354">
        <v>539</v>
      </c>
      <c r="D546" s="394" t="s">
        <v>607</v>
      </c>
      <c r="E546" s="355" t="s">
        <v>608</v>
      </c>
      <c r="F546" s="344" t="s">
        <v>483</v>
      </c>
      <c r="G546" s="354" t="s">
        <v>294</v>
      </c>
      <c r="H546" s="249" t="s">
        <v>159</v>
      </c>
      <c r="I546" s="391">
        <v>0.5</v>
      </c>
      <c r="J546" s="359" t="s">
        <v>609</v>
      </c>
      <c r="K546" s="89">
        <v>21000</v>
      </c>
      <c r="L546" s="360" t="str">
        <f>IF(K546&lt;&gt;"",VLOOKUP(K546,ChartofAccountsTable,2,FALSE),"")</f>
        <v>Unearned Revenue - DHPP</v>
      </c>
      <c r="M546" s="252">
        <v>25600</v>
      </c>
      <c r="N546" s="138"/>
      <c r="O546" s="76"/>
      <c r="P546" s="118"/>
    </row>
    <row r="547" spans="1:16" s="117" customFormat="1" ht="15" customHeight="1">
      <c r="A547" s="90"/>
      <c r="B547" s="386"/>
      <c r="C547" s="354"/>
      <c r="D547" s="240"/>
      <c r="E547" s="355"/>
      <c r="F547" s="241"/>
      <c r="G547" s="354"/>
      <c r="H547" s="249"/>
      <c r="I547" s="391"/>
      <c r="J547" s="359"/>
      <c r="K547" s="89">
        <v>40000</v>
      </c>
      <c r="L547" s="360" t="str">
        <f>IF(K547&lt;&gt;"",VLOOKUP(K547,ChartofAccountsTable,2,FALSE),"")</f>
        <v>Sales -Fuel Hauling</v>
      </c>
      <c r="M547" s="252"/>
      <c r="N547" s="138">
        <v>25600</v>
      </c>
      <c r="O547" s="76"/>
      <c r="P547" s="118"/>
    </row>
    <row r="548" spans="1:16" s="117" customFormat="1" ht="15" customHeight="1">
      <c r="A548" s="90"/>
      <c r="B548" s="386">
        <v>46037</v>
      </c>
      <c r="C548" s="354">
        <v>539</v>
      </c>
      <c r="D548" s="394" t="s">
        <v>610</v>
      </c>
      <c r="E548" s="355" t="s">
        <v>611</v>
      </c>
      <c r="F548" s="344" t="s">
        <v>483</v>
      </c>
      <c r="G548" s="354" t="s">
        <v>294</v>
      </c>
      <c r="H548" s="249" t="s">
        <v>149</v>
      </c>
      <c r="I548" s="391">
        <v>1</v>
      </c>
      <c r="J548" s="359" t="s">
        <v>612</v>
      </c>
      <c r="K548" s="89">
        <v>21000</v>
      </c>
      <c r="L548" s="360" t="str">
        <f>IF(K548&lt;&gt;"",VLOOKUP(K548,ChartofAccountsTable,2,FALSE),"")</f>
        <v>Unearned Revenue - DHPP</v>
      </c>
      <c r="M548" s="252">
        <v>51000</v>
      </c>
      <c r="N548" s="138"/>
      <c r="O548" s="76"/>
      <c r="P548" s="118"/>
    </row>
    <row r="549" spans="1:16" s="117" customFormat="1" ht="15" customHeight="1">
      <c r="A549" s="90"/>
      <c r="B549" s="386"/>
      <c r="C549" s="354"/>
      <c r="D549" s="394"/>
      <c r="E549" s="355"/>
      <c r="F549" s="391"/>
      <c r="G549" s="354"/>
      <c r="H549" s="249"/>
      <c r="I549" s="391"/>
      <c r="J549" s="359"/>
      <c r="K549" s="89">
        <v>12030</v>
      </c>
      <c r="L549" s="360" t="str">
        <f>IF(K549&lt;&gt;"",VLOOKUP(K549,ChartofAccountsTable,2,FALSE),"")</f>
        <v>A/Receivables - Fuel Clients</v>
      </c>
      <c r="M549" s="252">
        <v>700</v>
      </c>
      <c r="N549" s="138"/>
      <c r="O549" s="76"/>
      <c r="P549" s="118"/>
    </row>
    <row r="550" spans="1:16" s="117" customFormat="1" ht="15" customHeight="1">
      <c r="A550" s="90"/>
      <c r="B550" s="386"/>
      <c r="C550" s="354"/>
      <c r="D550" s="240"/>
      <c r="E550" s="355"/>
      <c r="F550" s="241"/>
      <c r="G550" s="354"/>
      <c r="H550" s="249"/>
      <c r="I550" s="391"/>
      <c r="J550" s="359"/>
      <c r="K550" s="89">
        <v>40000</v>
      </c>
      <c r="L550" s="360" t="str">
        <f>IF(K550&lt;&gt;"",VLOOKUP(K550,ChartofAccountsTable,2,FALSE),"")</f>
        <v>Sales -Fuel Hauling</v>
      </c>
      <c r="M550" s="252"/>
      <c r="N550" s="138">
        <v>51700</v>
      </c>
      <c r="O550" s="76"/>
      <c r="P550" s="118"/>
    </row>
    <row r="551" spans="1:16" s="117" customFormat="1" ht="15" customHeight="1">
      <c r="A551" s="90"/>
      <c r="B551" s="386">
        <v>46037</v>
      </c>
      <c r="C551" s="354">
        <v>540</v>
      </c>
      <c r="D551" s="394" t="s">
        <v>613</v>
      </c>
      <c r="E551" s="355" t="s">
        <v>614</v>
      </c>
      <c r="F551" s="344" t="s">
        <v>483</v>
      </c>
      <c r="G551" s="354" t="s">
        <v>172</v>
      </c>
      <c r="H551" s="249" t="s">
        <v>615</v>
      </c>
      <c r="I551" s="391">
        <v>15</v>
      </c>
      <c r="J551" s="359" t="s">
        <v>616</v>
      </c>
      <c r="K551" s="89">
        <v>21000</v>
      </c>
      <c r="L551" s="360" t="str">
        <f>IF(K551&lt;&gt;"",VLOOKUP(K551,ChartofAccountsTable,2,FALSE),"")</f>
        <v>Unearned Revenue - DHPP</v>
      </c>
      <c r="M551" s="252">
        <v>83000</v>
      </c>
      <c r="N551" s="138"/>
      <c r="O551" s="76"/>
      <c r="P551" s="118"/>
    </row>
    <row r="552" spans="1:16" s="117" customFormat="1" ht="15" customHeight="1">
      <c r="A552" s="90"/>
      <c r="B552" s="386"/>
      <c r="C552" s="354"/>
      <c r="D552" s="240"/>
      <c r="E552" s="355"/>
      <c r="F552" s="241"/>
      <c r="G552" s="354"/>
      <c r="H552" s="249"/>
      <c r="I552" s="391"/>
      <c r="J552" s="359"/>
      <c r="K552" s="89">
        <v>12030</v>
      </c>
      <c r="L552" s="360" t="str">
        <f>IF(K552&lt;&gt;"",VLOOKUP(K552,ChartofAccountsTable,2,FALSE),"")</f>
        <v>A/Receivables - Fuel Clients</v>
      </c>
      <c r="M552" s="252">
        <v>668000</v>
      </c>
      <c r="N552" s="138"/>
      <c r="O552" s="76"/>
      <c r="P552" s="118"/>
    </row>
    <row r="553" spans="1:16" s="117" customFormat="1" ht="15" customHeight="1">
      <c r="A553" s="90"/>
      <c r="B553" s="386"/>
      <c r="C553" s="354"/>
      <c r="D553" s="240"/>
      <c r="E553" s="355"/>
      <c r="F553" s="241"/>
      <c r="G553" s="354"/>
      <c r="H553" s="249"/>
      <c r="I553" s="391"/>
      <c r="J553" s="359"/>
      <c r="K553" s="89">
        <v>40000</v>
      </c>
      <c r="L553" s="360" t="str">
        <f>IF(K553&lt;&gt;"",VLOOKUP(K553,ChartofAccountsTable,2,FALSE),"")</f>
        <v>Sales -Fuel Hauling</v>
      </c>
      <c r="M553" s="252"/>
      <c r="N553" s="138">
        <v>751000</v>
      </c>
      <c r="O553" s="76"/>
      <c r="P553" s="118"/>
    </row>
    <row r="554" spans="1:16" s="117" customFormat="1" ht="15" customHeight="1">
      <c r="A554" s="90"/>
      <c r="B554" s="386">
        <v>46037</v>
      </c>
      <c r="C554" s="354">
        <v>538</v>
      </c>
      <c r="D554" s="394" t="s">
        <v>617</v>
      </c>
      <c r="E554" s="355" t="s">
        <v>618</v>
      </c>
      <c r="F554" s="344" t="s">
        <v>483</v>
      </c>
      <c r="G554" s="354" t="s">
        <v>154</v>
      </c>
      <c r="H554" s="249" t="s">
        <v>149</v>
      </c>
      <c r="I554" s="391">
        <v>1</v>
      </c>
      <c r="J554" s="359" t="s">
        <v>619</v>
      </c>
      <c r="K554" s="89">
        <v>21000</v>
      </c>
      <c r="L554" s="360" t="str">
        <f>IF(K554&lt;&gt;"",VLOOKUP(K554,ChartofAccountsTable,2,FALSE),"")</f>
        <v>Unearned Revenue - DHPP</v>
      </c>
      <c r="M554" s="252">
        <v>51700</v>
      </c>
      <c r="N554" s="138"/>
      <c r="O554" s="76"/>
      <c r="P554" s="118"/>
    </row>
    <row r="555" spans="1:16" s="117" customFormat="1" ht="15" customHeight="1">
      <c r="A555" s="90"/>
      <c r="B555" s="386"/>
      <c r="C555" s="354"/>
      <c r="D555" s="240"/>
      <c r="E555" s="355"/>
      <c r="F555" s="241"/>
      <c r="G555" s="354"/>
      <c r="H555" s="249"/>
      <c r="I555" s="391"/>
      <c r="J555" s="359"/>
      <c r="K555" s="89">
        <v>12030</v>
      </c>
      <c r="L555" s="360" t="str">
        <f>IF(K555&lt;&gt;"",VLOOKUP(K555,ChartofAccountsTable,2,FALSE),"")</f>
        <v>A/Receivables - Fuel Clients</v>
      </c>
      <c r="M555" s="252">
        <v>50</v>
      </c>
      <c r="N555" s="138"/>
      <c r="O555" s="76"/>
      <c r="P555" s="118"/>
    </row>
    <row r="556" spans="1:16" s="117" customFormat="1" ht="15" customHeight="1">
      <c r="A556" s="90"/>
      <c r="B556" s="386"/>
      <c r="C556" s="354"/>
      <c r="D556" s="240"/>
      <c r="E556" s="355"/>
      <c r="F556" s="241"/>
      <c r="G556" s="354"/>
      <c r="H556" s="249"/>
      <c r="I556" s="391"/>
      <c r="J556" s="359"/>
      <c r="K556" s="89">
        <v>40000</v>
      </c>
      <c r="L556" s="360" t="str">
        <f>IF(K556&lt;&gt;"",VLOOKUP(K556,ChartofAccountsTable,2,FALSE),"")</f>
        <v>Sales -Fuel Hauling</v>
      </c>
      <c r="M556" s="252"/>
      <c r="N556" s="138">
        <v>51750</v>
      </c>
      <c r="O556" s="76"/>
      <c r="P556" s="118"/>
    </row>
    <row r="557" spans="1:16" s="117" customFormat="1" ht="15" customHeight="1">
      <c r="A557" s="90"/>
      <c r="B557" s="386">
        <v>46038</v>
      </c>
      <c r="C557" s="354">
        <v>541</v>
      </c>
      <c r="D557" s="394" t="s">
        <v>620</v>
      </c>
      <c r="E557" s="355" t="s">
        <v>621</v>
      </c>
      <c r="F557" s="344" t="s">
        <v>483</v>
      </c>
      <c r="G557" s="354" t="s">
        <v>164</v>
      </c>
      <c r="H557" s="249" t="s">
        <v>162</v>
      </c>
      <c r="I557" s="391">
        <v>0.5</v>
      </c>
      <c r="J557" s="359" t="s">
        <v>622</v>
      </c>
      <c r="K557" s="89">
        <v>12030</v>
      </c>
      <c r="L557" s="360" t="str">
        <f>IF(K557&lt;&gt;"",VLOOKUP(K557,ChartofAccountsTable,2,FALSE),"")</f>
        <v>A/Receivables - Fuel Clients</v>
      </c>
      <c r="M557" s="252">
        <v>24825</v>
      </c>
      <c r="N557" s="138"/>
      <c r="O557" s="76"/>
      <c r="P557" s="118"/>
    </row>
    <row r="558" spans="1:16" s="117" customFormat="1" ht="15" customHeight="1">
      <c r="A558" s="90"/>
      <c r="B558" s="386"/>
      <c r="C558" s="354"/>
      <c r="D558" s="240"/>
      <c r="E558" s="355"/>
      <c r="F558" s="241"/>
      <c r="G558" s="354"/>
      <c r="H558" s="249"/>
      <c r="I558" s="391"/>
      <c r="J558" s="359"/>
      <c r="K558" s="89">
        <v>40000</v>
      </c>
      <c r="L558" s="360" t="str">
        <f>IF(K558&lt;&gt;"",VLOOKUP(K558,ChartofAccountsTable,2,FALSE),"")</f>
        <v>Sales -Fuel Hauling</v>
      </c>
      <c r="M558" s="252"/>
      <c r="N558" s="138">
        <v>24825</v>
      </c>
      <c r="O558" s="76"/>
      <c r="P558" s="118"/>
    </row>
    <row r="559" spans="1:16" s="117" customFormat="1" ht="15" customHeight="1">
      <c r="A559" s="90"/>
      <c r="B559" s="386">
        <v>46038</v>
      </c>
      <c r="C559" s="354">
        <v>542</v>
      </c>
      <c r="D559" s="394" t="s">
        <v>623</v>
      </c>
      <c r="E559" s="355" t="s">
        <v>624</v>
      </c>
      <c r="F559" s="344" t="s">
        <v>483</v>
      </c>
      <c r="G559" s="354" t="s">
        <v>252</v>
      </c>
      <c r="H559" s="249" t="s">
        <v>625</v>
      </c>
      <c r="I559" s="391">
        <v>4</v>
      </c>
      <c r="J559" s="359" t="s">
        <v>626</v>
      </c>
      <c r="K559" s="89">
        <v>21000</v>
      </c>
      <c r="L559" s="360" t="str">
        <f>IF(K559&lt;&gt;"",VLOOKUP(K559,ChartofAccountsTable,2,FALSE),"")</f>
        <v>Unearned Revenue - DHPP</v>
      </c>
      <c r="M559" s="252">
        <v>200700</v>
      </c>
      <c r="N559" s="138"/>
      <c r="O559" s="76"/>
      <c r="P559" s="118"/>
    </row>
    <row r="560" spans="1:16" s="117" customFormat="1" ht="15" customHeight="1">
      <c r="A560" s="90"/>
      <c r="B560" s="386"/>
      <c r="C560" s="354"/>
      <c r="D560" s="240"/>
      <c r="E560" s="355"/>
      <c r="F560" s="241"/>
      <c r="G560" s="354"/>
      <c r="H560" s="249"/>
      <c r="I560" s="391"/>
      <c r="J560" s="359"/>
      <c r="K560" s="89">
        <v>40000</v>
      </c>
      <c r="L560" s="360" t="str">
        <f>IF(K560&lt;&gt;"",VLOOKUP(K560,ChartofAccountsTable,2,FALSE),"")</f>
        <v>Sales -Fuel Hauling</v>
      </c>
      <c r="M560" s="252"/>
      <c r="N560" s="138">
        <v>200700</v>
      </c>
      <c r="O560" s="76"/>
      <c r="P560" s="118"/>
    </row>
    <row r="561" spans="1:16" s="117" customFormat="1" ht="15" customHeight="1">
      <c r="A561" s="90"/>
      <c r="B561" s="386">
        <v>46038</v>
      </c>
      <c r="C561" s="354">
        <v>543</v>
      </c>
      <c r="D561" s="394" t="s">
        <v>627</v>
      </c>
      <c r="E561" s="355" t="s">
        <v>628</v>
      </c>
      <c r="F561" s="344" t="s">
        <v>483</v>
      </c>
      <c r="G561" s="354" t="s">
        <v>167</v>
      </c>
      <c r="H561" s="249" t="s">
        <v>629</v>
      </c>
      <c r="I561" s="391">
        <v>3</v>
      </c>
      <c r="J561" s="359" t="s">
        <v>630</v>
      </c>
      <c r="K561" s="89">
        <v>21000</v>
      </c>
      <c r="L561" s="360" t="str">
        <f>IF(K561&lt;&gt;"",VLOOKUP(K561,ChartofAccountsTable,2,FALSE),"")</f>
        <v>Unearned Revenue - DHPP</v>
      </c>
      <c r="M561" s="252">
        <v>153250</v>
      </c>
      <c r="N561" s="138"/>
      <c r="O561" s="76"/>
      <c r="P561" s="118"/>
    </row>
    <row r="562" spans="1:16" s="117" customFormat="1" ht="15" customHeight="1">
      <c r="A562" s="90"/>
      <c r="B562" s="386"/>
      <c r="C562" s="354"/>
      <c r="D562" s="240"/>
      <c r="E562" s="355"/>
      <c r="F562" s="241"/>
      <c r="G562" s="354"/>
      <c r="H562" s="249"/>
      <c r="I562" s="391"/>
      <c r="J562" s="359"/>
      <c r="K562" s="89">
        <v>40000</v>
      </c>
      <c r="L562" s="360" t="str">
        <f>IF(K562&lt;&gt;"",VLOOKUP(K562,ChartofAccountsTable,2,FALSE),"")</f>
        <v>Sales -Fuel Hauling</v>
      </c>
      <c r="M562" s="252"/>
      <c r="N562" s="138">
        <v>153250</v>
      </c>
      <c r="O562" s="76"/>
      <c r="P562" s="118"/>
    </row>
    <row r="563" spans="1:16" s="117" customFormat="1" ht="15" customHeight="1">
      <c r="A563" s="90"/>
      <c r="B563" s="386">
        <v>46039</v>
      </c>
      <c r="C563" s="354">
        <v>549</v>
      </c>
      <c r="D563" s="394" t="s">
        <v>631</v>
      </c>
      <c r="E563" s="355" t="s">
        <v>632</v>
      </c>
      <c r="F563" s="344" t="s">
        <v>483</v>
      </c>
      <c r="G563" s="354" t="s">
        <v>311</v>
      </c>
      <c r="H563" s="249" t="s">
        <v>629</v>
      </c>
      <c r="I563" s="391">
        <v>3</v>
      </c>
      <c r="J563" s="359" t="s">
        <v>633</v>
      </c>
      <c r="K563" s="89">
        <v>21000</v>
      </c>
      <c r="L563" s="360" t="str">
        <f>IF(K563&lt;&gt;"",VLOOKUP(K563,ChartofAccountsTable,2,FALSE),"")</f>
        <v>Unearned Revenue - DHPP</v>
      </c>
      <c r="M563" s="252">
        <v>153250</v>
      </c>
      <c r="N563" s="138"/>
      <c r="O563" s="76"/>
      <c r="P563" s="118"/>
    </row>
    <row r="564" spans="1:16" s="117" customFormat="1" ht="15" customHeight="1">
      <c r="A564" s="90"/>
      <c r="B564" s="386"/>
      <c r="C564" s="354"/>
      <c r="D564" s="240"/>
      <c r="E564" s="355"/>
      <c r="F564" s="241"/>
      <c r="G564" s="354"/>
      <c r="H564" s="249"/>
      <c r="I564" s="391"/>
      <c r="J564" s="359"/>
      <c r="K564" s="89">
        <v>40000</v>
      </c>
      <c r="L564" s="360" t="str">
        <f>IF(K564&lt;&gt;"",VLOOKUP(K564,ChartofAccountsTable,2,FALSE),"")</f>
        <v>Sales -Fuel Hauling</v>
      </c>
      <c r="M564" s="252"/>
      <c r="N564" s="138">
        <v>153250</v>
      </c>
      <c r="O564" s="76"/>
      <c r="P564" s="118"/>
    </row>
    <row r="565" spans="1:16" s="117" customFormat="1" ht="15" customHeight="1">
      <c r="A565" s="90"/>
      <c r="B565" s="386">
        <v>46039</v>
      </c>
      <c r="C565" s="354">
        <v>544</v>
      </c>
      <c r="D565" s="394" t="s">
        <v>634</v>
      </c>
      <c r="E565" s="355" t="s">
        <v>635</v>
      </c>
      <c r="F565" s="344" t="s">
        <v>483</v>
      </c>
      <c r="G565" s="354" t="s">
        <v>361</v>
      </c>
      <c r="H565" s="249" t="s">
        <v>604</v>
      </c>
      <c r="I565" s="391">
        <v>2</v>
      </c>
      <c r="J565" s="359" t="s">
        <v>636</v>
      </c>
      <c r="K565" s="89">
        <v>21000</v>
      </c>
      <c r="L565" s="360" t="str">
        <f>IF(K565&lt;&gt;"",VLOOKUP(K565,ChartofAccountsTable,2,FALSE),"")</f>
        <v>Unearned Revenue - DHPP</v>
      </c>
      <c r="M565" s="283">
        <v>99600</v>
      </c>
      <c r="N565" s="138"/>
      <c r="O565" s="76"/>
      <c r="P565" s="118"/>
    </row>
    <row r="566" spans="1:16" s="115" customFormat="1" ht="15" customHeight="1">
      <c r="A566" s="90"/>
      <c r="B566" s="386"/>
      <c r="C566" s="354"/>
      <c r="D566" s="240"/>
      <c r="E566" s="355"/>
      <c r="F566" s="241"/>
      <c r="G566" s="354"/>
      <c r="H566" s="249"/>
      <c r="I566" s="391"/>
      <c r="J566" s="359"/>
      <c r="K566" s="89">
        <v>40000</v>
      </c>
      <c r="L566" s="360" t="str">
        <f>IF(K566&lt;&gt;"",VLOOKUP(K566,ChartofAccountsTable,2,FALSE),"")</f>
        <v>Sales -Fuel Hauling</v>
      </c>
      <c r="M566" s="252"/>
      <c r="N566" s="138">
        <v>99600</v>
      </c>
      <c r="O566" s="76"/>
      <c r="P566" s="114"/>
    </row>
    <row r="567" spans="1:16" s="115" customFormat="1" ht="15" customHeight="1">
      <c r="A567" s="90"/>
      <c r="B567" s="386">
        <v>46039</v>
      </c>
      <c r="C567" s="354">
        <v>546</v>
      </c>
      <c r="D567" s="394" t="s">
        <v>637</v>
      </c>
      <c r="E567" s="355" t="s">
        <v>638</v>
      </c>
      <c r="F567" s="344" t="s">
        <v>483</v>
      </c>
      <c r="G567" s="354" t="s">
        <v>639</v>
      </c>
      <c r="H567" s="249" t="s">
        <v>640</v>
      </c>
      <c r="I567" s="391">
        <v>6.5</v>
      </c>
      <c r="J567" s="359" t="s">
        <v>641</v>
      </c>
      <c r="K567" s="89">
        <v>21000</v>
      </c>
      <c r="L567" s="360" t="str">
        <f>IF(K567&lt;&gt;"",VLOOKUP(K567,ChartofAccountsTable,2,FALSE),"")</f>
        <v>Unearned Revenue - DHPP</v>
      </c>
      <c r="M567" s="252">
        <v>325375</v>
      </c>
      <c r="N567" s="138"/>
      <c r="O567" s="76"/>
      <c r="P567" s="114"/>
    </row>
    <row r="568" spans="1:16" s="115" customFormat="1" ht="15" customHeight="1">
      <c r="A568" s="90"/>
      <c r="B568" s="386"/>
      <c r="C568" s="354"/>
      <c r="D568" s="240"/>
      <c r="E568" s="355"/>
      <c r="F568" s="241"/>
      <c r="G568" s="354"/>
      <c r="H568" s="249"/>
      <c r="I568" s="391"/>
      <c r="J568" s="359"/>
      <c r="K568" s="89">
        <v>40000</v>
      </c>
      <c r="L568" s="360" t="str">
        <f>IF(K568&lt;&gt;"",VLOOKUP(K568,ChartofAccountsTable,2,FALSE),"")</f>
        <v>Sales -Fuel Hauling</v>
      </c>
      <c r="M568" s="252"/>
      <c r="N568" s="138">
        <v>325375</v>
      </c>
      <c r="O568" s="76"/>
      <c r="P568" s="114"/>
    </row>
    <row r="569" spans="1:16" s="115" customFormat="1" ht="15" customHeight="1">
      <c r="A569" s="90"/>
      <c r="B569" s="386">
        <v>46039</v>
      </c>
      <c r="C569" s="354">
        <v>545</v>
      </c>
      <c r="D569" s="394" t="s">
        <v>642</v>
      </c>
      <c r="E569" s="355" t="s">
        <v>643</v>
      </c>
      <c r="F569" s="344" t="s">
        <v>483</v>
      </c>
      <c r="G569" s="354" t="s">
        <v>238</v>
      </c>
      <c r="H569" s="249" t="s">
        <v>185</v>
      </c>
      <c r="I569" s="391">
        <v>1.5</v>
      </c>
      <c r="J569" s="359" t="s">
        <v>644</v>
      </c>
      <c r="K569" s="89">
        <v>21000</v>
      </c>
      <c r="L569" s="360" t="str">
        <f>IF(K569&lt;&gt;"",VLOOKUP(K569,ChartofAccountsTable,2,FALSE),"")</f>
        <v>Unearned Revenue - DHPP</v>
      </c>
      <c r="M569" s="252">
        <v>65000</v>
      </c>
      <c r="N569" s="138"/>
      <c r="O569" s="76"/>
      <c r="P569" s="114"/>
    </row>
    <row r="570" spans="1:16" s="115" customFormat="1" ht="15" customHeight="1">
      <c r="A570" s="90"/>
      <c r="B570" s="386"/>
      <c r="C570" s="354"/>
      <c r="D570" s="394"/>
      <c r="E570" s="355"/>
      <c r="F570" s="391"/>
      <c r="G570" s="354"/>
      <c r="H570" s="249"/>
      <c r="I570" s="391"/>
      <c r="J570" s="359"/>
      <c r="K570" s="89">
        <v>12030</v>
      </c>
      <c r="L570" s="360" t="str">
        <f>IF(K570&lt;&gt;"",VLOOKUP(K570,ChartofAccountsTable,2,FALSE),"")</f>
        <v>A/Receivables - Fuel Clients</v>
      </c>
      <c r="M570" s="252">
        <v>11300</v>
      </c>
      <c r="N570" s="138"/>
      <c r="O570" s="76"/>
      <c r="P570" s="114"/>
    </row>
    <row r="571" spans="1:16" s="115" customFormat="1" ht="15" customHeight="1">
      <c r="A571" s="90"/>
      <c r="B571" s="386"/>
      <c r="C571" s="354"/>
      <c r="D571" s="240"/>
      <c r="E571" s="355"/>
      <c r="F571" s="241"/>
      <c r="G571" s="354"/>
      <c r="H571" s="249"/>
      <c r="I571" s="391"/>
      <c r="J571" s="359"/>
      <c r="K571" s="89">
        <v>40000</v>
      </c>
      <c r="L571" s="360" t="str">
        <f>IF(K571&lt;&gt;"",VLOOKUP(K571,ChartofAccountsTable,2,FALSE),"")</f>
        <v>Sales -Fuel Hauling</v>
      </c>
      <c r="M571" s="252"/>
      <c r="N571" s="138">
        <v>76300</v>
      </c>
      <c r="O571" s="76"/>
      <c r="P571" s="114"/>
    </row>
    <row r="572" spans="1:16" s="115" customFormat="1" ht="15" customHeight="1">
      <c r="A572" s="90"/>
      <c r="B572" s="386">
        <v>46039</v>
      </c>
      <c r="C572" s="354">
        <v>547</v>
      </c>
      <c r="D572" s="394" t="s">
        <v>645</v>
      </c>
      <c r="E572" s="355" t="s">
        <v>646</v>
      </c>
      <c r="F572" s="344" t="s">
        <v>483</v>
      </c>
      <c r="G572" s="388" t="s">
        <v>647</v>
      </c>
      <c r="H572" s="391" t="s">
        <v>149</v>
      </c>
      <c r="I572" s="391">
        <v>1</v>
      </c>
      <c r="J572" s="359" t="s">
        <v>648</v>
      </c>
      <c r="K572" s="89">
        <v>21000</v>
      </c>
      <c r="L572" s="360" t="str">
        <f>IF(K572&lt;&gt;"",VLOOKUP(K572,ChartofAccountsTable,2,FALSE),"")</f>
        <v>Unearned Revenue - DHPP</v>
      </c>
      <c r="M572" s="252">
        <v>51800</v>
      </c>
      <c r="N572" s="138"/>
      <c r="O572" s="76"/>
      <c r="P572" s="114"/>
    </row>
    <row r="573" spans="1:16" s="115" customFormat="1" ht="15" customHeight="1">
      <c r="A573" s="90"/>
      <c r="B573" s="386"/>
      <c r="C573" s="354"/>
      <c r="D573" s="240"/>
      <c r="E573" s="355"/>
      <c r="F573" s="241"/>
      <c r="G573" s="388"/>
      <c r="H573" s="391"/>
      <c r="I573" s="391"/>
      <c r="J573" s="359"/>
      <c r="K573" s="89">
        <v>40000</v>
      </c>
      <c r="L573" s="360" t="str">
        <f>IF(K573&lt;&gt;"",VLOOKUP(K573,ChartofAccountsTable,2,FALSE),"")</f>
        <v>Sales -Fuel Hauling</v>
      </c>
      <c r="M573" s="252"/>
      <c r="N573" s="138">
        <v>51800</v>
      </c>
      <c r="O573" s="76"/>
      <c r="P573" s="114"/>
    </row>
    <row r="574" spans="1:16" s="115" customFormat="1" ht="15" customHeight="1">
      <c r="A574" s="90"/>
      <c r="B574" s="386">
        <v>46039</v>
      </c>
      <c r="C574" s="354">
        <v>548</v>
      </c>
      <c r="D574" s="394" t="s">
        <v>649</v>
      </c>
      <c r="E574" s="355" t="s">
        <v>650</v>
      </c>
      <c r="F574" s="344" t="s">
        <v>483</v>
      </c>
      <c r="G574" s="354" t="s">
        <v>240</v>
      </c>
      <c r="H574" s="249" t="s">
        <v>149</v>
      </c>
      <c r="I574" s="391">
        <v>1</v>
      </c>
      <c r="J574" s="359" t="s">
        <v>651</v>
      </c>
      <c r="K574" s="89">
        <v>21000</v>
      </c>
      <c r="L574" s="360" t="str">
        <f>IF(K574&lt;&gt;"",VLOOKUP(K574,ChartofAccountsTable,2,FALSE),"")</f>
        <v>Unearned Revenue - DHPP</v>
      </c>
      <c r="M574" s="252">
        <v>51950</v>
      </c>
      <c r="N574" s="138"/>
      <c r="O574" s="76"/>
      <c r="P574" s="114"/>
    </row>
    <row r="575" spans="1:16" s="115" customFormat="1" ht="15" customHeight="1">
      <c r="A575" s="90"/>
      <c r="B575" s="386"/>
      <c r="C575" s="354"/>
      <c r="D575" s="240"/>
      <c r="E575" s="355"/>
      <c r="F575" s="241"/>
      <c r="G575" s="354"/>
      <c r="H575" s="249"/>
      <c r="I575" s="391"/>
      <c r="J575" s="359"/>
      <c r="K575" s="89">
        <v>40000</v>
      </c>
      <c r="L575" s="360" t="str">
        <f>IF(K575&lt;&gt;"",VLOOKUP(K575,ChartofAccountsTable,2,FALSE),"")</f>
        <v>Sales -Fuel Hauling</v>
      </c>
      <c r="M575" s="252"/>
      <c r="N575" s="138">
        <v>51950</v>
      </c>
      <c r="O575" s="76"/>
      <c r="P575" s="114"/>
    </row>
    <row r="576" spans="1:16" s="115" customFormat="1" ht="15" customHeight="1">
      <c r="A576" s="90"/>
      <c r="B576" s="386">
        <v>46039</v>
      </c>
      <c r="C576" s="388">
        <v>550</v>
      </c>
      <c r="D576" s="394" t="s">
        <v>652</v>
      </c>
      <c r="E576" s="355" t="s">
        <v>653</v>
      </c>
      <c r="F576" s="344" t="s">
        <v>483</v>
      </c>
      <c r="G576" s="354" t="s">
        <v>164</v>
      </c>
      <c r="H576" s="392" t="s">
        <v>149</v>
      </c>
      <c r="I576" s="392">
        <v>1</v>
      </c>
      <c r="J576" s="359" t="s">
        <v>654</v>
      </c>
      <c r="K576" s="89">
        <v>12030</v>
      </c>
      <c r="L576" s="360" t="str">
        <f>IF(K576&lt;&gt;"",VLOOKUP(K576,ChartofAccountsTable,2,FALSE),"")</f>
        <v>A/Receivables - Fuel Clients</v>
      </c>
      <c r="M576" s="252">
        <v>51850</v>
      </c>
      <c r="N576" s="138"/>
      <c r="O576" s="76"/>
      <c r="P576" s="114"/>
    </row>
    <row r="577" spans="1:16" s="115" customFormat="1" ht="15" customHeight="1">
      <c r="A577" s="90"/>
      <c r="B577" s="386"/>
      <c r="C577" s="388"/>
      <c r="D577" s="240"/>
      <c r="E577" s="355"/>
      <c r="F577" s="241"/>
      <c r="G577" s="354"/>
      <c r="H577" s="392"/>
      <c r="I577" s="392"/>
      <c r="J577" s="359"/>
      <c r="K577" s="89">
        <v>40000</v>
      </c>
      <c r="L577" s="360" t="str">
        <f>IF(K577&lt;&gt;"",VLOOKUP(K577,ChartofAccountsTable,2,FALSE),"")</f>
        <v>Sales -Fuel Hauling</v>
      </c>
      <c r="M577" s="252"/>
      <c r="N577" s="138">
        <v>51850</v>
      </c>
      <c r="O577" s="76"/>
      <c r="P577" s="114"/>
    </row>
    <row r="578" spans="1:16" s="115" customFormat="1" ht="15" customHeight="1">
      <c r="A578" s="90"/>
      <c r="B578" s="386">
        <v>46041</v>
      </c>
      <c r="C578" s="354">
        <v>551</v>
      </c>
      <c r="D578" s="394" t="s">
        <v>655</v>
      </c>
      <c r="E578" s="355" t="s">
        <v>656</v>
      </c>
      <c r="F578" s="344" t="s">
        <v>483</v>
      </c>
      <c r="G578" s="354" t="s">
        <v>657</v>
      </c>
      <c r="H578" s="249" t="s">
        <v>168</v>
      </c>
      <c r="I578" s="391">
        <v>0.5</v>
      </c>
      <c r="J578" s="359" t="s">
        <v>658</v>
      </c>
      <c r="K578" s="89">
        <v>21000</v>
      </c>
      <c r="L578" s="360" t="str">
        <f>IF(K578&lt;&gt;"",VLOOKUP(K578,ChartofAccountsTable,2,FALSE),"")</f>
        <v>Unearned Revenue - DHPP</v>
      </c>
      <c r="M578" s="252">
        <v>25775</v>
      </c>
      <c r="N578" s="138"/>
      <c r="O578" s="76"/>
      <c r="P578" s="114"/>
    </row>
    <row r="579" spans="1:16" s="115" customFormat="1" ht="15" customHeight="1">
      <c r="A579" s="90"/>
      <c r="B579" s="396"/>
      <c r="C579" s="397"/>
      <c r="D579" s="240"/>
      <c r="E579" s="398"/>
      <c r="F579" s="241"/>
      <c r="G579" s="397"/>
      <c r="H579" s="249"/>
      <c r="I579" s="391"/>
      <c r="J579" s="399"/>
      <c r="K579" s="89">
        <v>40000</v>
      </c>
      <c r="L579" s="360" t="str">
        <f>IF(K579&lt;&gt;"",VLOOKUP(K579,ChartofAccountsTable,2,FALSE),"")</f>
        <v>Sales -Fuel Hauling</v>
      </c>
      <c r="M579" s="252"/>
      <c r="N579" s="138">
        <v>25775</v>
      </c>
      <c r="O579" s="76"/>
      <c r="P579" s="114"/>
    </row>
    <row r="580" spans="1:16" s="115" customFormat="1" ht="15" customHeight="1">
      <c r="A580" s="90"/>
      <c r="B580" s="327"/>
      <c r="C580" s="274"/>
      <c r="D580" s="240"/>
      <c r="E580" s="333"/>
      <c r="F580" s="241"/>
      <c r="G580" s="188"/>
      <c r="H580" s="121"/>
      <c r="I580" s="121"/>
      <c r="J580" s="221"/>
      <c r="K580" s="89"/>
      <c r="L580" s="360" t="str">
        <f>IF(K580&lt;&gt;"",VLOOKUP(K580,ChartofAccountsTable,2,FALSE),"")</f>
        <v/>
      </c>
      <c r="M580" s="252"/>
      <c r="N580" s="138"/>
      <c r="O580" s="76"/>
      <c r="P580" s="114"/>
    </row>
    <row r="581" spans="1:16" s="115" customFormat="1" ht="15" customHeight="1">
      <c r="A581" s="90"/>
      <c r="B581" s="400">
        <v>46042</v>
      </c>
      <c r="C581" s="401">
        <v>1260</v>
      </c>
      <c r="D581" s="394" t="s">
        <v>659</v>
      </c>
      <c r="E581" s="406" t="s">
        <v>660</v>
      </c>
      <c r="F581" s="117" t="s">
        <v>661</v>
      </c>
      <c r="G581" s="402" t="s">
        <v>276</v>
      </c>
      <c r="H581" s="249" t="s">
        <v>149</v>
      </c>
      <c r="I581" s="249">
        <v>1</v>
      </c>
      <c r="J581" s="411" t="s">
        <v>150</v>
      </c>
      <c r="K581" s="249">
        <v>21000</v>
      </c>
      <c r="L581" s="360" t="str">
        <f>IF(K581&lt;&gt;"",VLOOKUP(K581,ChartofAccountsTable,2,FALSE),"")</f>
        <v>Unearned Revenue - DHPP</v>
      </c>
      <c r="M581" s="252">
        <v>51950</v>
      </c>
      <c r="N581" s="138"/>
      <c r="O581" s="76"/>
      <c r="P581" s="114"/>
    </row>
    <row r="582" spans="1:16" s="115" customFormat="1" ht="15" customHeight="1">
      <c r="A582" s="90"/>
      <c r="B582" s="400"/>
      <c r="C582" s="401"/>
      <c r="D582" s="394"/>
      <c r="E582" s="406"/>
      <c r="F582" s="254"/>
      <c r="G582" s="402"/>
      <c r="H582" s="249"/>
      <c r="I582" s="249"/>
      <c r="J582" s="411"/>
      <c r="K582" s="249">
        <v>40000</v>
      </c>
      <c r="L582" s="360" t="str">
        <f>IF(K582&lt;&gt;"",VLOOKUP(K582,ChartofAccountsTable,2,FALSE),"")</f>
        <v>Sales -Fuel Hauling</v>
      </c>
      <c r="M582" s="252"/>
      <c r="N582" s="138">
        <v>51950</v>
      </c>
      <c r="O582" s="76"/>
      <c r="P582" s="114"/>
    </row>
    <row r="583" spans="1:16" s="115" customFormat="1" ht="15" customHeight="1">
      <c r="A583" s="90"/>
      <c r="B583" s="400">
        <v>46042</v>
      </c>
      <c r="C583" s="401">
        <v>1261</v>
      </c>
      <c r="D583" s="394" t="s">
        <v>662</v>
      </c>
      <c r="E583" s="406" t="s">
        <v>663</v>
      </c>
      <c r="F583" s="117" t="s">
        <v>661</v>
      </c>
      <c r="G583" s="402" t="s">
        <v>294</v>
      </c>
      <c r="H583" s="249" t="s">
        <v>149</v>
      </c>
      <c r="I583" s="249">
        <v>1</v>
      </c>
      <c r="J583" s="411" t="s">
        <v>150</v>
      </c>
      <c r="K583" s="249">
        <v>21000</v>
      </c>
      <c r="L583" s="360" t="str">
        <f>IF(K583&lt;&gt;"",VLOOKUP(K583,ChartofAccountsTable,2,FALSE),"")</f>
        <v>Unearned Revenue - DHPP</v>
      </c>
      <c r="M583" s="252">
        <v>51950</v>
      </c>
      <c r="N583" s="138"/>
      <c r="O583" s="76"/>
      <c r="P583" s="114"/>
    </row>
    <row r="584" spans="1:16" s="115" customFormat="1" ht="15" customHeight="1">
      <c r="A584" s="90"/>
      <c r="B584" s="400"/>
      <c r="C584" s="401"/>
      <c r="D584" s="240"/>
      <c r="E584" s="406"/>
      <c r="F584" s="241"/>
      <c r="G584" s="402"/>
      <c r="H584" s="249"/>
      <c r="I584" s="249"/>
      <c r="J584" s="411"/>
      <c r="K584" s="249">
        <v>40000</v>
      </c>
      <c r="L584" s="360" t="str">
        <f>IF(K584&lt;&gt;"",VLOOKUP(K584,ChartofAccountsTable,2,FALSE),"")</f>
        <v>Sales -Fuel Hauling</v>
      </c>
      <c r="M584" s="252"/>
      <c r="N584" s="138">
        <v>51950</v>
      </c>
      <c r="O584" s="76"/>
      <c r="P584" s="114"/>
    </row>
    <row r="585" spans="1:16" s="115" customFormat="1" ht="15" customHeight="1">
      <c r="A585" s="90"/>
      <c r="B585" s="400">
        <v>46042</v>
      </c>
      <c r="C585" s="401">
        <v>1262</v>
      </c>
      <c r="D585" s="394" t="s">
        <v>664</v>
      </c>
      <c r="E585" s="406" t="s">
        <v>665</v>
      </c>
      <c r="F585" s="117" t="s">
        <v>661</v>
      </c>
      <c r="G585" s="402" t="s">
        <v>296</v>
      </c>
      <c r="H585" s="249" t="s">
        <v>383</v>
      </c>
      <c r="I585" s="249">
        <v>3</v>
      </c>
      <c r="J585" s="411" t="s">
        <v>150</v>
      </c>
      <c r="K585" s="249">
        <v>21000</v>
      </c>
      <c r="L585" s="360" t="str">
        <f>IF(K585&lt;&gt;"",VLOOKUP(K585,ChartofAccountsTable,2,FALSE),"")</f>
        <v>Unearned Revenue - DHPP</v>
      </c>
      <c r="M585" s="252">
        <v>153200</v>
      </c>
      <c r="N585" s="138"/>
      <c r="O585" s="76"/>
      <c r="P585" s="114"/>
    </row>
    <row r="586" spans="1:16" s="115" customFormat="1" ht="15" customHeight="1">
      <c r="A586" s="90"/>
      <c r="B586" s="400"/>
      <c r="C586" s="401"/>
      <c r="D586" s="240"/>
      <c r="E586" s="406"/>
      <c r="F586" s="241"/>
      <c r="G586" s="402"/>
      <c r="H586" s="249"/>
      <c r="I586" s="249"/>
      <c r="J586" s="411"/>
      <c r="K586" s="249">
        <v>40000</v>
      </c>
      <c r="L586" s="360" t="str">
        <f>IF(K586&lt;&gt;"",VLOOKUP(K586,ChartofAccountsTable,2,FALSE),"")</f>
        <v>Sales -Fuel Hauling</v>
      </c>
      <c r="M586" s="252"/>
      <c r="N586" s="138">
        <v>153200</v>
      </c>
      <c r="O586" s="76"/>
      <c r="P586" s="114"/>
    </row>
    <row r="587" spans="1:16" s="115" customFormat="1" ht="15" customHeight="1">
      <c r="A587" s="90"/>
      <c r="B587" s="400">
        <v>46042</v>
      </c>
      <c r="C587" s="401">
        <v>1262</v>
      </c>
      <c r="D587" s="394" t="s">
        <v>666</v>
      </c>
      <c r="E587" s="406" t="s">
        <v>667</v>
      </c>
      <c r="F587" s="117" t="s">
        <v>661</v>
      </c>
      <c r="G587" s="402" t="s">
        <v>154</v>
      </c>
      <c r="H587" s="249" t="s">
        <v>149</v>
      </c>
      <c r="I587" s="249">
        <v>1</v>
      </c>
      <c r="J587" s="411" t="s">
        <v>150</v>
      </c>
      <c r="K587" s="249">
        <v>21000</v>
      </c>
      <c r="L587" s="360" t="str">
        <f>IF(K587&lt;&gt;"",VLOOKUP(K587,ChartofAccountsTable,2,FALSE),"")</f>
        <v>Unearned Revenue - DHPP</v>
      </c>
      <c r="M587" s="252">
        <v>51750</v>
      </c>
      <c r="N587" s="138"/>
      <c r="O587" s="76"/>
      <c r="P587" s="114"/>
    </row>
    <row r="588" spans="1:16" s="115" customFormat="1" ht="15" customHeight="1">
      <c r="A588" s="90"/>
      <c r="B588" s="400"/>
      <c r="C588" s="401"/>
      <c r="D588" s="240"/>
      <c r="E588" s="406"/>
      <c r="F588" s="241"/>
      <c r="G588" s="402"/>
      <c r="H588" s="249"/>
      <c r="I588" s="249"/>
      <c r="J588" s="411"/>
      <c r="K588" s="249">
        <v>12030</v>
      </c>
      <c r="L588" s="360" t="str">
        <f>IF(K588&lt;&gt;"",VLOOKUP(K588,ChartofAccountsTable,2,FALSE),"")</f>
        <v>A/Receivables - Fuel Clients</v>
      </c>
      <c r="M588" s="252">
        <v>200</v>
      </c>
      <c r="N588" s="138"/>
      <c r="O588" s="76"/>
      <c r="P588" s="114"/>
    </row>
    <row r="589" spans="1:16" s="115" customFormat="1" ht="15" customHeight="1">
      <c r="A589" s="90"/>
      <c r="B589" s="400"/>
      <c r="C589" s="401"/>
      <c r="D589" s="240"/>
      <c r="E589" s="406"/>
      <c r="F589" s="241"/>
      <c r="G589" s="402"/>
      <c r="H589" s="249"/>
      <c r="I589" s="249"/>
      <c r="J589" s="411"/>
      <c r="K589" s="249">
        <v>40000</v>
      </c>
      <c r="L589" s="360" t="str">
        <f>IF(K589&lt;&gt;"",VLOOKUP(K589,ChartofAccountsTable,2,FALSE),"")</f>
        <v>Sales -Fuel Hauling</v>
      </c>
      <c r="M589" s="252"/>
      <c r="N589" s="138">
        <v>51950</v>
      </c>
      <c r="O589" s="76"/>
      <c r="P589" s="114"/>
    </row>
    <row r="590" spans="1:16" s="115" customFormat="1" ht="15" customHeight="1">
      <c r="A590" s="116"/>
      <c r="B590" s="400">
        <v>46043</v>
      </c>
      <c r="C590" s="401">
        <v>1264</v>
      </c>
      <c r="D590" s="394" t="s">
        <v>668</v>
      </c>
      <c r="E590" s="406" t="s">
        <v>669</v>
      </c>
      <c r="F590" s="117" t="s">
        <v>661</v>
      </c>
      <c r="G590" s="403" t="s">
        <v>283</v>
      </c>
      <c r="H590" s="249" t="s">
        <v>149</v>
      </c>
      <c r="I590" s="249">
        <v>1</v>
      </c>
      <c r="J590" s="411" t="s">
        <v>150</v>
      </c>
      <c r="K590" s="249">
        <v>21000</v>
      </c>
      <c r="L590" s="360" t="str">
        <f>IF(K590&lt;&gt;"",VLOOKUP(K590,ChartofAccountsTable,2,FALSE),"")</f>
        <v>Unearned Revenue - DHPP</v>
      </c>
      <c r="M590" s="283">
        <v>51950</v>
      </c>
      <c r="N590" s="138"/>
      <c r="O590" s="92"/>
      <c r="P590" s="114"/>
    </row>
    <row r="591" spans="1:16" s="254" customFormat="1" ht="15" customHeight="1">
      <c r="A591" s="412"/>
      <c r="B591" s="400"/>
      <c r="C591" s="401"/>
      <c r="D591" s="394"/>
      <c r="E591" s="406"/>
      <c r="G591" s="403"/>
      <c r="H591" s="249"/>
      <c r="I591" s="249"/>
      <c r="J591" s="411"/>
      <c r="K591" s="249">
        <v>40000</v>
      </c>
      <c r="L591" s="360" t="str">
        <f>IF(K591&lt;&gt;"",VLOOKUP(K591,ChartofAccountsTable,2,FALSE),"")</f>
        <v>Sales -Fuel Hauling</v>
      </c>
      <c r="M591" s="252"/>
      <c r="N591" s="138">
        <v>51950</v>
      </c>
    </row>
    <row r="592" spans="1:16" s="76" customFormat="1" ht="15" customHeight="1">
      <c r="A592" s="90"/>
      <c r="B592" s="400">
        <v>46043</v>
      </c>
      <c r="C592" s="401">
        <v>1265</v>
      </c>
      <c r="D592" s="394" t="s">
        <v>670</v>
      </c>
      <c r="E592" s="406" t="s">
        <v>671</v>
      </c>
      <c r="F592" s="117" t="s">
        <v>661</v>
      </c>
      <c r="G592" s="403" t="s">
        <v>204</v>
      </c>
      <c r="H592" s="249" t="s">
        <v>192</v>
      </c>
      <c r="I592" s="249">
        <v>1</v>
      </c>
      <c r="J592" s="411" t="s">
        <v>150</v>
      </c>
      <c r="K592" s="249">
        <v>21000</v>
      </c>
      <c r="L592" s="360" t="str">
        <f>IF(K592&lt;&gt;"",VLOOKUP(K592,ChartofAccountsTable,2,FALSE),"")</f>
        <v>Unearned Revenue - DHPP</v>
      </c>
      <c r="M592" s="252">
        <v>51950</v>
      </c>
      <c r="N592" s="138"/>
    </row>
    <row r="593" spans="1:14" s="76" customFormat="1" ht="15" customHeight="1">
      <c r="A593" s="90"/>
      <c r="B593" s="400"/>
      <c r="C593" s="401"/>
      <c r="D593" s="240"/>
      <c r="E593" s="406"/>
      <c r="F593" s="241"/>
      <c r="G593" s="403"/>
      <c r="H593" s="249"/>
      <c r="I593" s="249"/>
      <c r="J593" s="411"/>
      <c r="K593" s="249">
        <v>40000</v>
      </c>
      <c r="L593" s="360" t="str">
        <f>IF(K593&lt;&gt;"",VLOOKUP(K593,ChartofAccountsTable,2,FALSE),"")</f>
        <v>Sales -Fuel Hauling</v>
      </c>
      <c r="M593" s="252"/>
      <c r="N593" s="138">
        <v>51950</v>
      </c>
    </row>
    <row r="594" spans="1:14" s="76" customFormat="1" ht="15" customHeight="1">
      <c r="A594" s="90"/>
      <c r="B594" s="400">
        <v>46043</v>
      </c>
      <c r="C594" s="401">
        <v>1266</v>
      </c>
      <c r="D594" s="394" t="s">
        <v>672</v>
      </c>
      <c r="E594" s="406" t="s">
        <v>673</v>
      </c>
      <c r="F594" s="117" t="s">
        <v>661</v>
      </c>
      <c r="G594" s="403" t="s">
        <v>197</v>
      </c>
      <c r="H594" s="249" t="s">
        <v>149</v>
      </c>
      <c r="I594" s="249">
        <v>1</v>
      </c>
      <c r="J594" s="411" t="s">
        <v>150</v>
      </c>
      <c r="K594" s="249">
        <v>21000</v>
      </c>
      <c r="L594" s="360" t="str">
        <f>IF(K594&lt;&gt;"",VLOOKUP(K594,ChartofAccountsTable,2,FALSE),"")</f>
        <v>Unearned Revenue - DHPP</v>
      </c>
      <c r="M594" s="252">
        <v>51900</v>
      </c>
      <c r="N594" s="138"/>
    </row>
    <row r="595" spans="1:14" s="76" customFormat="1" ht="15" customHeight="1">
      <c r="A595" s="90"/>
      <c r="B595" s="400"/>
      <c r="C595" s="401"/>
      <c r="D595" s="394"/>
      <c r="E595" s="406"/>
      <c r="F595" s="254"/>
      <c r="G595" s="403"/>
      <c r="H595" s="249"/>
      <c r="I595" s="249"/>
      <c r="J595" s="411"/>
      <c r="K595" s="249">
        <v>12030</v>
      </c>
      <c r="L595" s="360" t="str">
        <f>IF(K595&lt;&gt;"",VLOOKUP(K595,ChartofAccountsTable,2,FALSE),"")</f>
        <v>A/Receivables - Fuel Clients</v>
      </c>
      <c r="M595" s="252">
        <v>50</v>
      </c>
      <c r="N595" s="138"/>
    </row>
    <row r="596" spans="1:14" s="76" customFormat="1" ht="15" customHeight="1">
      <c r="A596" s="90"/>
      <c r="B596" s="400"/>
      <c r="C596" s="401"/>
      <c r="D596" s="240"/>
      <c r="E596" s="406"/>
      <c r="F596" s="241"/>
      <c r="G596" s="403"/>
      <c r="H596" s="249"/>
      <c r="I596" s="249"/>
      <c r="J596" s="411"/>
      <c r="K596" s="249">
        <v>40000</v>
      </c>
      <c r="L596" s="360" t="str">
        <f>IF(K596&lt;&gt;"",VLOOKUP(K596,ChartofAccountsTable,2,FALSE),"")</f>
        <v>Sales -Fuel Hauling</v>
      </c>
      <c r="M596" s="252"/>
      <c r="N596" s="138">
        <v>51950</v>
      </c>
    </row>
    <row r="597" spans="1:14" s="76" customFormat="1" ht="15" customHeight="1">
      <c r="A597" s="90"/>
      <c r="B597" s="400">
        <v>46043</v>
      </c>
      <c r="C597" s="401">
        <v>1267</v>
      </c>
      <c r="D597" s="394" t="s">
        <v>674</v>
      </c>
      <c r="E597" s="406" t="s">
        <v>675</v>
      </c>
      <c r="F597" s="117" t="s">
        <v>661</v>
      </c>
      <c r="G597" s="403" t="s">
        <v>194</v>
      </c>
      <c r="H597" s="249" t="s">
        <v>149</v>
      </c>
      <c r="I597" s="249">
        <v>1</v>
      </c>
      <c r="J597" s="411" t="s">
        <v>150</v>
      </c>
      <c r="K597" s="249">
        <v>21000</v>
      </c>
      <c r="L597" s="360" t="str">
        <f>IF(K597&lt;&gt;"",VLOOKUP(K597,ChartofAccountsTable,2,FALSE),"")</f>
        <v>Unearned Revenue - DHPP</v>
      </c>
      <c r="M597" s="252">
        <v>51850</v>
      </c>
      <c r="N597" s="138"/>
    </row>
    <row r="598" spans="1:14" s="76" customFormat="1" ht="15" customHeight="1">
      <c r="A598" s="90"/>
      <c r="B598" s="400"/>
      <c r="C598" s="401"/>
      <c r="D598" s="240"/>
      <c r="E598" s="406"/>
      <c r="F598" s="241"/>
      <c r="G598" s="403"/>
      <c r="H598" s="249"/>
      <c r="I598" s="249"/>
      <c r="J598" s="411"/>
      <c r="K598" s="249">
        <v>40000</v>
      </c>
      <c r="L598" s="360" t="str">
        <f>IF(K598&lt;&gt;"",VLOOKUP(K598,ChartofAccountsTable,2,FALSE),"")</f>
        <v>Sales -Fuel Hauling</v>
      </c>
      <c r="M598" s="252"/>
      <c r="N598" s="138">
        <v>51850</v>
      </c>
    </row>
    <row r="599" spans="1:14" s="76" customFormat="1" ht="15" customHeight="1">
      <c r="A599" s="90"/>
      <c r="B599" s="400">
        <v>46044</v>
      </c>
      <c r="C599" s="401">
        <v>1269</v>
      </c>
      <c r="D599" s="394" t="s">
        <v>676</v>
      </c>
      <c r="E599" s="406" t="s">
        <v>677</v>
      </c>
      <c r="F599" s="117" t="s">
        <v>661</v>
      </c>
      <c r="G599" s="403" t="s">
        <v>283</v>
      </c>
      <c r="H599" s="249" t="s">
        <v>149</v>
      </c>
      <c r="I599" s="249">
        <v>1</v>
      </c>
      <c r="J599" s="411" t="s">
        <v>150</v>
      </c>
      <c r="K599" s="249">
        <v>21000</v>
      </c>
      <c r="L599" s="360" t="str">
        <f>IF(K599&lt;&gt;"",VLOOKUP(K599,ChartofAccountsTable,2,FALSE),"")</f>
        <v>Unearned Revenue - DHPP</v>
      </c>
      <c r="M599" s="252">
        <v>51950</v>
      </c>
      <c r="N599" s="138"/>
    </row>
    <row r="600" spans="1:14" s="76" customFormat="1" ht="15" customHeight="1">
      <c r="A600" s="90"/>
      <c r="B600" s="400"/>
      <c r="C600" s="401"/>
      <c r="D600" s="240"/>
      <c r="E600" s="406"/>
      <c r="F600" s="241"/>
      <c r="G600" s="403"/>
      <c r="H600" s="249"/>
      <c r="I600" s="249"/>
      <c r="J600" s="411"/>
      <c r="K600" s="249">
        <v>40000</v>
      </c>
      <c r="L600" s="360" t="str">
        <f>IF(K600&lt;&gt;"",VLOOKUP(K600,ChartofAccountsTable,2,FALSE),"")</f>
        <v>Sales -Fuel Hauling</v>
      </c>
      <c r="M600" s="252"/>
      <c r="N600" s="138">
        <v>51950</v>
      </c>
    </row>
    <row r="601" spans="1:14" s="76" customFormat="1" ht="15" customHeight="1">
      <c r="A601" s="90"/>
      <c r="B601" s="400">
        <v>46044</v>
      </c>
      <c r="C601" s="401">
        <v>1268</v>
      </c>
      <c r="D601" s="240"/>
      <c r="E601" s="406" t="s">
        <v>678</v>
      </c>
      <c r="F601" s="241"/>
      <c r="G601" s="403" t="s">
        <v>679</v>
      </c>
      <c r="H601" s="249" t="s">
        <v>149</v>
      </c>
      <c r="I601" s="249">
        <v>1</v>
      </c>
      <c r="J601" s="411" t="s">
        <v>150</v>
      </c>
      <c r="K601" s="249"/>
      <c r="L601" s="360" t="str">
        <f>IF(K601&lt;&gt;"",VLOOKUP(K601,ChartofAccountsTable,2,FALSE),"")</f>
        <v/>
      </c>
      <c r="M601" s="252"/>
      <c r="N601" s="138"/>
    </row>
    <row r="602" spans="1:14" s="76" customFormat="1" ht="15" customHeight="1">
      <c r="A602" s="90"/>
      <c r="B602" s="400"/>
      <c r="C602" s="401"/>
      <c r="D602" s="240"/>
      <c r="E602" s="406"/>
      <c r="F602" s="241"/>
      <c r="G602" s="403"/>
      <c r="H602" s="249"/>
      <c r="I602" s="249"/>
      <c r="J602" s="411"/>
      <c r="K602" s="249"/>
      <c r="L602" s="360"/>
      <c r="M602" s="252"/>
      <c r="N602" s="138"/>
    </row>
    <row r="603" spans="1:14" s="76" customFormat="1" ht="15" customHeight="1">
      <c r="A603" s="90"/>
      <c r="B603" s="400">
        <v>46045</v>
      </c>
      <c r="C603" s="401">
        <v>1180</v>
      </c>
      <c r="D603" s="240"/>
      <c r="E603" s="406" t="s">
        <v>680</v>
      </c>
      <c r="F603" s="241"/>
      <c r="G603" s="404" t="s">
        <v>148</v>
      </c>
      <c r="H603" s="249" t="s">
        <v>681</v>
      </c>
      <c r="I603" s="249">
        <v>5</v>
      </c>
      <c r="J603" s="411" t="s">
        <v>150</v>
      </c>
      <c r="K603" s="249">
        <v>21000</v>
      </c>
      <c r="L603" s="360" t="str">
        <f>IF(K603&lt;&gt;"",VLOOKUP(K603,ChartofAccountsTable,2,FALSE),"")</f>
        <v>Unearned Revenue - DHPP</v>
      </c>
      <c r="M603" s="252">
        <v>258000</v>
      </c>
      <c r="N603" s="138"/>
    </row>
    <row r="604" spans="1:14" s="76" customFormat="1" ht="15" customHeight="1">
      <c r="A604" s="90"/>
      <c r="B604" s="400"/>
      <c r="C604" s="401"/>
      <c r="D604" s="240"/>
      <c r="E604" s="406"/>
      <c r="F604" s="241"/>
      <c r="G604" s="404"/>
      <c r="H604" s="249"/>
      <c r="I604" s="249"/>
      <c r="J604" s="411"/>
      <c r="K604" s="249">
        <v>40000</v>
      </c>
      <c r="L604" s="360" t="str">
        <f>IF(K604&lt;&gt;"",VLOOKUP(K604,ChartofAccountsTable,2,FALSE),"")</f>
        <v>Sales -Fuel Hauling</v>
      </c>
      <c r="M604" s="252"/>
      <c r="N604" s="138">
        <v>258000</v>
      </c>
    </row>
    <row r="605" spans="1:14" s="76" customFormat="1" ht="15" customHeight="1">
      <c r="A605" s="90"/>
      <c r="B605" s="400">
        <v>46045</v>
      </c>
      <c r="C605" s="401">
        <v>1181</v>
      </c>
      <c r="D605" s="240"/>
      <c r="E605" s="406" t="s">
        <v>682</v>
      </c>
      <c r="F605" s="241"/>
      <c r="G605" s="404" t="s">
        <v>161</v>
      </c>
      <c r="H605" s="249" t="s">
        <v>149</v>
      </c>
      <c r="I605" s="249">
        <v>1</v>
      </c>
      <c r="J605" s="411" t="s">
        <v>150</v>
      </c>
      <c r="K605" s="249">
        <v>21000</v>
      </c>
      <c r="L605" s="360" t="str">
        <f>IF(K605&lt;&gt;"",VLOOKUP(K605,ChartofAccountsTable,2,FALSE),"")</f>
        <v>Unearned Revenue - DHPP</v>
      </c>
      <c r="M605" s="252">
        <v>51950</v>
      </c>
      <c r="N605" s="138"/>
    </row>
    <row r="606" spans="1:14" s="76" customFormat="1" ht="15" customHeight="1">
      <c r="A606" s="90"/>
      <c r="B606" s="400"/>
      <c r="C606" s="401"/>
      <c r="D606" s="240"/>
      <c r="E606" s="406"/>
      <c r="F606" s="241"/>
      <c r="G606" s="404"/>
      <c r="H606" s="249"/>
      <c r="I606" s="249"/>
      <c r="J606" s="411"/>
      <c r="K606" s="249">
        <v>40000</v>
      </c>
      <c r="L606" s="360" t="str">
        <f>IF(K606&lt;&gt;"",VLOOKUP(K606,ChartofAccountsTable,2,FALSE),"")</f>
        <v>Sales -Fuel Hauling</v>
      </c>
      <c r="M606" s="252"/>
      <c r="N606" s="138">
        <v>51950</v>
      </c>
    </row>
    <row r="607" spans="1:14" s="76" customFormat="1" ht="15" customHeight="1">
      <c r="A607" s="90"/>
      <c r="B607" s="400">
        <v>46045</v>
      </c>
      <c r="C607" s="401">
        <v>1181</v>
      </c>
      <c r="D607" s="240"/>
      <c r="E607" s="406" t="s">
        <v>683</v>
      </c>
      <c r="F607" s="241"/>
      <c r="G607" s="404" t="s">
        <v>161</v>
      </c>
      <c r="H607" s="249" t="s">
        <v>684</v>
      </c>
      <c r="I607" s="249">
        <v>0</v>
      </c>
      <c r="J607" s="411" t="s">
        <v>150</v>
      </c>
      <c r="K607" s="249">
        <v>21000</v>
      </c>
      <c r="L607" s="360" t="str">
        <f>IF(K607&lt;&gt;"",VLOOKUP(K607,ChartofAccountsTable,2,FALSE),"")</f>
        <v>Unearned Revenue - DHPP</v>
      </c>
      <c r="M607" s="252">
        <v>24975</v>
      </c>
      <c r="N607" s="138"/>
    </row>
    <row r="608" spans="1:14" s="76" customFormat="1" ht="15" customHeight="1">
      <c r="A608" s="90"/>
      <c r="B608" s="400"/>
      <c r="C608" s="401"/>
      <c r="D608" s="240"/>
      <c r="E608" s="406"/>
      <c r="F608" s="241"/>
      <c r="G608" s="404"/>
      <c r="H608" s="249"/>
      <c r="I608" s="249"/>
      <c r="J608" s="411"/>
      <c r="K608" s="249">
        <v>40000</v>
      </c>
      <c r="L608" s="360" t="str">
        <f>IF(K608&lt;&gt;"",VLOOKUP(K608,ChartofAccountsTable,2,FALSE),"")</f>
        <v>Sales -Fuel Hauling</v>
      </c>
      <c r="M608" s="252"/>
      <c r="N608" s="138">
        <v>24975</v>
      </c>
    </row>
    <row r="609" spans="1:14" s="76" customFormat="1" ht="15" customHeight="1">
      <c r="A609" s="90"/>
      <c r="B609" s="400">
        <v>46046</v>
      </c>
      <c r="C609" s="401">
        <v>1182</v>
      </c>
      <c r="D609" s="240"/>
      <c r="E609" s="407" t="s">
        <v>685</v>
      </c>
      <c r="F609" s="241"/>
      <c r="G609" s="404" t="s">
        <v>148</v>
      </c>
      <c r="H609" s="249" t="s">
        <v>493</v>
      </c>
      <c r="I609" s="249">
        <v>1</v>
      </c>
      <c r="J609" s="411" t="s">
        <v>150</v>
      </c>
      <c r="K609" s="249">
        <v>21000</v>
      </c>
      <c r="L609" s="360" t="str">
        <f>IF(K609&lt;&gt;"",VLOOKUP(K609,ChartofAccountsTable,2,FALSE),"")</f>
        <v>Unearned Revenue - DHPP</v>
      </c>
      <c r="M609" s="252">
        <v>49700</v>
      </c>
      <c r="N609" s="138"/>
    </row>
    <row r="610" spans="1:14" s="76" customFormat="1" ht="15" customHeight="1">
      <c r="A610" s="90"/>
      <c r="B610" s="400"/>
      <c r="C610" s="401"/>
      <c r="D610" s="240"/>
      <c r="E610" s="407"/>
      <c r="F610" s="241"/>
      <c r="G610" s="404"/>
      <c r="H610" s="249"/>
      <c r="I610" s="249"/>
      <c r="J610" s="411"/>
      <c r="K610" s="249">
        <v>40000</v>
      </c>
      <c r="L610" s="360" t="str">
        <f>IF(K610&lt;&gt;"",VLOOKUP(K610,ChartofAccountsTable,2,FALSE),"")</f>
        <v>Sales -Fuel Hauling</v>
      </c>
      <c r="M610" s="252"/>
      <c r="N610" s="138">
        <v>49700</v>
      </c>
    </row>
    <row r="611" spans="1:14" s="76" customFormat="1" ht="15" customHeight="1">
      <c r="A611" s="90"/>
      <c r="B611" s="400">
        <v>46046</v>
      </c>
      <c r="C611" s="401">
        <v>1183</v>
      </c>
      <c r="D611" s="240"/>
      <c r="E611" s="406" t="s">
        <v>686</v>
      </c>
      <c r="F611" s="241"/>
      <c r="G611" s="404" t="s">
        <v>679</v>
      </c>
      <c r="H611" s="249" t="s">
        <v>149</v>
      </c>
      <c r="I611" s="249">
        <v>1</v>
      </c>
      <c r="J611" s="411" t="s">
        <v>150</v>
      </c>
      <c r="K611" s="249">
        <v>12030</v>
      </c>
      <c r="L611" s="360" t="str">
        <f>IF(K611&lt;&gt;"",VLOOKUP(K611,ChartofAccountsTable,2,FALSE),"")</f>
        <v>A/Receivables - Fuel Clients</v>
      </c>
      <c r="M611" s="76">
        <v>49200</v>
      </c>
      <c r="N611" s="138"/>
    </row>
    <row r="612" spans="1:14" s="76" customFormat="1" ht="15" customHeight="1">
      <c r="A612" s="90"/>
      <c r="B612" s="400"/>
      <c r="C612" s="401"/>
      <c r="D612" s="240"/>
      <c r="E612" s="406"/>
      <c r="F612" s="241"/>
      <c r="G612" s="404"/>
      <c r="H612" s="249"/>
      <c r="I612" s="249"/>
      <c r="J612" s="411"/>
      <c r="K612" s="249">
        <v>40000</v>
      </c>
      <c r="L612" s="360" t="str">
        <f>IF(K612&lt;&gt;"",VLOOKUP(K612,ChartofAccountsTable,2,FALSE),"")</f>
        <v>Sales -Fuel Hauling</v>
      </c>
      <c r="M612" s="252"/>
      <c r="N612" s="138">
        <v>49200</v>
      </c>
    </row>
    <row r="613" spans="1:14" s="76" customFormat="1" ht="15" customHeight="1">
      <c r="A613" s="90"/>
      <c r="B613" s="400">
        <v>46046</v>
      </c>
      <c r="C613" s="401">
        <v>1184</v>
      </c>
      <c r="D613" s="394" t="s">
        <v>687</v>
      </c>
      <c r="E613" s="406" t="s">
        <v>688</v>
      </c>
      <c r="F613" s="117" t="s">
        <v>661</v>
      </c>
      <c r="G613" s="404" t="s">
        <v>202</v>
      </c>
      <c r="H613" s="249" t="s">
        <v>149</v>
      </c>
      <c r="I613" s="249">
        <v>1</v>
      </c>
      <c r="J613" s="411" t="s">
        <v>150</v>
      </c>
      <c r="K613" s="249">
        <v>21000</v>
      </c>
      <c r="L613" s="360" t="str">
        <f>IF(K613&lt;&gt;"",VLOOKUP(K613,ChartofAccountsTable,2,FALSE),"")</f>
        <v>Unearned Revenue - DHPP</v>
      </c>
      <c r="M613" s="252">
        <v>51950</v>
      </c>
      <c r="N613" s="138"/>
    </row>
    <row r="614" spans="1:14" s="76" customFormat="1" ht="15" customHeight="1">
      <c r="A614" s="90"/>
      <c r="B614" s="400"/>
      <c r="C614" s="401"/>
      <c r="D614" s="240"/>
      <c r="E614" s="406"/>
      <c r="F614" s="241"/>
      <c r="G614" s="404"/>
      <c r="H614" s="249"/>
      <c r="I614" s="249"/>
      <c r="J614" s="411"/>
      <c r="K614" s="249">
        <v>40000</v>
      </c>
      <c r="L614" s="360" t="str">
        <f>IF(K614&lt;&gt;"",VLOOKUP(K614,ChartofAccountsTable,2,FALSE),"")</f>
        <v>Sales -Fuel Hauling</v>
      </c>
      <c r="M614" s="252"/>
      <c r="N614" s="138">
        <v>51950</v>
      </c>
    </row>
    <row r="615" spans="1:14" s="76" customFormat="1" ht="15" customHeight="1">
      <c r="A615" s="90"/>
      <c r="B615" s="400">
        <v>46046</v>
      </c>
      <c r="C615" s="401">
        <v>1185</v>
      </c>
      <c r="D615" s="240"/>
      <c r="E615" s="407" t="s">
        <v>689</v>
      </c>
      <c r="F615" s="241"/>
      <c r="G615" s="404" t="s">
        <v>207</v>
      </c>
      <c r="H615" s="249" t="s">
        <v>149</v>
      </c>
      <c r="I615" s="249">
        <v>1</v>
      </c>
      <c r="J615" s="411" t="s">
        <v>150</v>
      </c>
      <c r="K615" s="249"/>
      <c r="L615" s="360" t="str">
        <f>IF(K615&lt;&gt;"",VLOOKUP(K615,ChartofAccountsTable,2,FALSE),"")</f>
        <v/>
      </c>
      <c r="M615" s="252"/>
      <c r="N615" s="138"/>
    </row>
    <row r="616" spans="1:14" s="76" customFormat="1" ht="14.25" customHeight="1">
      <c r="A616" s="90"/>
      <c r="B616" s="400">
        <v>46046</v>
      </c>
      <c r="C616" s="401">
        <v>1186</v>
      </c>
      <c r="D616" s="240"/>
      <c r="E616" s="407" t="s">
        <v>690</v>
      </c>
      <c r="F616" s="241"/>
      <c r="G616" s="404" t="s">
        <v>204</v>
      </c>
      <c r="H616" s="249" t="s">
        <v>149</v>
      </c>
      <c r="I616" s="249">
        <v>1</v>
      </c>
      <c r="J616" s="411" t="s">
        <v>150</v>
      </c>
      <c r="K616" s="249"/>
      <c r="L616" s="360" t="str">
        <f>IF(K616&lt;&gt;"",VLOOKUP(K616,ChartofAccountsTable,2,FALSE),"")</f>
        <v/>
      </c>
      <c r="M616" s="283"/>
      <c r="N616" s="138"/>
    </row>
    <row r="617" spans="1:14" s="76" customFormat="1" ht="14.25" customHeight="1">
      <c r="A617" s="90"/>
      <c r="B617" s="400">
        <v>46046</v>
      </c>
      <c r="C617" s="401">
        <v>1187</v>
      </c>
      <c r="D617" s="240"/>
      <c r="E617" s="406" t="s">
        <v>691</v>
      </c>
      <c r="F617" s="241"/>
      <c r="G617" s="404" t="s">
        <v>178</v>
      </c>
      <c r="H617" s="249" t="s">
        <v>684</v>
      </c>
      <c r="I617" s="249">
        <v>0</v>
      </c>
      <c r="J617" s="411" t="s">
        <v>150</v>
      </c>
      <c r="K617" s="249"/>
      <c r="L617" s="360" t="str">
        <f>IF(K617&lt;&gt;"",VLOOKUP(K617,ChartofAccountsTable,2,FALSE),"")</f>
        <v/>
      </c>
      <c r="M617" s="252"/>
      <c r="N617" s="138"/>
    </row>
    <row r="618" spans="1:14" s="76" customFormat="1" ht="14.25" customHeight="1">
      <c r="A618" s="90"/>
      <c r="B618" s="400">
        <v>46046</v>
      </c>
      <c r="C618" s="401">
        <v>1188</v>
      </c>
      <c r="D618" s="240"/>
      <c r="E618" s="406" t="s">
        <v>692</v>
      </c>
      <c r="F618" s="241"/>
      <c r="G618" s="404" t="s">
        <v>289</v>
      </c>
      <c r="H618" s="249" t="s">
        <v>149</v>
      </c>
      <c r="I618" s="249">
        <v>1</v>
      </c>
      <c r="J618" s="411" t="s">
        <v>150</v>
      </c>
      <c r="K618" s="249"/>
      <c r="L618" s="106"/>
      <c r="M618" s="252"/>
      <c r="N618" s="138"/>
    </row>
    <row r="619" spans="1:14" s="76" customFormat="1" ht="15" customHeight="1">
      <c r="A619" s="90"/>
      <c r="B619" s="400">
        <v>46047</v>
      </c>
      <c r="C619" s="401">
        <v>1189</v>
      </c>
      <c r="D619" s="240"/>
      <c r="E619" s="407" t="s">
        <v>693</v>
      </c>
      <c r="F619" s="241"/>
      <c r="G619" s="404" t="s">
        <v>694</v>
      </c>
      <c r="H619" s="249" t="s">
        <v>149</v>
      </c>
      <c r="I619" s="249">
        <v>1</v>
      </c>
      <c r="J619" s="411" t="s">
        <v>150</v>
      </c>
      <c r="K619" s="249"/>
      <c r="L619" s="106"/>
      <c r="M619" s="252"/>
      <c r="N619" s="138"/>
    </row>
    <row r="620" spans="1:14" s="76" customFormat="1" ht="15" customHeight="1">
      <c r="A620" s="90"/>
      <c r="B620" s="400">
        <v>46047</v>
      </c>
      <c r="C620" s="401">
        <v>1190</v>
      </c>
      <c r="D620" s="240"/>
      <c r="E620" s="406" t="s">
        <v>695</v>
      </c>
      <c r="F620" s="241"/>
      <c r="G620" s="404" t="s">
        <v>158</v>
      </c>
      <c r="H620" s="249" t="s">
        <v>182</v>
      </c>
      <c r="I620" s="249">
        <v>2</v>
      </c>
      <c r="J620" s="411" t="s">
        <v>150</v>
      </c>
      <c r="K620" s="249"/>
      <c r="L620" s="106"/>
      <c r="M620" s="252"/>
      <c r="N620" s="138"/>
    </row>
    <row r="621" spans="1:14" s="76" customFormat="1" ht="15" customHeight="1">
      <c r="A621" s="90"/>
      <c r="B621" s="400">
        <v>46047</v>
      </c>
      <c r="C621" s="401">
        <v>1191</v>
      </c>
      <c r="D621" s="240"/>
      <c r="E621" s="407" t="s">
        <v>696</v>
      </c>
      <c r="F621" s="241"/>
      <c r="G621" s="404" t="s">
        <v>197</v>
      </c>
      <c r="H621" s="249" t="s">
        <v>149</v>
      </c>
      <c r="I621" s="249">
        <v>1</v>
      </c>
      <c r="J621" s="411" t="s">
        <v>150</v>
      </c>
      <c r="K621" s="249"/>
      <c r="L621" s="106"/>
      <c r="M621" s="252"/>
      <c r="N621" s="138"/>
    </row>
    <row r="622" spans="1:14" s="76" customFormat="1" ht="15" customHeight="1">
      <c r="A622" s="90"/>
      <c r="B622" s="400">
        <v>46047</v>
      </c>
      <c r="C622" s="401">
        <v>1193</v>
      </c>
      <c r="D622" s="240"/>
      <c r="E622" s="407" t="s">
        <v>697</v>
      </c>
      <c r="F622" s="241"/>
      <c r="G622" s="402" t="s">
        <v>420</v>
      </c>
      <c r="H622" s="249" t="s">
        <v>149</v>
      </c>
      <c r="I622" s="249">
        <v>1</v>
      </c>
      <c r="J622" s="411" t="s">
        <v>150</v>
      </c>
      <c r="K622" s="249"/>
      <c r="L622" s="106"/>
      <c r="M622" s="252"/>
      <c r="N622" s="138"/>
    </row>
    <row r="623" spans="1:14" s="76" customFormat="1" ht="15" customHeight="1">
      <c r="A623" s="90"/>
      <c r="B623" s="400">
        <v>46048</v>
      </c>
      <c r="C623" s="401">
        <v>1194</v>
      </c>
      <c r="D623" s="240"/>
      <c r="E623" s="407" t="s">
        <v>698</v>
      </c>
      <c r="F623" s="241"/>
      <c r="G623" s="402" t="s">
        <v>211</v>
      </c>
      <c r="H623" s="249" t="s">
        <v>149</v>
      </c>
      <c r="I623" s="249">
        <v>1</v>
      </c>
      <c r="J623" s="411" t="s">
        <v>150</v>
      </c>
      <c r="K623" s="249"/>
      <c r="L623" s="106"/>
      <c r="M623" s="252"/>
      <c r="N623" s="138"/>
    </row>
    <row r="624" spans="1:14" s="76" customFormat="1" ht="15" customHeight="1">
      <c r="A624" s="90"/>
      <c r="B624" s="400">
        <v>46042</v>
      </c>
      <c r="C624" s="401">
        <v>385</v>
      </c>
      <c r="D624" s="240"/>
      <c r="E624" s="406" t="s">
        <v>699</v>
      </c>
      <c r="F624" s="241"/>
      <c r="G624" s="404" t="s">
        <v>327</v>
      </c>
      <c r="H624" s="249" t="s">
        <v>168</v>
      </c>
      <c r="I624" s="249">
        <v>0.5</v>
      </c>
      <c r="J624" s="411" t="s">
        <v>475</v>
      </c>
      <c r="K624" s="249"/>
      <c r="L624" s="106"/>
      <c r="M624" s="252"/>
      <c r="N624" s="138"/>
    </row>
    <row r="625" spans="1:14" s="76" customFormat="1" ht="15" customHeight="1">
      <c r="A625" s="90"/>
      <c r="B625" s="400">
        <v>46042</v>
      </c>
      <c r="C625" s="401">
        <v>386</v>
      </c>
      <c r="D625" s="240"/>
      <c r="E625" s="406" t="s">
        <v>700</v>
      </c>
      <c r="F625" s="241"/>
      <c r="G625" s="404" t="s">
        <v>292</v>
      </c>
      <c r="H625" s="249" t="s">
        <v>182</v>
      </c>
      <c r="I625" s="249">
        <v>2</v>
      </c>
      <c r="J625" s="411" t="s">
        <v>475</v>
      </c>
      <c r="K625" s="249"/>
      <c r="L625" s="106"/>
      <c r="M625" s="252"/>
      <c r="N625" s="138"/>
    </row>
    <row r="626" spans="1:14" s="76" customFormat="1" ht="15" customHeight="1">
      <c r="A626" s="90"/>
      <c r="B626" s="400">
        <v>46042</v>
      </c>
      <c r="C626" s="401">
        <v>387</v>
      </c>
      <c r="D626" s="240"/>
      <c r="E626" s="406" t="s">
        <v>701</v>
      </c>
      <c r="F626" s="241"/>
      <c r="G626" s="404" t="s">
        <v>204</v>
      </c>
      <c r="H626" s="249" t="s">
        <v>149</v>
      </c>
      <c r="I626" s="249">
        <v>1</v>
      </c>
      <c r="J626" s="411" t="s">
        <v>475</v>
      </c>
      <c r="K626" s="249"/>
      <c r="L626" s="106"/>
      <c r="M626" s="252"/>
      <c r="N626" s="138"/>
    </row>
    <row r="627" spans="1:14" s="76" customFormat="1" ht="15" customHeight="1">
      <c r="A627" s="90"/>
      <c r="B627" s="400">
        <v>46042</v>
      </c>
      <c r="C627" s="401">
        <v>388</v>
      </c>
      <c r="D627" s="240"/>
      <c r="E627" s="408" t="s">
        <v>702</v>
      </c>
      <c r="F627" s="241"/>
      <c r="G627" s="404" t="s">
        <v>178</v>
      </c>
      <c r="H627" s="249" t="s">
        <v>168</v>
      </c>
      <c r="I627" s="249">
        <v>0.5</v>
      </c>
      <c r="J627" s="411" t="s">
        <v>475</v>
      </c>
      <c r="K627" s="249"/>
      <c r="L627" s="106"/>
      <c r="M627" s="252"/>
      <c r="N627" s="138"/>
    </row>
    <row r="628" spans="1:14" s="76" customFormat="1" ht="15" customHeight="1">
      <c r="A628" s="90"/>
      <c r="B628" s="400">
        <v>46042</v>
      </c>
      <c r="C628" s="401">
        <v>389</v>
      </c>
      <c r="D628" s="240"/>
      <c r="E628" s="406" t="s">
        <v>703</v>
      </c>
      <c r="F628" s="241"/>
      <c r="G628" s="404" t="s">
        <v>207</v>
      </c>
      <c r="H628" s="391" t="s">
        <v>159</v>
      </c>
      <c r="I628" s="391">
        <v>0.5</v>
      </c>
      <c r="J628" s="411" t="s">
        <v>475</v>
      </c>
      <c r="K628" s="391" t="s">
        <v>704</v>
      </c>
      <c r="L628" s="106"/>
      <c r="M628" s="252"/>
      <c r="N628" s="138"/>
    </row>
    <row r="629" spans="1:14" s="76" customFormat="1" ht="15" customHeight="1">
      <c r="A629" s="90"/>
      <c r="B629" s="400">
        <v>46042</v>
      </c>
      <c r="C629" s="401">
        <v>390</v>
      </c>
      <c r="D629" s="240"/>
      <c r="E629" s="406" t="s">
        <v>705</v>
      </c>
      <c r="F629" s="241"/>
      <c r="G629" s="404" t="s">
        <v>706</v>
      </c>
      <c r="H629" s="249" t="s">
        <v>493</v>
      </c>
      <c r="I629" s="249">
        <v>1</v>
      </c>
      <c r="J629" s="411" t="s">
        <v>475</v>
      </c>
      <c r="K629" s="249"/>
      <c r="L629" s="106"/>
      <c r="M629" s="252"/>
      <c r="N629" s="138"/>
    </row>
    <row r="630" spans="1:14" s="76" customFormat="1" ht="15" customHeight="1">
      <c r="A630" s="90"/>
      <c r="B630" s="400">
        <v>46042</v>
      </c>
      <c r="C630" s="401">
        <v>391</v>
      </c>
      <c r="D630" s="240"/>
      <c r="E630" s="406" t="s">
        <v>707</v>
      </c>
      <c r="F630" s="241"/>
      <c r="G630" s="404" t="s">
        <v>322</v>
      </c>
      <c r="H630" s="249" t="s">
        <v>173</v>
      </c>
      <c r="I630" s="249">
        <v>1.5</v>
      </c>
      <c r="J630" s="411" t="s">
        <v>475</v>
      </c>
      <c r="K630" s="249"/>
      <c r="L630" s="106"/>
      <c r="M630" s="252"/>
      <c r="N630" s="138"/>
    </row>
    <row r="631" spans="1:14" s="76" customFormat="1" ht="15" customHeight="1">
      <c r="A631" s="90"/>
      <c r="B631" s="400">
        <v>46042</v>
      </c>
      <c r="C631" s="401">
        <v>392</v>
      </c>
      <c r="D631" s="240"/>
      <c r="E631" s="406" t="s">
        <v>708</v>
      </c>
      <c r="F631" s="241"/>
      <c r="G631" s="404" t="s">
        <v>161</v>
      </c>
      <c r="H631" s="249" t="s">
        <v>149</v>
      </c>
      <c r="I631" s="249">
        <v>1</v>
      </c>
      <c r="J631" s="411" t="s">
        <v>475</v>
      </c>
      <c r="K631" s="249"/>
      <c r="L631" s="106"/>
      <c r="M631" s="283"/>
      <c r="N631" s="138"/>
    </row>
    <row r="632" spans="1:14" s="76" customFormat="1" ht="15" customHeight="1">
      <c r="A632" s="90"/>
      <c r="B632" s="400">
        <v>46042</v>
      </c>
      <c r="C632" s="401">
        <v>1016</v>
      </c>
      <c r="D632" s="240"/>
      <c r="E632" s="406" t="s">
        <v>709</v>
      </c>
      <c r="F632" s="241"/>
      <c r="G632" s="404" t="s">
        <v>164</v>
      </c>
      <c r="H632" s="249" t="s">
        <v>149</v>
      </c>
      <c r="I632" s="249">
        <v>1</v>
      </c>
      <c r="J632" s="411" t="s">
        <v>174</v>
      </c>
      <c r="K632" s="249"/>
      <c r="L632" s="106"/>
      <c r="M632" s="252"/>
      <c r="N632" s="138"/>
    </row>
    <row r="633" spans="1:14" s="76" customFormat="1" ht="15" customHeight="1">
      <c r="A633" s="90"/>
      <c r="B633" s="400">
        <v>46042</v>
      </c>
      <c r="C633" s="401">
        <v>1016</v>
      </c>
      <c r="D633" s="240"/>
      <c r="E633" s="406" t="s">
        <v>710</v>
      </c>
      <c r="F633" s="241"/>
      <c r="G633" s="404" t="s">
        <v>164</v>
      </c>
      <c r="H633" s="249" t="s">
        <v>162</v>
      </c>
      <c r="I633" s="249">
        <v>0.5</v>
      </c>
      <c r="J633" s="411" t="s">
        <v>174</v>
      </c>
      <c r="K633" s="249"/>
      <c r="L633" s="106"/>
      <c r="M633" s="252"/>
      <c r="N633" s="138"/>
    </row>
    <row r="634" spans="1:14" s="76" customFormat="1" ht="15" customHeight="1">
      <c r="A634" s="90"/>
      <c r="B634" s="400">
        <v>46042</v>
      </c>
      <c r="C634" s="401">
        <v>1017</v>
      </c>
      <c r="D634" s="240"/>
      <c r="E634" s="406" t="s">
        <v>711</v>
      </c>
      <c r="F634" s="241"/>
      <c r="G634" s="404" t="s">
        <v>252</v>
      </c>
      <c r="H634" s="249" t="s">
        <v>267</v>
      </c>
      <c r="I634" s="249">
        <v>4</v>
      </c>
      <c r="J634" s="411" t="s">
        <v>174</v>
      </c>
      <c r="K634" s="249"/>
      <c r="L634" s="106"/>
      <c r="M634" s="252"/>
      <c r="N634" s="138"/>
    </row>
    <row r="635" spans="1:14" s="76" customFormat="1" ht="15" customHeight="1">
      <c r="A635" s="90"/>
      <c r="B635" s="400">
        <v>46042</v>
      </c>
      <c r="C635" s="401">
        <v>1018</v>
      </c>
      <c r="D635" s="240"/>
      <c r="E635" s="406" t="s">
        <v>712</v>
      </c>
      <c r="F635" s="241"/>
      <c r="G635" s="404" t="s">
        <v>167</v>
      </c>
      <c r="H635" s="249" t="s">
        <v>149</v>
      </c>
      <c r="I635" s="249">
        <v>1</v>
      </c>
      <c r="J635" s="411" t="s">
        <v>174</v>
      </c>
      <c r="K635" s="249"/>
      <c r="L635" s="106"/>
      <c r="M635" s="252"/>
      <c r="N635" s="138"/>
    </row>
    <row r="636" spans="1:14" s="76" customFormat="1" ht="15" customHeight="1">
      <c r="A636" s="90"/>
      <c r="B636" s="400">
        <v>46042</v>
      </c>
      <c r="C636" s="401">
        <v>1019</v>
      </c>
      <c r="D636" s="240"/>
      <c r="E636" s="406" t="s">
        <v>713</v>
      </c>
      <c r="F636" s="241"/>
      <c r="G636" s="404" t="s">
        <v>238</v>
      </c>
      <c r="H636" s="249" t="s">
        <v>149</v>
      </c>
      <c r="I636" s="249">
        <v>1</v>
      </c>
      <c r="J636" s="411" t="s">
        <v>174</v>
      </c>
      <c r="K636" s="249"/>
      <c r="L636" s="106"/>
      <c r="M636" s="252"/>
      <c r="N636" s="138"/>
    </row>
    <row r="637" spans="1:14" s="76" customFormat="1" ht="15" customHeight="1">
      <c r="A637" s="90"/>
      <c r="B637" s="400">
        <v>46042</v>
      </c>
      <c r="C637" s="401">
        <v>1020</v>
      </c>
      <c r="D637" s="240"/>
      <c r="E637" s="406" t="s">
        <v>714</v>
      </c>
      <c r="F637" s="241"/>
      <c r="G637" s="404" t="s">
        <v>334</v>
      </c>
      <c r="H637" s="249" t="s">
        <v>149</v>
      </c>
      <c r="I637" s="249">
        <v>1</v>
      </c>
      <c r="J637" s="411" t="s">
        <v>174</v>
      </c>
      <c r="K637" s="249"/>
      <c r="L637" s="106"/>
      <c r="M637" s="252"/>
      <c r="N637" s="138"/>
    </row>
    <row r="638" spans="1:14" s="76" customFormat="1" ht="15" customHeight="1">
      <c r="A638" s="90"/>
      <c r="B638" s="400">
        <v>46042</v>
      </c>
      <c r="C638" s="401">
        <v>1021</v>
      </c>
      <c r="D638" s="240"/>
      <c r="E638" s="406" t="s">
        <v>715</v>
      </c>
      <c r="F638" s="241"/>
      <c r="G638" s="404" t="s">
        <v>336</v>
      </c>
      <c r="H638" s="249" t="s">
        <v>149</v>
      </c>
      <c r="I638" s="249">
        <v>1</v>
      </c>
      <c r="J638" s="411" t="s">
        <v>174</v>
      </c>
      <c r="K638" s="249"/>
      <c r="L638" s="106"/>
      <c r="M638" s="252"/>
      <c r="N638" s="138"/>
    </row>
    <row r="639" spans="1:14" s="76" customFormat="1" ht="15" customHeight="1">
      <c r="A639" s="90"/>
      <c r="B639" s="400">
        <v>46042</v>
      </c>
      <c r="C639" s="401">
        <v>1021</v>
      </c>
      <c r="D639" s="240"/>
      <c r="E639" s="406" t="s">
        <v>716</v>
      </c>
      <c r="F639" s="241"/>
      <c r="G639" s="404" t="s">
        <v>336</v>
      </c>
      <c r="H639" s="249" t="s">
        <v>162</v>
      </c>
      <c r="I639" s="249">
        <v>0.5</v>
      </c>
      <c r="J639" s="411" t="s">
        <v>174</v>
      </c>
      <c r="K639" s="249"/>
      <c r="L639" s="106"/>
      <c r="M639" s="252"/>
      <c r="N639" s="138"/>
    </row>
    <row r="640" spans="1:14" s="76" customFormat="1" ht="15" customHeight="1">
      <c r="A640" s="90"/>
      <c r="B640" s="400">
        <v>46043</v>
      </c>
      <c r="C640" s="401">
        <v>1054</v>
      </c>
      <c r="D640" s="240"/>
      <c r="E640" s="406" t="s">
        <v>717</v>
      </c>
      <c r="F640" s="241"/>
      <c r="G640" s="404" t="s">
        <v>311</v>
      </c>
      <c r="H640" s="249" t="s">
        <v>303</v>
      </c>
      <c r="I640" s="249">
        <v>2</v>
      </c>
      <c r="J640" s="411" t="s">
        <v>174</v>
      </c>
      <c r="K640" s="249"/>
      <c r="L640" s="106"/>
      <c r="M640" s="252"/>
      <c r="N640" s="138"/>
    </row>
    <row r="641" spans="1:14" s="76" customFormat="1" ht="15" customHeight="1">
      <c r="A641" s="90"/>
      <c r="B641" s="400">
        <v>46043</v>
      </c>
      <c r="C641" s="401">
        <v>1055</v>
      </c>
      <c r="D641" s="240"/>
      <c r="E641" s="406" t="s">
        <v>718</v>
      </c>
      <c r="F641" s="241"/>
      <c r="G641" s="404" t="s">
        <v>375</v>
      </c>
      <c r="H641" s="249" t="s">
        <v>149</v>
      </c>
      <c r="I641" s="249">
        <v>1</v>
      </c>
      <c r="J641" s="411" t="s">
        <v>174</v>
      </c>
      <c r="K641" s="249"/>
      <c r="L641" s="106"/>
      <c r="M641" s="283"/>
      <c r="N641" s="138"/>
    </row>
    <row r="642" spans="1:14" s="76" customFormat="1" ht="15" customHeight="1">
      <c r="A642" s="90"/>
      <c r="B642" s="400">
        <v>46043</v>
      </c>
      <c r="C642" s="401">
        <v>1057</v>
      </c>
      <c r="D642" s="240"/>
      <c r="E642" s="406" t="s">
        <v>719</v>
      </c>
      <c r="F642" s="241"/>
      <c r="G642" s="404" t="s">
        <v>377</v>
      </c>
      <c r="H642" s="391" t="s">
        <v>720</v>
      </c>
      <c r="I642" s="249">
        <v>4</v>
      </c>
      <c r="J642" s="411" t="s">
        <v>174</v>
      </c>
      <c r="K642" s="391" t="s">
        <v>704</v>
      </c>
      <c r="L642" s="106"/>
      <c r="M642" s="252"/>
      <c r="N642" s="138"/>
    </row>
    <row r="643" spans="1:14" s="76" customFormat="1" ht="15" customHeight="1">
      <c r="A643" s="90"/>
      <c r="B643" s="400">
        <v>46043</v>
      </c>
      <c r="C643" s="401">
        <v>1056</v>
      </c>
      <c r="D643" s="240"/>
      <c r="E643" s="406" t="s">
        <v>721</v>
      </c>
      <c r="F643" s="241"/>
      <c r="G643" s="404" t="s">
        <v>361</v>
      </c>
      <c r="H643" s="249" t="s">
        <v>192</v>
      </c>
      <c r="I643" s="249">
        <v>1</v>
      </c>
      <c r="J643" s="411" t="s">
        <v>174</v>
      </c>
      <c r="K643" s="249"/>
      <c r="L643" s="106"/>
      <c r="M643" s="252"/>
      <c r="N643" s="138"/>
    </row>
    <row r="644" spans="1:14" s="76" customFormat="1" ht="15" customHeight="1">
      <c r="A644" s="90"/>
      <c r="B644" s="400">
        <v>46043</v>
      </c>
      <c r="C644" s="401">
        <v>1056</v>
      </c>
      <c r="D644" s="240"/>
      <c r="E644" s="406" t="s">
        <v>722</v>
      </c>
      <c r="F644" s="241"/>
      <c r="G644" s="404" t="s">
        <v>361</v>
      </c>
      <c r="H644" s="249" t="s">
        <v>149</v>
      </c>
      <c r="I644" s="249">
        <v>1</v>
      </c>
      <c r="J644" s="411" t="s">
        <v>174</v>
      </c>
      <c r="K644" s="391" t="s">
        <v>704</v>
      </c>
      <c r="L644" s="106"/>
      <c r="M644" s="252"/>
      <c r="N644" s="138"/>
    </row>
    <row r="645" spans="1:14" s="76" customFormat="1" ht="15" customHeight="1">
      <c r="A645" s="90"/>
      <c r="B645" s="400">
        <v>46043</v>
      </c>
      <c r="C645" s="401">
        <v>1058</v>
      </c>
      <c r="D645" s="240"/>
      <c r="E645" s="406" t="s">
        <v>723</v>
      </c>
      <c r="F645" s="241"/>
      <c r="G645" s="405" t="s">
        <v>252</v>
      </c>
      <c r="H645" s="249" t="s">
        <v>149</v>
      </c>
      <c r="I645" s="249">
        <v>1</v>
      </c>
      <c r="J645" s="411" t="s">
        <v>174</v>
      </c>
      <c r="K645" s="391" t="s">
        <v>704</v>
      </c>
      <c r="L645" s="106"/>
      <c r="M645" s="252"/>
      <c r="N645" s="138"/>
    </row>
    <row r="646" spans="1:14" s="76" customFormat="1" ht="15" customHeight="1">
      <c r="A646" s="90"/>
      <c r="B646" s="400">
        <v>46046</v>
      </c>
      <c r="C646" s="401">
        <v>1059</v>
      </c>
      <c r="D646" s="240"/>
      <c r="E646" s="406" t="s">
        <v>724</v>
      </c>
      <c r="F646" s="241"/>
      <c r="G646" s="404" t="s">
        <v>238</v>
      </c>
      <c r="H646" s="249" t="s">
        <v>162</v>
      </c>
      <c r="I646" s="249">
        <v>0.5</v>
      </c>
      <c r="J646" s="411" t="s">
        <v>174</v>
      </c>
      <c r="K646" s="391" t="s">
        <v>704</v>
      </c>
      <c r="L646" s="106"/>
      <c r="M646" s="252"/>
      <c r="N646" s="138"/>
    </row>
    <row r="647" spans="1:14" s="76" customFormat="1" ht="15" customHeight="1">
      <c r="A647" s="90"/>
      <c r="B647" s="400">
        <v>46046</v>
      </c>
      <c r="C647" s="401">
        <v>1060</v>
      </c>
      <c r="D647" s="240"/>
      <c r="E647" s="406" t="s">
        <v>725</v>
      </c>
      <c r="F647" s="241"/>
      <c r="G647" s="404" t="s">
        <v>639</v>
      </c>
      <c r="H647" s="249" t="s">
        <v>726</v>
      </c>
      <c r="I647" s="249">
        <v>5</v>
      </c>
      <c r="J647" s="411" t="s">
        <v>174</v>
      </c>
      <c r="K647" s="391" t="s">
        <v>704</v>
      </c>
      <c r="L647" s="106"/>
      <c r="M647" s="252"/>
      <c r="N647" s="138"/>
    </row>
    <row r="648" spans="1:14" s="76" customFormat="1" ht="15" customHeight="1">
      <c r="A648" s="90"/>
      <c r="B648" s="400">
        <v>46046</v>
      </c>
      <c r="C648" s="401">
        <v>1061</v>
      </c>
      <c r="D648" s="240"/>
      <c r="E648" s="406" t="s">
        <v>727</v>
      </c>
      <c r="F648" s="241"/>
      <c r="G648" s="404" t="s">
        <v>728</v>
      </c>
      <c r="H648" s="249" t="s">
        <v>480</v>
      </c>
      <c r="I648" s="249">
        <v>2</v>
      </c>
      <c r="J648" s="411" t="s">
        <v>174</v>
      </c>
      <c r="K648" s="391" t="s">
        <v>704</v>
      </c>
      <c r="L648" s="106"/>
      <c r="M648" s="252"/>
      <c r="N648" s="138"/>
    </row>
    <row r="649" spans="1:14" s="76" customFormat="1" ht="15" customHeight="1">
      <c r="A649" s="90"/>
      <c r="B649" s="400">
        <v>46046</v>
      </c>
      <c r="C649" s="401">
        <v>1062</v>
      </c>
      <c r="D649" s="240"/>
      <c r="E649" s="406" t="s">
        <v>729</v>
      </c>
      <c r="F649" s="241"/>
      <c r="G649" s="404" t="s">
        <v>341</v>
      </c>
      <c r="H649" s="249" t="s">
        <v>149</v>
      </c>
      <c r="I649" s="249">
        <v>1</v>
      </c>
      <c r="J649" s="411" t="s">
        <v>174</v>
      </c>
      <c r="K649" s="391" t="s">
        <v>704</v>
      </c>
      <c r="L649" s="106"/>
      <c r="M649" s="252"/>
      <c r="N649" s="138"/>
    </row>
    <row r="650" spans="1:14" s="76" customFormat="1" ht="15" customHeight="1">
      <c r="A650" s="90"/>
      <c r="B650" s="400">
        <v>46046</v>
      </c>
      <c r="C650" s="401">
        <v>1063</v>
      </c>
      <c r="D650" s="240"/>
      <c r="E650" s="406" t="s">
        <v>730</v>
      </c>
      <c r="F650" s="241"/>
      <c r="G650" s="404" t="s">
        <v>338</v>
      </c>
      <c r="H650" s="249" t="s">
        <v>173</v>
      </c>
      <c r="I650" s="249">
        <v>1.5</v>
      </c>
      <c r="J650" s="411" t="s">
        <v>174</v>
      </c>
      <c r="K650" s="391" t="s">
        <v>704</v>
      </c>
      <c r="L650" s="106"/>
      <c r="M650" s="252"/>
      <c r="N650" s="138"/>
    </row>
    <row r="651" spans="1:14" s="76" customFormat="1" ht="15" customHeight="1">
      <c r="A651" s="90"/>
      <c r="B651" s="400">
        <v>46048</v>
      </c>
      <c r="C651" s="401">
        <v>1064</v>
      </c>
      <c r="D651" s="240"/>
      <c r="E651" s="406" t="s">
        <v>731</v>
      </c>
      <c r="F651" s="241"/>
      <c r="G651" s="404" t="s">
        <v>158</v>
      </c>
      <c r="H651" s="249" t="s">
        <v>159</v>
      </c>
      <c r="I651" s="249">
        <v>0.5</v>
      </c>
      <c r="J651" s="411" t="s">
        <v>174</v>
      </c>
      <c r="K651" s="391" t="s">
        <v>704</v>
      </c>
      <c r="L651" s="106"/>
      <c r="M651" s="252"/>
      <c r="N651" s="138"/>
    </row>
    <row r="652" spans="1:14" s="76" customFormat="1" ht="15" customHeight="1">
      <c r="A652" s="90"/>
      <c r="B652" s="400">
        <v>46049</v>
      </c>
      <c r="C652" s="401">
        <v>1065</v>
      </c>
      <c r="D652" s="240"/>
      <c r="E652" s="406" t="s">
        <v>732</v>
      </c>
      <c r="F652" s="241"/>
      <c r="G652" s="404" t="s">
        <v>187</v>
      </c>
      <c r="H652" s="391" t="s">
        <v>162</v>
      </c>
      <c r="I652" s="391">
        <v>0.5</v>
      </c>
      <c r="J652" s="411" t="s">
        <v>174</v>
      </c>
      <c r="K652" s="391" t="s">
        <v>704</v>
      </c>
      <c r="L652" s="106"/>
      <c r="M652" s="252"/>
      <c r="N652" s="138"/>
    </row>
    <row r="653" spans="1:14" s="76" customFormat="1" ht="15" customHeight="1">
      <c r="A653" s="90"/>
      <c r="B653" s="400">
        <v>46049</v>
      </c>
      <c r="C653" s="401">
        <v>1066</v>
      </c>
      <c r="D653" s="240"/>
      <c r="E653" s="406" t="s">
        <v>733</v>
      </c>
      <c r="F653" s="241"/>
      <c r="G653" s="404" t="s">
        <v>191</v>
      </c>
      <c r="H653" s="249" t="s">
        <v>185</v>
      </c>
      <c r="I653" s="391">
        <v>1.5</v>
      </c>
      <c r="J653" s="411" t="s">
        <v>174</v>
      </c>
      <c r="K653" s="391" t="s">
        <v>704</v>
      </c>
      <c r="L653" s="106"/>
      <c r="M653" s="283"/>
      <c r="N653" s="138"/>
    </row>
    <row r="654" spans="1:14" s="76" customFormat="1" ht="15" customHeight="1">
      <c r="A654" s="90"/>
      <c r="B654" s="400">
        <v>46049</v>
      </c>
      <c r="C654" s="401">
        <v>1068</v>
      </c>
      <c r="D654" s="240"/>
      <c r="E654" s="406" t="s">
        <v>734</v>
      </c>
      <c r="F654" s="241"/>
      <c r="G654" s="404" t="s">
        <v>244</v>
      </c>
      <c r="H654" s="249" t="s">
        <v>149</v>
      </c>
      <c r="I654" s="391">
        <v>1</v>
      </c>
      <c r="J654" s="411" t="s">
        <v>174</v>
      </c>
      <c r="K654" s="391" t="s">
        <v>704</v>
      </c>
      <c r="L654" s="106"/>
      <c r="M654" s="252"/>
      <c r="N654" s="138"/>
    </row>
    <row r="655" spans="1:14" s="76" customFormat="1" ht="15" customHeight="1">
      <c r="A655" s="90"/>
      <c r="B655" s="400">
        <v>46049</v>
      </c>
      <c r="C655" s="401">
        <v>1068</v>
      </c>
      <c r="D655" s="240"/>
      <c r="E655" s="406" t="s">
        <v>735</v>
      </c>
      <c r="F655" s="241"/>
      <c r="G655" s="404" t="s">
        <v>244</v>
      </c>
      <c r="H655" s="249" t="s">
        <v>173</v>
      </c>
      <c r="I655" s="391">
        <v>1.5</v>
      </c>
      <c r="J655" s="411" t="s">
        <v>174</v>
      </c>
      <c r="K655" s="391" t="s">
        <v>704</v>
      </c>
      <c r="L655" s="106"/>
      <c r="M655" s="252"/>
      <c r="N655" s="138"/>
    </row>
    <row r="656" spans="1:14" s="76" customFormat="1" ht="15" customHeight="1">
      <c r="A656" s="90"/>
      <c r="B656" s="400">
        <v>46049</v>
      </c>
      <c r="C656" s="401">
        <v>1067</v>
      </c>
      <c r="D656" s="240"/>
      <c r="E656" s="407" t="s">
        <v>736</v>
      </c>
      <c r="F656" s="241"/>
      <c r="G656" s="404" t="s">
        <v>410</v>
      </c>
      <c r="H656" s="249" t="s">
        <v>429</v>
      </c>
      <c r="I656" s="391">
        <v>4</v>
      </c>
      <c r="J656" s="411" t="s">
        <v>174</v>
      </c>
      <c r="K656" s="391" t="s">
        <v>704</v>
      </c>
      <c r="L656" s="106"/>
      <c r="M656" s="252"/>
      <c r="N656" s="138"/>
    </row>
    <row r="657" spans="1:14" s="76" customFormat="1" ht="15" customHeight="1">
      <c r="A657" s="90"/>
      <c r="B657" s="400">
        <v>46049</v>
      </c>
      <c r="C657" s="401">
        <v>1069</v>
      </c>
      <c r="D657" s="240"/>
      <c r="E657" s="406" t="s">
        <v>737</v>
      </c>
      <c r="F657" s="241"/>
      <c r="G657" s="404" t="s">
        <v>412</v>
      </c>
      <c r="H657" s="249" t="s">
        <v>149</v>
      </c>
      <c r="I657" s="391">
        <v>1</v>
      </c>
      <c r="J657" s="411" t="s">
        <v>174</v>
      </c>
      <c r="K657" s="391" t="s">
        <v>704</v>
      </c>
      <c r="L657" s="106"/>
      <c r="M657" s="252"/>
      <c r="N657" s="138"/>
    </row>
    <row r="658" spans="1:14" s="76" customFormat="1" ht="15" customHeight="1">
      <c r="A658" s="90"/>
      <c r="B658" s="400">
        <v>46042</v>
      </c>
      <c r="C658" s="401">
        <v>227</v>
      </c>
      <c r="D658" s="240"/>
      <c r="E658" s="406" t="s">
        <v>738</v>
      </c>
      <c r="F658" s="241"/>
      <c r="G658" s="404" t="s">
        <v>202</v>
      </c>
      <c r="H658" s="249" t="s">
        <v>149</v>
      </c>
      <c r="I658" s="391">
        <v>1</v>
      </c>
      <c r="J658" s="411" t="s">
        <v>195</v>
      </c>
      <c r="K658" s="391" t="s">
        <v>704</v>
      </c>
      <c r="L658" s="106"/>
      <c r="M658" s="252"/>
      <c r="N658" s="138"/>
    </row>
    <row r="659" spans="1:14" s="76" customFormat="1" ht="15" customHeight="1">
      <c r="A659" s="90"/>
      <c r="B659" s="400">
        <v>46042</v>
      </c>
      <c r="C659" s="401">
        <v>228</v>
      </c>
      <c r="D659" s="240"/>
      <c r="E659" s="406" t="s">
        <v>739</v>
      </c>
      <c r="F659" s="241"/>
      <c r="G659" s="404" t="s">
        <v>214</v>
      </c>
      <c r="H659" s="249" t="s">
        <v>149</v>
      </c>
      <c r="I659" s="391">
        <v>1</v>
      </c>
      <c r="J659" s="411" t="s">
        <v>195</v>
      </c>
      <c r="K659" s="391" t="s">
        <v>704</v>
      </c>
      <c r="L659" s="106"/>
      <c r="M659" s="252"/>
      <c r="N659" s="138"/>
    </row>
    <row r="660" spans="1:14" s="76" customFormat="1" ht="15" customHeight="1">
      <c r="A660" s="90"/>
      <c r="B660" s="400">
        <v>46042</v>
      </c>
      <c r="C660" s="401">
        <v>229</v>
      </c>
      <c r="D660" s="240"/>
      <c r="E660" s="406" t="s">
        <v>740</v>
      </c>
      <c r="F660" s="241"/>
      <c r="G660" s="404" t="s">
        <v>218</v>
      </c>
      <c r="H660" s="249" t="s">
        <v>149</v>
      </c>
      <c r="I660" s="391">
        <v>1</v>
      </c>
      <c r="J660" s="411" t="s">
        <v>195</v>
      </c>
      <c r="K660" s="391" t="s">
        <v>704</v>
      </c>
      <c r="L660" s="106"/>
      <c r="M660" s="252"/>
      <c r="N660" s="138"/>
    </row>
    <row r="661" spans="1:14" s="76" customFormat="1" ht="15" customHeight="1">
      <c r="A661" s="90"/>
      <c r="B661" s="400">
        <v>46042</v>
      </c>
      <c r="C661" s="401">
        <v>230</v>
      </c>
      <c r="D661" s="240"/>
      <c r="E661" s="406" t="s">
        <v>741</v>
      </c>
      <c r="F661" s="241"/>
      <c r="G661" s="404" t="s">
        <v>420</v>
      </c>
      <c r="H661" s="249" t="s">
        <v>159</v>
      </c>
      <c r="I661" s="391">
        <v>0.5</v>
      </c>
      <c r="J661" s="411" t="s">
        <v>195</v>
      </c>
      <c r="K661" s="391" t="s">
        <v>704</v>
      </c>
      <c r="L661" s="106"/>
      <c r="M661" s="252"/>
      <c r="N661" s="138"/>
    </row>
    <row r="662" spans="1:14" s="76" customFormat="1" ht="15" customHeight="1">
      <c r="A662" s="90"/>
      <c r="B662" s="400">
        <v>46042</v>
      </c>
      <c r="C662" s="401">
        <v>231</v>
      </c>
      <c r="D662" s="240"/>
      <c r="E662" s="406" t="s">
        <v>742</v>
      </c>
      <c r="F662" s="241"/>
      <c r="G662" s="404" t="s">
        <v>539</v>
      </c>
      <c r="H662" s="249" t="s">
        <v>149</v>
      </c>
      <c r="I662" s="391">
        <v>1</v>
      </c>
      <c r="J662" s="411" t="s">
        <v>195</v>
      </c>
      <c r="K662" s="391" t="s">
        <v>704</v>
      </c>
      <c r="L662" s="106"/>
      <c r="M662" s="252"/>
      <c r="N662" s="138"/>
    </row>
    <row r="663" spans="1:14" s="76" customFormat="1" ht="15" customHeight="1">
      <c r="A663" s="90"/>
      <c r="B663" s="400">
        <v>46042</v>
      </c>
      <c r="C663" s="401">
        <v>232</v>
      </c>
      <c r="D663" s="240"/>
      <c r="E663" s="406" t="s">
        <v>743</v>
      </c>
      <c r="F663" s="241"/>
      <c r="G663" s="404" t="s">
        <v>393</v>
      </c>
      <c r="H663" s="249" t="s">
        <v>267</v>
      </c>
      <c r="I663" s="391">
        <v>4</v>
      </c>
      <c r="J663" s="411" t="s">
        <v>195</v>
      </c>
      <c r="K663" s="391" t="s">
        <v>704</v>
      </c>
      <c r="L663" s="106"/>
      <c r="M663" s="252"/>
      <c r="N663" s="138"/>
    </row>
    <row r="664" spans="1:14" s="76" customFormat="1" ht="15" customHeight="1">
      <c r="A664" s="90"/>
      <c r="B664" s="400">
        <v>46042</v>
      </c>
      <c r="C664" s="401">
        <v>233</v>
      </c>
      <c r="D664" s="240"/>
      <c r="E664" s="406" t="s">
        <v>744</v>
      </c>
      <c r="F664" s="241"/>
      <c r="G664" s="404" t="s">
        <v>347</v>
      </c>
      <c r="H664" s="249" t="s">
        <v>179</v>
      </c>
      <c r="I664" s="391">
        <v>1</v>
      </c>
      <c r="J664" s="411" t="s">
        <v>195</v>
      </c>
      <c r="K664" s="391" t="s">
        <v>704</v>
      </c>
      <c r="L664" s="106"/>
      <c r="M664" s="283"/>
      <c r="N664" s="138"/>
    </row>
    <row r="665" spans="1:14" s="76" customFormat="1" ht="15" customHeight="1">
      <c r="A665" s="90"/>
      <c r="B665" s="400">
        <v>46042</v>
      </c>
      <c r="C665" s="401">
        <v>234</v>
      </c>
      <c r="D665" s="240"/>
      <c r="E665" s="406" t="s">
        <v>745</v>
      </c>
      <c r="F665" s="241"/>
      <c r="G665" s="404" t="s">
        <v>746</v>
      </c>
      <c r="H665" s="249" t="s">
        <v>182</v>
      </c>
      <c r="I665" s="391">
        <v>2</v>
      </c>
      <c r="J665" s="411" t="s">
        <v>195</v>
      </c>
      <c r="K665" s="391" t="s">
        <v>704</v>
      </c>
      <c r="L665" s="106"/>
      <c r="M665" s="252"/>
      <c r="N665" s="138"/>
    </row>
    <row r="666" spans="1:14" s="76" customFormat="1" ht="15" customHeight="1">
      <c r="A666" s="90"/>
      <c r="B666" s="400">
        <v>46042</v>
      </c>
      <c r="C666" s="401">
        <v>234</v>
      </c>
      <c r="D666" s="240"/>
      <c r="E666" s="406" t="s">
        <v>747</v>
      </c>
      <c r="F666" s="241"/>
      <c r="G666" s="404" t="s">
        <v>746</v>
      </c>
      <c r="H666" s="249" t="s">
        <v>162</v>
      </c>
      <c r="I666" s="391">
        <v>0.5</v>
      </c>
      <c r="J666" s="411" t="s">
        <v>195</v>
      </c>
      <c r="K666" s="391" t="s">
        <v>704</v>
      </c>
      <c r="L666" s="106"/>
      <c r="M666" s="252"/>
      <c r="N666" s="138"/>
    </row>
    <row r="667" spans="1:14" s="76" customFormat="1" ht="15" customHeight="1">
      <c r="A667" s="90"/>
      <c r="B667" s="400">
        <v>46043</v>
      </c>
      <c r="C667" s="401">
        <v>235</v>
      </c>
      <c r="D667" s="240"/>
      <c r="E667" s="406" t="s">
        <v>748</v>
      </c>
      <c r="F667" s="241"/>
      <c r="G667" s="404" t="s">
        <v>225</v>
      </c>
      <c r="H667" s="249" t="s">
        <v>149</v>
      </c>
      <c r="I667" s="391">
        <v>1</v>
      </c>
      <c r="J667" s="411" t="s">
        <v>195</v>
      </c>
      <c r="K667" s="391" t="s">
        <v>704</v>
      </c>
      <c r="L667" s="106"/>
      <c r="M667" s="252"/>
      <c r="N667" s="138"/>
    </row>
    <row r="668" spans="1:14" s="76" customFormat="1" ht="15" customHeight="1">
      <c r="A668" s="90"/>
      <c r="B668" s="400">
        <v>46043</v>
      </c>
      <c r="C668" s="401">
        <v>236</v>
      </c>
      <c r="D668" s="240"/>
      <c r="E668" s="406" t="s">
        <v>749</v>
      </c>
      <c r="F668" s="241"/>
      <c r="G668" s="404" t="s">
        <v>232</v>
      </c>
      <c r="H668" s="249" t="s">
        <v>544</v>
      </c>
      <c r="I668" s="391">
        <v>4</v>
      </c>
      <c r="J668" s="411" t="s">
        <v>195</v>
      </c>
      <c r="K668" s="391" t="s">
        <v>704</v>
      </c>
      <c r="L668" s="106"/>
      <c r="M668" s="252"/>
      <c r="N668" s="138"/>
    </row>
    <row r="669" spans="1:14" s="76" customFormat="1" ht="15" customHeight="1">
      <c r="A669" s="90"/>
      <c r="B669" s="400">
        <v>46044</v>
      </c>
      <c r="C669" s="401">
        <v>237</v>
      </c>
      <c r="D669" s="240"/>
      <c r="E669" s="406" t="s">
        <v>750</v>
      </c>
      <c r="F669" s="241"/>
      <c r="G669" s="404" t="s">
        <v>189</v>
      </c>
      <c r="H669" s="249" t="s">
        <v>267</v>
      </c>
      <c r="I669" s="391">
        <v>4</v>
      </c>
      <c r="J669" s="411" t="s">
        <v>195</v>
      </c>
      <c r="K669" s="391" t="s">
        <v>704</v>
      </c>
      <c r="L669" s="106"/>
      <c r="M669" s="252"/>
      <c r="N669" s="138"/>
    </row>
    <row r="670" spans="1:14" s="76" customFormat="1" ht="15" customHeight="1">
      <c r="A670" s="90"/>
      <c r="B670" s="400">
        <v>46044</v>
      </c>
      <c r="C670" s="401">
        <v>238</v>
      </c>
      <c r="D670" s="240"/>
      <c r="E670" s="406" t="s">
        <v>751</v>
      </c>
      <c r="F670" s="241"/>
      <c r="G670" s="404" t="s">
        <v>351</v>
      </c>
      <c r="H670" s="249" t="s">
        <v>182</v>
      </c>
      <c r="I670" s="391">
        <v>2</v>
      </c>
      <c r="J670" s="411" t="s">
        <v>195</v>
      </c>
      <c r="K670" s="391" t="s">
        <v>704</v>
      </c>
      <c r="L670" s="106"/>
      <c r="M670" s="252"/>
      <c r="N670" s="138"/>
    </row>
    <row r="671" spans="1:14" s="76" customFormat="1" ht="15" customHeight="1">
      <c r="A671" s="90"/>
      <c r="B671" s="400">
        <v>46044</v>
      </c>
      <c r="C671" s="401">
        <v>239</v>
      </c>
      <c r="D671" s="240"/>
      <c r="E671" s="406" t="s">
        <v>752</v>
      </c>
      <c r="F671" s="241"/>
      <c r="G671" s="404" t="s">
        <v>191</v>
      </c>
      <c r="H671" s="249" t="s">
        <v>149</v>
      </c>
      <c r="I671" s="391">
        <v>1</v>
      </c>
      <c r="J671" s="411" t="s">
        <v>195</v>
      </c>
      <c r="K671" s="391" t="s">
        <v>704</v>
      </c>
      <c r="L671" s="106"/>
      <c r="M671" s="252"/>
      <c r="N671" s="138"/>
    </row>
    <row r="672" spans="1:14" s="76" customFormat="1" ht="15" customHeight="1">
      <c r="A672" s="90"/>
      <c r="B672" s="400">
        <v>46046</v>
      </c>
      <c r="C672" s="401">
        <v>253</v>
      </c>
      <c r="D672" s="240"/>
      <c r="E672" s="406" t="s">
        <v>753</v>
      </c>
      <c r="F672" s="241"/>
      <c r="G672" s="404" t="s">
        <v>158</v>
      </c>
      <c r="H672" s="249" t="s">
        <v>604</v>
      </c>
      <c r="I672" s="391">
        <v>2</v>
      </c>
      <c r="J672" s="411" t="s">
        <v>195</v>
      </c>
      <c r="K672" s="391" t="s">
        <v>704</v>
      </c>
      <c r="L672" s="106"/>
      <c r="M672" s="252"/>
      <c r="N672" s="138"/>
    </row>
    <row r="673" spans="1:14" s="76" customFormat="1" ht="15" customHeight="1">
      <c r="A673" s="90"/>
      <c r="B673" s="400">
        <v>46046</v>
      </c>
      <c r="C673" s="401">
        <v>254</v>
      </c>
      <c r="D673" s="240"/>
      <c r="E673" s="406" t="s">
        <v>691</v>
      </c>
      <c r="F673" s="241"/>
      <c r="G673" s="404" t="s">
        <v>178</v>
      </c>
      <c r="H673" s="249" t="s">
        <v>159</v>
      </c>
      <c r="I673" s="391">
        <v>0.5</v>
      </c>
      <c r="J673" s="411" t="s">
        <v>195</v>
      </c>
      <c r="K673" s="391" t="s">
        <v>704</v>
      </c>
      <c r="L673" s="106"/>
      <c r="M673" s="252"/>
      <c r="N673" s="138"/>
    </row>
    <row r="674" spans="1:14" s="76" customFormat="1" ht="15" customHeight="1">
      <c r="A674" s="90"/>
      <c r="B674" s="400">
        <v>46046</v>
      </c>
      <c r="C674" s="401">
        <v>255</v>
      </c>
      <c r="D674" s="240"/>
      <c r="E674" s="406" t="s">
        <v>683</v>
      </c>
      <c r="F674" s="241"/>
      <c r="G674" s="404" t="s">
        <v>161</v>
      </c>
      <c r="H674" s="249" t="s">
        <v>159</v>
      </c>
      <c r="I674" s="391">
        <v>0.5</v>
      </c>
      <c r="J674" s="411" t="s">
        <v>195</v>
      </c>
      <c r="K674" s="391" t="s">
        <v>704</v>
      </c>
      <c r="L674" s="106"/>
      <c r="M674" s="252"/>
      <c r="N674" s="138"/>
    </row>
    <row r="675" spans="1:14" s="76" customFormat="1" ht="15" customHeight="1">
      <c r="A675" s="90"/>
      <c r="B675" s="400">
        <v>46046</v>
      </c>
      <c r="C675" s="401">
        <v>256</v>
      </c>
      <c r="D675" s="240"/>
      <c r="E675" s="406" t="s">
        <v>754</v>
      </c>
      <c r="F675" s="241"/>
      <c r="G675" s="404" t="s">
        <v>214</v>
      </c>
      <c r="H675" s="249" t="s">
        <v>149</v>
      </c>
      <c r="I675" s="391">
        <v>1</v>
      </c>
      <c r="J675" s="411" t="s">
        <v>195</v>
      </c>
      <c r="K675" s="391" t="s">
        <v>704</v>
      </c>
      <c r="L675" s="106"/>
      <c r="M675" s="252"/>
      <c r="N675" s="138"/>
    </row>
    <row r="676" spans="1:14" s="76" customFormat="1" ht="15" customHeight="1">
      <c r="A676" s="90"/>
      <c r="B676" s="400">
        <v>46046</v>
      </c>
      <c r="C676" s="401">
        <v>257</v>
      </c>
      <c r="D676" s="240"/>
      <c r="E676" s="406"/>
      <c r="F676" s="241"/>
      <c r="G676" s="404" t="s">
        <v>225</v>
      </c>
      <c r="H676" s="249" t="s">
        <v>684</v>
      </c>
      <c r="I676" s="391">
        <v>0</v>
      </c>
      <c r="J676" s="411" t="s">
        <v>195</v>
      </c>
      <c r="K676" s="391" t="s">
        <v>704</v>
      </c>
      <c r="L676" s="106"/>
      <c r="M676" s="252"/>
      <c r="N676" s="138"/>
    </row>
    <row r="677" spans="1:14" s="76" customFormat="1" ht="15" customHeight="1">
      <c r="A677" s="90"/>
      <c r="B677" s="400">
        <v>46046</v>
      </c>
      <c r="C677" s="401">
        <v>259</v>
      </c>
      <c r="D677" s="240"/>
      <c r="E677" s="406" t="s">
        <v>755</v>
      </c>
      <c r="F677" s="241"/>
      <c r="G677" s="404" t="s">
        <v>756</v>
      </c>
      <c r="H677" s="249" t="s">
        <v>192</v>
      </c>
      <c r="I677" s="391">
        <v>1</v>
      </c>
      <c r="J677" s="411" t="s">
        <v>195</v>
      </c>
      <c r="K677" s="391" t="s">
        <v>704</v>
      </c>
      <c r="L677" s="106"/>
      <c r="M677" s="252"/>
      <c r="N677" s="138"/>
    </row>
    <row r="678" spans="1:14" s="76" customFormat="1" ht="15" customHeight="1">
      <c r="A678" s="90"/>
      <c r="B678" s="400">
        <v>46046</v>
      </c>
      <c r="C678" s="401">
        <v>259</v>
      </c>
      <c r="D678" s="240"/>
      <c r="E678" s="406" t="s">
        <v>757</v>
      </c>
      <c r="F678" s="241"/>
      <c r="G678" s="404" t="s">
        <v>756</v>
      </c>
      <c r="H678" s="249" t="s">
        <v>493</v>
      </c>
      <c r="I678" s="391">
        <v>1</v>
      </c>
      <c r="J678" s="411" t="s">
        <v>195</v>
      </c>
      <c r="K678" s="391" t="s">
        <v>704</v>
      </c>
      <c r="L678" s="106"/>
      <c r="M678" s="252"/>
      <c r="N678" s="138"/>
    </row>
    <row r="679" spans="1:14" s="76" customFormat="1" ht="15" customHeight="1">
      <c r="A679" s="90"/>
      <c r="B679" s="400">
        <v>46046</v>
      </c>
      <c r="C679" s="401">
        <v>259</v>
      </c>
      <c r="D679" s="240"/>
      <c r="E679" s="406"/>
      <c r="F679" s="241"/>
      <c r="G679" s="404" t="s">
        <v>232</v>
      </c>
      <c r="H679" s="249" t="s">
        <v>684</v>
      </c>
      <c r="I679" s="391">
        <v>0</v>
      </c>
      <c r="J679" s="411" t="s">
        <v>195</v>
      </c>
      <c r="K679" s="391" t="s">
        <v>704</v>
      </c>
      <c r="L679" s="106"/>
      <c r="M679" s="283"/>
      <c r="N679" s="138"/>
    </row>
    <row r="680" spans="1:14" s="76" customFormat="1" ht="15" customHeight="1">
      <c r="A680" s="90"/>
      <c r="B680" s="400">
        <v>46046</v>
      </c>
      <c r="C680" s="401">
        <v>260</v>
      </c>
      <c r="D680" s="240"/>
      <c r="E680" s="406" t="s">
        <v>758</v>
      </c>
      <c r="F680" s="241"/>
      <c r="G680" s="404" t="s">
        <v>347</v>
      </c>
      <c r="H680" s="249" t="s">
        <v>149</v>
      </c>
      <c r="I680" s="391">
        <v>1</v>
      </c>
      <c r="J680" s="411" t="s">
        <v>195</v>
      </c>
      <c r="K680" s="391" t="s">
        <v>704</v>
      </c>
      <c r="L680" s="106"/>
      <c r="M680" s="252"/>
      <c r="N680" s="138"/>
    </row>
    <row r="681" spans="1:14" s="76" customFormat="1" ht="15" customHeight="1">
      <c r="A681" s="90"/>
      <c r="B681" s="400">
        <v>46046</v>
      </c>
      <c r="C681" s="401">
        <v>258</v>
      </c>
      <c r="D681" s="240"/>
      <c r="E681" s="406" t="s">
        <v>759</v>
      </c>
      <c r="F681" s="241"/>
      <c r="G681" s="404" t="s">
        <v>187</v>
      </c>
      <c r="H681" s="249" t="s">
        <v>760</v>
      </c>
      <c r="I681" s="391">
        <v>3</v>
      </c>
      <c r="J681" s="411" t="s">
        <v>195</v>
      </c>
      <c r="K681" s="391" t="s">
        <v>704</v>
      </c>
      <c r="L681" s="106"/>
      <c r="M681" s="252"/>
      <c r="N681" s="138"/>
    </row>
    <row r="682" spans="1:14" s="76" customFormat="1" ht="15" customHeight="1">
      <c r="A682" s="90"/>
      <c r="B682" s="400">
        <v>46047</v>
      </c>
      <c r="C682" s="401">
        <v>261</v>
      </c>
      <c r="D682" s="240"/>
      <c r="E682" s="406" t="s">
        <v>761</v>
      </c>
      <c r="F682" s="241"/>
      <c r="G682" s="404" t="s">
        <v>762</v>
      </c>
      <c r="H682" s="249" t="s">
        <v>182</v>
      </c>
      <c r="I682" s="391">
        <v>2</v>
      </c>
      <c r="J682" s="411" t="s">
        <v>195</v>
      </c>
      <c r="K682" s="391" t="s">
        <v>704</v>
      </c>
      <c r="L682" s="106"/>
      <c r="M682" s="252"/>
      <c r="N682" s="138"/>
    </row>
    <row r="683" spans="1:14" s="76" customFormat="1" ht="15" customHeight="1">
      <c r="A683" s="90"/>
      <c r="B683" s="400">
        <v>46042</v>
      </c>
      <c r="C683" s="401">
        <v>1074</v>
      </c>
      <c r="D683" s="240"/>
      <c r="E683" s="406" t="s">
        <v>763</v>
      </c>
      <c r="F683" s="241"/>
      <c r="G683" s="404" t="s">
        <v>172</v>
      </c>
      <c r="H683" s="249" t="s">
        <v>615</v>
      </c>
      <c r="I683" s="391">
        <v>15</v>
      </c>
      <c r="J683" s="411" t="s">
        <v>215</v>
      </c>
      <c r="K683" s="391" t="s">
        <v>704</v>
      </c>
      <c r="L683" s="106"/>
      <c r="M683" s="252"/>
      <c r="N683" s="138"/>
    </row>
    <row r="684" spans="1:14" s="76" customFormat="1" ht="15" customHeight="1">
      <c r="A684" s="90"/>
      <c r="B684" s="400">
        <v>46043</v>
      </c>
      <c r="C684" s="401">
        <v>1075</v>
      </c>
      <c r="D684" s="240"/>
      <c r="E684" s="406" t="s">
        <v>764</v>
      </c>
      <c r="F684" s="241"/>
      <c r="G684" s="404" t="s">
        <v>164</v>
      </c>
      <c r="H684" s="391" t="s">
        <v>159</v>
      </c>
      <c r="I684" s="391">
        <v>0.5</v>
      </c>
      <c r="J684" s="411" t="s">
        <v>215</v>
      </c>
      <c r="K684" s="391" t="s">
        <v>704</v>
      </c>
      <c r="L684" s="106"/>
      <c r="M684" s="252"/>
      <c r="N684" s="138"/>
    </row>
    <row r="685" spans="1:14" s="76" customFormat="1" ht="15" customHeight="1">
      <c r="A685" s="90"/>
      <c r="B685" s="400">
        <v>46043</v>
      </c>
      <c r="C685" s="401">
        <v>1077</v>
      </c>
      <c r="D685" s="240"/>
      <c r="E685" s="406" t="s">
        <v>765</v>
      </c>
      <c r="F685" s="241"/>
      <c r="G685" s="404" t="s">
        <v>164</v>
      </c>
      <c r="H685" s="249" t="s">
        <v>149</v>
      </c>
      <c r="I685" s="391">
        <v>1</v>
      </c>
      <c r="J685" s="411" t="s">
        <v>215</v>
      </c>
      <c r="K685" s="391" t="s">
        <v>704</v>
      </c>
      <c r="L685" s="106"/>
      <c r="M685" s="252"/>
      <c r="N685" s="138"/>
    </row>
    <row r="686" spans="1:14" s="76" customFormat="1" ht="15" customHeight="1">
      <c r="A686" s="90"/>
      <c r="B686" s="400">
        <v>46043</v>
      </c>
      <c r="C686" s="401">
        <v>1076</v>
      </c>
      <c r="D686" s="240"/>
      <c r="E686" s="406" t="s">
        <v>766</v>
      </c>
      <c r="F686" s="241"/>
      <c r="G686" s="404" t="s">
        <v>249</v>
      </c>
      <c r="H686" s="249" t="s">
        <v>192</v>
      </c>
      <c r="I686" s="391">
        <v>1</v>
      </c>
      <c r="J686" s="411" t="s">
        <v>215</v>
      </c>
      <c r="K686" s="391" t="s">
        <v>704</v>
      </c>
      <c r="L686" s="106"/>
      <c r="M686" s="252"/>
      <c r="N686" s="138"/>
    </row>
    <row r="687" spans="1:14" s="76" customFormat="1" ht="15" customHeight="1">
      <c r="A687" s="90"/>
      <c r="B687" s="400">
        <v>46043</v>
      </c>
      <c r="C687" s="401">
        <v>1078</v>
      </c>
      <c r="D687" s="240"/>
      <c r="E687" s="406" t="s">
        <v>767</v>
      </c>
      <c r="F687" s="241"/>
      <c r="G687" s="404" t="s">
        <v>167</v>
      </c>
      <c r="H687" s="249" t="s">
        <v>149</v>
      </c>
      <c r="I687" s="391">
        <v>1</v>
      </c>
      <c r="J687" s="411" t="s">
        <v>215</v>
      </c>
      <c r="K687" s="391" t="s">
        <v>704</v>
      </c>
      <c r="L687" s="106"/>
      <c r="M687" s="252"/>
      <c r="N687" s="138"/>
    </row>
    <row r="688" spans="1:14" s="76" customFormat="1" ht="15" customHeight="1">
      <c r="A688" s="90"/>
      <c r="B688" s="400">
        <v>46043</v>
      </c>
      <c r="C688" s="401">
        <v>1078</v>
      </c>
      <c r="D688" s="240"/>
      <c r="E688" s="406" t="s">
        <v>768</v>
      </c>
      <c r="F688" s="241"/>
      <c r="G688" s="404" t="s">
        <v>167</v>
      </c>
      <c r="H688" s="249" t="s">
        <v>493</v>
      </c>
      <c r="I688" s="391">
        <v>1</v>
      </c>
      <c r="J688" s="411" t="s">
        <v>215</v>
      </c>
      <c r="K688" s="391" t="s">
        <v>704</v>
      </c>
      <c r="L688" s="106"/>
      <c r="M688" s="252"/>
      <c r="N688" s="138"/>
    </row>
    <row r="689" spans="1:14" s="76" customFormat="1" ht="15" customHeight="1">
      <c r="A689" s="90"/>
      <c r="B689" s="400">
        <v>46044</v>
      </c>
      <c r="C689" s="401">
        <v>1079</v>
      </c>
      <c r="D689" s="240"/>
      <c r="E689" s="406" t="s">
        <v>769</v>
      </c>
      <c r="F689" s="241"/>
      <c r="G689" s="404" t="s">
        <v>313</v>
      </c>
      <c r="H689" s="249" t="s">
        <v>182</v>
      </c>
      <c r="I689" s="391">
        <v>2</v>
      </c>
      <c r="J689" s="411" t="s">
        <v>215</v>
      </c>
      <c r="K689" s="391" t="s">
        <v>704</v>
      </c>
      <c r="L689" s="106"/>
      <c r="M689" s="252"/>
      <c r="N689" s="138"/>
    </row>
    <row r="690" spans="1:14" s="76" customFormat="1" ht="15" customHeight="1">
      <c r="A690" s="90"/>
      <c r="B690" s="400">
        <v>46044</v>
      </c>
      <c r="C690" s="401">
        <v>1080</v>
      </c>
      <c r="D690" s="240"/>
      <c r="E690" s="406" t="s">
        <v>770</v>
      </c>
      <c r="F690" s="241"/>
      <c r="G690" s="404" t="s">
        <v>771</v>
      </c>
      <c r="H690" s="249" t="s">
        <v>149</v>
      </c>
      <c r="I690" s="391">
        <v>1</v>
      </c>
      <c r="J690" s="411" t="s">
        <v>215</v>
      </c>
      <c r="K690" s="391" t="s">
        <v>704</v>
      </c>
      <c r="L690" s="106"/>
      <c r="M690" s="252"/>
      <c r="N690" s="138"/>
    </row>
    <row r="691" spans="1:14" s="76" customFormat="1" ht="15" customHeight="1">
      <c r="A691" s="90"/>
      <c r="B691" s="400">
        <v>46044</v>
      </c>
      <c r="C691" s="401">
        <v>1081</v>
      </c>
      <c r="D691" s="240"/>
      <c r="E691" s="406" t="s">
        <v>772</v>
      </c>
      <c r="F691" s="241"/>
      <c r="G691" s="404" t="s">
        <v>506</v>
      </c>
      <c r="H691" s="249" t="s">
        <v>185</v>
      </c>
      <c r="I691" s="391">
        <v>1.5</v>
      </c>
      <c r="J691" s="411" t="s">
        <v>215</v>
      </c>
      <c r="K691" s="391" t="s">
        <v>704</v>
      </c>
      <c r="L691" s="106"/>
      <c r="M691" s="283"/>
      <c r="N691" s="138"/>
    </row>
    <row r="692" spans="1:14" s="76" customFormat="1" ht="15" customHeight="1">
      <c r="A692" s="90"/>
      <c r="B692" s="400">
        <v>46044</v>
      </c>
      <c r="C692" s="401">
        <v>1082</v>
      </c>
      <c r="D692" s="240"/>
      <c r="E692" s="406" t="s">
        <v>773</v>
      </c>
      <c r="F692" s="241"/>
      <c r="G692" s="404" t="s">
        <v>232</v>
      </c>
      <c r="H692" s="249" t="s">
        <v>439</v>
      </c>
      <c r="I692" s="391">
        <v>3</v>
      </c>
      <c r="J692" s="411" t="s">
        <v>215</v>
      </c>
      <c r="K692" s="391" t="s">
        <v>704</v>
      </c>
      <c r="L692" s="106"/>
      <c r="M692" s="252"/>
      <c r="N692" s="138"/>
    </row>
    <row r="693" spans="1:14" s="76" customFormat="1" ht="15" customHeight="1">
      <c r="A693" s="90"/>
      <c r="B693" s="400">
        <v>46044</v>
      </c>
      <c r="C693" s="401">
        <v>1083</v>
      </c>
      <c r="D693" s="240"/>
      <c r="E693" s="406" t="s">
        <v>774</v>
      </c>
      <c r="F693" s="241"/>
      <c r="G693" s="404" t="s">
        <v>229</v>
      </c>
      <c r="H693" s="249" t="s">
        <v>185</v>
      </c>
      <c r="I693" s="391">
        <v>1.5</v>
      </c>
      <c r="J693" s="411" t="s">
        <v>215</v>
      </c>
      <c r="K693" s="391" t="s">
        <v>704</v>
      </c>
      <c r="L693" s="106"/>
      <c r="M693" s="252"/>
      <c r="N693" s="138"/>
    </row>
    <row r="694" spans="1:14" s="76" customFormat="1" ht="15" customHeight="1">
      <c r="A694" s="90"/>
      <c r="B694" s="400">
        <v>46044</v>
      </c>
      <c r="C694" s="401">
        <v>1084</v>
      </c>
      <c r="D694" s="240"/>
      <c r="E694" s="406" t="s">
        <v>775</v>
      </c>
      <c r="F694" s="241"/>
      <c r="G694" s="404" t="s">
        <v>393</v>
      </c>
      <c r="H694" s="249" t="s">
        <v>149</v>
      </c>
      <c r="I694" s="391">
        <v>1</v>
      </c>
      <c r="J694" s="411" t="s">
        <v>215</v>
      </c>
      <c r="K694" s="391" t="s">
        <v>704</v>
      </c>
      <c r="L694" s="106"/>
      <c r="M694" s="252"/>
      <c r="N694" s="138"/>
    </row>
    <row r="695" spans="1:14" s="76" customFormat="1" ht="15" customHeight="1">
      <c r="A695" s="90"/>
      <c r="B695" s="400">
        <v>46044</v>
      </c>
      <c r="C695" s="401">
        <v>1085</v>
      </c>
      <c r="D695" s="240"/>
      <c r="E695" s="406" t="s">
        <v>776</v>
      </c>
      <c r="F695" s="241"/>
      <c r="G695" s="404" t="s">
        <v>207</v>
      </c>
      <c r="H695" s="249" t="s">
        <v>159</v>
      </c>
      <c r="I695" s="391">
        <v>0.5</v>
      </c>
      <c r="J695" s="411" t="s">
        <v>215</v>
      </c>
      <c r="K695" s="391" t="s">
        <v>704</v>
      </c>
      <c r="L695" s="106"/>
      <c r="M695" s="252"/>
      <c r="N695" s="138"/>
    </row>
    <row r="696" spans="1:14" s="76" customFormat="1" ht="15" customHeight="1">
      <c r="A696" s="90"/>
      <c r="B696" s="400">
        <v>46046</v>
      </c>
      <c r="C696" s="401">
        <v>1086</v>
      </c>
      <c r="D696" s="240"/>
      <c r="E696" s="406" t="s">
        <v>777</v>
      </c>
      <c r="F696" s="241"/>
      <c r="G696" s="404" t="s">
        <v>164</v>
      </c>
      <c r="H696" s="249" t="s">
        <v>149</v>
      </c>
      <c r="I696" s="391">
        <v>1</v>
      </c>
      <c r="J696" s="411" t="s">
        <v>215</v>
      </c>
      <c r="K696" s="391" t="s">
        <v>704</v>
      </c>
      <c r="L696" s="106"/>
      <c r="M696" s="252"/>
      <c r="N696" s="138"/>
    </row>
    <row r="697" spans="1:14" s="76" customFormat="1" ht="15" customHeight="1">
      <c r="A697" s="90"/>
      <c r="B697" s="400">
        <v>46046</v>
      </c>
      <c r="C697" s="401">
        <v>1087</v>
      </c>
      <c r="D697" s="240"/>
      <c r="E697" s="406" t="s">
        <v>778</v>
      </c>
      <c r="F697" s="241"/>
      <c r="G697" s="404" t="s">
        <v>779</v>
      </c>
      <c r="H697" s="249" t="s">
        <v>383</v>
      </c>
      <c r="I697" s="391">
        <v>3</v>
      </c>
      <c r="J697" s="411" t="s">
        <v>215</v>
      </c>
      <c r="K697" s="391" t="s">
        <v>704</v>
      </c>
      <c r="L697" s="106"/>
      <c r="M697" s="252"/>
      <c r="N697" s="138"/>
    </row>
    <row r="698" spans="1:14" s="76" customFormat="1" ht="15" customHeight="1">
      <c r="A698" s="90"/>
      <c r="B698" s="400">
        <v>46046</v>
      </c>
      <c r="C698" s="401">
        <v>1088</v>
      </c>
      <c r="D698" s="240"/>
      <c r="E698" s="406" t="s">
        <v>780</v>
      </c>
      <c r="F698" s="241"/>
      <c r="G698" s="404" t="s">
        <v>356</v>
      </c>
      <c r="H698" s="391" t="s">
        <v>149</v>
      </c>
      <c r="I698" s="391">
        <v>1</v>
      </c>
      <c r="J698" s="411" t="s">
        <v>215</v>
      </c>
      <c r="K698" s="391" t="s">
        <v>704</v>
      </c>
      <c r="L698" s="106"/>
      <c r="M698" s="252"/>
      <c r="N698" s="138"/>
    </row>
    <row r="699" spans="1:14" s="76" customFormat="1" ht="15" customHeight="1">
      <c r="A699" s="90"/>
      <c r="B699" s="400">
        <v>46046</v>
      </c>
      <c r="C699" s="401">
        <v>1032</v>
      </c>
      <c r="D699" s="240"/>
      <c r="E699" s="406" t="s">
        <v>781</v>
      </c>
      <c r="F699" s="241"/>
      <c r="G699" s="404" t="s">
        <v>252</v>
      </c>
      <c r="H699" s="249" t="s">
        <v>149</v>
      </c>
      <c r="I699" s="391">
        <v>1</v>
      </c>
      <c r="J699" s="411" t="s">
        <v>215</v>
      </c>
      <c r="K699" s="391" t="s">
        <v>704</v>
      </c>
      <c r="L699" s="106"/>
      <c r="M699" s="252"/>
      <c r="N699" s="138"/>
    </row>
    <row r="700" spans="1:14" s="76" customFormat="1" ht="15" customHeight="1">
      <c r="A700" s="90"/>
      <c r="B700" s="400">
        <v>46046</v>
      </c>
      <c r="C700" s="401">
        <v>1032</v>
      </c>
      <c r="D700" s="240"/>
      <c r="E700" s="406" t="s">
        <v>782</v>
      </c>
      <c r="F700" s="241"/>
      <c r="G700" s="404" t="s">
        <v>252</v>
      </c>
      <c r="H700" s="409" t="s">
        <v>783</v>
      </c>
      <c r="I700" s="409">
        <v>4</v>
      </c>
      <c r="J700" s="411" t="s">
        <v>215</v>
      </c>
      <c r="K700" s="409" t="s">
        <v>704</v>
      </c>
      <c r="L700" s="106"/>
      <c r="M700" s="252"/>
      <c r="N700" s="138"/>
    </row>
    <row r="701" spans="1:14" s="76" customFormat="1" ht="15" customHeight="1">
      <c r="A701" s="90"/>
      <c r="B701" s="400">
        <v>46046</v>
      </c>
      <c r="C701" s="401">
        <v>1029</v>
      </c>
      <c r="D701" s="240"/>
      <c r="E701" s="406" t="s">
        <v>784</v>
      </c>
      <c r="F701" s="241"/>
      <c r="G701" s="404" t="s">
        <v>167</v>
      </c>
      <c r="H701" s="391" t="s">
        <v>303</v>
      </c>
      <c r="I701" s="391">
        <v>2</v>
      </c>
      <c r="J701" s="411" t="s">
        <v>215</v>
      </c>
      <c r="K701" s="391" t="s">
        <v>704</v>
      </c>
      <c r="L701" s="106"/>
      <c r="M701" s="252"/>
      <c r="N701" s="138"/>
    </row>
    <row r="702" spans="1:14" s="76" customFormat="1" ht="15" customHeight="1">
      <c r="A702" s="90"/>
      <c r="B702" s="400">
        <v>46046</v>
      </c>
      <c r="C702" s="401">
        <v>1030</v>
      </c>
      <c r="D702" s="240"/>
      <c r="E702" s="406" t="s">
        <v>785</v>
      </c>
      <c r="F702" s="241"/>
      <c r="G702" s="404" t="s">
        <v>311</v>
      </c>
      <c r="H702" s="391" t="s">
        <v>493</v>
      </c>
      <c r="I702" s="391">
        <v>1</v>
      </c>
      <c r="J702" s="411" t="s">
        <v>215</v>
      </c>
      <c r="K702" s="391" t="s">
        <v>704</v>
      </c>
      <c r="L702" s="106"/>
      <c r="M702" s="252"/>
      <c r="N702" s="138"/>
    </row>
    <row r="703" spans="1:14" s="76" customFormat="1" ht="15" customHeight="1">
      <c r="A703" s="90"/>
      <c r="B703" s="400">
        <v>46046</v>
      </c>
      <c r="C703" s="401">
        <v>1031</v>
      </c>
      <c r="D703" s="240"/>
      <c r="E703" s="406" t="s">
        <v>786</v>
      </c>
      <c r="F703" s="241"/>
      <c r="G703" s="404" t="s">
        <v>377</v>
      </c>
      <c r="H703" s="391" t="s">
        <v>493</v>
      </c>
      <c r="I703" s="391">
        <v>1</v>
      </c>
      <c r="J703" s="411" t="s">
        <v>215</v>
      </c>
      <c r="K703" s="391" t="s">
        <v>704</v>
      </c>
      <c r="L703" s="106"/>
      <c r="M703" s="283"/>
      <c r="N703" s="138"/>
    </row>
    <row r="704" spans="1:14" s="76" customFormat="1" ht="15" customHeight="1">
      <c r="A704" s="90"/>
      <c r="B704" s="400">
        <v>46047</v>
      </c>
      <c r="C704" s="401">
        <v>1033</v>
      </c>
      <c r="D704" s="240"/>
      <c r="E704" s="406"/>
      <c r="F704" s="241"/>
      <c r="G704" s="404" t="s">
        <v>158</v>
      </c>
      <c r="H704" s="391" t="s">
        <v>704</v>
      </c>
      <c r="I704" s="391" t="s">
        <v>704</v>
      </c>
      <c r="J704" s="411" t="s">
        <v>215</v>
      </c>
      <c r="K704" s="391" t="s">
        <v>704</v>
      </c>
      <c r="L704" s="106"/>
      <c r="M704" s="252"/>
      <c r="N704" s="138"/>
    </row>
    <row r="705" spans="1:14" s="76" customFormat="1" ht="15" customHeight="1">
      <c r="A705" s="90"/>
      <c r="B705" s="400">
        <v>46044</v>
      </c>
      <c r="C705" s="401">
        <v>552</v>
      </c>
      <c r="D705" s="240"/>
      <c r="E705" s="406" t="s">
        <v>787</v>
      </c>
      <c r="F705" s="241"/>
      <c r="G705" s="404" t="s">
        <v>158</v>
      </c>
      <c r="H705" s="391" t="s">
        <v>182</v>
      </c>
      <c r="I705" s="391">
        <v>2</v>
      </c>
      <c r="J705" s="411" t="s">
        <v>250</v>
      </c>
      <c r="K705" s="391" t="s">
        <v>704</v>
      </c>
      <c r="L705" s="106"/>
      <c r="M705" s="252"/>
      <c r="N705" s="138"/>
    </row>
    <row r="706" spans="1:14" s="76" customFormat="1" ht="15" customHeight="1">
      <c r="A706" s="90"/>
      <c r="B706" s="400">
        <v>46044</v>
      </c>
      <c r="C706" s="401">
        <v>554</v>
      </c>
      <c r="D706" s="240"/>
      <c r="E706" s="406" t="s">
        <v>788</v>
      </c>
      <c r="F706" s="241"/>
      <c r="G706" s="404" t="s">
        <v>361</v>
      </c>
      <c r="H706" s="391" t="s">
        <v>493</v>
      </c>
      <c r="I706" s="391">
        <v>1</v>
      </c>
      <c r="J706" s="411" t="s">
        <v>250</v>
      </c>
      <c r="K706" s="391" t="s">
        <v>704</v>
      </c>
      <c r="L706" s="106"/>
      <c r="M706" s="252"/>
      <c r="N706" s="138"/>
    </row>
    <row r="707" spans="1:14" s="76" customFormat="1" ht="15" customHeight="1">
      <c r="A707" s="90"/>
      <c r="B707" s="400">
        <v>46044</v>
      </c>
      <c r="C707" s="401">
        <v>555</v>
      </c>
      <c r="D707" s="240"/>
      <c r="E707" s="406" t="s">
        <v>789</v>
      </c>
      <c r="F707" s="241"/>
      <c r="G707" s="404" t="s">
        <v>238</v>
      </c>
      <c r="H707" s="391" t="s">
        <v>173</v>
      </c>
      <c r="I707" s="391">
        <v>1.5</v>
      </c>
      <c r="J707" s="411" t="s">
        <v>250</v>
      </c>
      <c r="K707" s="391" t="s">
        <v>704</v>
      </c>
      <c r="L707" s="106"/>
      <c r="M707" s="252"/>
      <c r="N707" s="138"/>
    </row>
    <row r="708" spans="1:14" s="76" customFormat="1" ht="15" customHeight="1">
      <c r="A708" s="90"/>
      <c r="B708" s="400">
        <v>46044</v>
      </c>
      <c r="C708" s="401">
        <v>556</v>
      </c>
      <c r="D708" s="240"/>
      <c r="E708" s="406" t="s">
        <v>790</v>
      </c>
      <c r="F708" s="241"/>
      <c r="G708" s="404" t="s">
        <v>236</v>
      </c>
      <c r="H708" s="391" t="s">
        <v>173</v>
      </c>
      <c r="I708" s="391">
        <v>1.5</v>
      </c>
      <c r="J708" s="411" t="s">
        <v>250</v>
      </c>
      <c r="K708" s="391" t="s">
        <v>704</v>
      </c>
      <c r="L708" s="106"/>
      <c r="M708" s="252"/>
      <c r="N708" s="138"/>
    </row>
    <row r="709" spans="1:14" s="76" customFormat="1" ht="15" customHeight="1">
      <c r="A709" s="90"/>
      <c r="B709" s="400">
        <v>46044</v>
      </c>
      <c r="C709" s="401">
        <v>557</v>
      </c>
      <c r="D709" s="240"/>
      <c r="E709" s="406" t="s">
        <v>791</v>
      </c>
      <c r="F709" s="241"/>
      <c r="G709" s="404" t="s">
        <v>254</v>
      </c>
      <c r="H709" s="391" t="s">
        <v>149</v>
      </c>
      <c r="I709" s="391">
        <v>1</v>
      </c>
      <c r="J709" s="411" t="s">
        <v>250</v>
      </c>
      <c r="K709" s="391" t="s">
        <v>704</v>
      </c>
      <c r="L709" s="106"/>
      <c r="M709" s="283"/>
      <c r="N709" s="138"/>
    </row>
    <row r="710" spans="1:14" s="76" customFormat="1" ht="15" customHeight="1">
      <c r="A710" s="90"/>
      <c r="B710" s="400">
        <v>46044</v>
      </c>
      <c r="C710" s="401">
        <v>558</v>
      </c>
      <c r="D710" s="240"/>
      <c r="E710" s="406" t="s">
        <v>792</v>
      </c>
      <c r="F710" s="241"/>
      <c r="G710" s="404" t="s">
        <v>793</v>
      </c>
      <c r="H710" s="249" t="s">
        <v>720</v>
      </c>
      <c r="I710" s="249">
        <v>4</v>
      </c>
      <c r="J710" s="411" t="s">
        <v>250</v>
      </c>
      <c r="K710" s="249"/>
      <c r="L710" s="106"/>
      <c r="M710" s="252"/>
      <c r="N710" s="138"/>
    </row>
    <row r="711" spans="1:14" s="76" customFormat="1" ht="15" customHeight="1">
      <c r="A711" s="90"/>
      <c r="B711" s="400">
        <v>46045</v>
      </c>
      <c r="C711" s="401">
        <v>559</v>
      </c>
      <c r="D711" s="240"/>
      <c r="E711" s="406" t="s">
        <v>794</v>
      </c>
      <c r="F711" s="241"/>
      <c r="G711" s="404" t="s">
        <v>260</v>
      </c>
      <c r="H711" s="249" t="s">
        <v>149</v>
      </c>
      <c r="I711" s="249">
        <v>1</v>
      </c>
      <c r="J711" s="411" t="s">
        <v>250</v>
      </c>
      <c r="K711" s="249"/>
      <c r="L711" s="106"/>
      <c r="M711" s="252"/>
      <c r="N711" s="138"/>
    </row>
    <row r="712" spans="1:14" s="76" customFormat="1" ht="15" customHeight="1">
      <c r="A712" s="90"/>
      <c r="B712" s="400">
        <v>46045</v>
      </c>
      <c r="C712" s="401">
        <v>560</v>
      </c>
      <c r="D712" s="240"/>
      <c r="E712" s="408" t="s">
        <v>795</v>
      </c>
      <c r="F712" s="241"/>
      <c r="G712" s="404" t="s">
        <v>262</v>
      </c>
      <c r="H712" s="249" t="s">
        <v>173</v>
      </c>
      <c r="I712" s="249">
        <v>1.5</v>
      </c>
      <c r="J712" s="411" t="s">
        <v>250</v>
      </c>
      <c r="K712" s="249"/>
      <c r="L712" s="106"/>
      <c r="M712" s="252"/>
      <c r="N712" s="138"/>
    </row>
    <row r="713" spans="1:14" s="76" customFormat="1" ht="15" customHeight="1">
      <c r="A713" s="90"/>
      <c r="B713" s="400">
        <v>46045</v>
      </c>
      <c r="C713" s="401">
        <v>560</v>
      </c>
      <c r="D713" s="240"/>
      <c r="E713" s="406" t="s">
        <v>796</v>
      </c>
      <c r="F713" s="241"/>
      <c r="G713" s="404" t="s">
        <v>262</v>
      </c>
      <c r="H713" s="249" t="s">
        <v>149</v>
      </c>
      <c r="I713" s="249">
        <v>1</v>
      </c>
      <c r="J713" s="411" t="s">
        <v>250</v>
      </c>
      <c r="K713" s="249"/>
      <c r="L713" s="106"/>
      <c r="M713" s="252"/>
      <c r="N713" s="138"/>
    </row>
    <row r="714" spans="1:14" s="76" customFormat="1" ht="15" customHeight="1">
      <c r="A714" s="90"/>
      <c r="B714" s="400">
        <v>46045</v>
      </c>
      <c r="C714" s="401">
        <v>561</v>
      </c>
      <c r="D714" s="240"/>
      <c r="E714" s="406" t="s">
        <v>797</v>
      </c>
      <c r="F714" s="241"/>
      <c r="G714" s="404" t="s">
        <v>798</v>
      </c>
      <c r="H714" s="249" t="s">
        <v>149</v>
      </c>
      <c r="I714" s="249">
        <v>1</v>
      </c>
      <c r="J714" s="411" t="s">
        <v>250</v>
      </c>
      <c r="K714" s="249"/>
      <c r="L714" s="106"/>
      <c r="M714" s="252"/>
      <c r="N714" s="138"/>
    </row>
    <row r="715" spans="1:14" s="76" customFormat="1" ht="15" customHeight="1">
      <c r="A715" s="90"/>
      <c r="B715" s="400">
        <v>46045</v>
      </c>
      <c r="C715" s="401">
        <v>562</v>
      </c>
      <c r="D715" s="240"/>
      <c r="E715" s="406" t="s">
        <v>799</v>
      </c>
      <c r="F715" s="241"/>
      <c r="G715" s="404" t="s">
        <v>269</v>
      </c>
      <c r="H715" s="249" t="s">
        <v>182</v>
      </c>
      <c r="I715" s="249">
        <v>2</v>
      </c>
      <c r="J715" s="411" t="s">
        <v>250</v>
      </c>
      <c r="K715" s="249"/>
      <c r="L715" s="106"/>
      <c r="M715" s="252"/>
      <c r="N715" s="138"/>
    </row>
    <row r="716" spans="1:14" s="76" customFormat="1" ht="15" customHeight="1">
      <c r="A716" s="90"/>
      <c r="B716" s="400">
        <v>46045</v>
      </c>
      <c r="C716" s="401">
        <v>563</v>
      </c>
      <c r="D716" s="240"/>
      <c r="E716" s="406" t="s">
        <v>800</v>
      </c>
      <c r="F716" s="241"/>
      <c r="G716" s="404" t="s">
        <v>438</v>
      </c>
      <c r="H716" s="249" t="s">
        <v>149</v>
      </c>
      <c r="I716" s="249">
        <v>1</v>
      </c>
      <c r="J716" s="411" t="s">
        <v>250</v>
      </c>
      <c r="K716" s="249"/>
      <c r="L716" s="106"/>
      <c r="M716" s="252"/>
      <c r="N716" s="138"/>
    </row>
    <row r="717" spans="1:14" s="76" customFormat="1" ht="15" customHeight="1">
      <c r="A717" s="90"/>
      <c r="B717" s="400">
        <v>46045</v>
      </c>
      <c r="C717" s="401">
        <v>564</v>
      </c>
      <c r="D717" s="240"/>
      <c r="E717" s="406" t="s">
        <v>801</v>
      </c>
      <c r="F717" s="241"/>
      <c r="G717" s="404" t="s">
        <v>187</v>
      </c>
      <c r="H717" s="249" t="s">
        <v>802</v>
      </c>
      <c r="I717" s="249">
        <v>5</v>
      </c>
      <c r="J717" s="411" t="s">
        <v>250</v>
      </c>
      <c r="K717" s="89"/>
      <c r="L717" s="106"/>
      <c r="M717" s="252"/>
      <c r="N717" s="138"/>
    </row>
    <row r="718" spans="1:14" s="76" customFormat="1" ht="15" customHeight="1">
      <c r="A718" s="90"/>
      <c r="B718" s="400">
        <v>46045</v>
      </c>
      <c r="C718" s="401">
        <v>565</v>
      </c>
      <c r="D718" s="240"/>
      <c r="E718" s="406" t="s">
        <v>803</v>
      </c>
      <c r="F718" s="241"/>
      <c r="G718" s="404" t="s">
        <v>158</v>
      </c>
      <c r="H718" s="249" t="s">
        <v>804</v>
      </c>
      <c r="I718" s="249">
        <v>0.5</v>
      </c>
      <c r="J718" s="411" t="s">
        <v>250</v>
      </c>
      <c r="K718" s="89"/>
      <c r="L718" s="106"/>
      <c r="M718" s="252"/>
      <c r="N718" s="138"/>
    </row>
    <row r="719" spans="1:14" s="76" customFormat="1" ht="15" customHeight="1">
      <c r="A719" s="90"/>
      <c r="B719" s="327"/>
      <c r="C719" s="274"/>
      <c r="D719" s="240"/>
      <c r="E719" s="334"/>
      <c r="F719" s="241"/>
      <c r="G719" s="188"/>
      <c r="H719" s="222"/>
      <c r="I719" s="222"/>
      <c r="J719" s="411"/>
      <c r="K719" s="89"/>
      <c r="L719" s="106"/>
      <c r="M719" s="252"/>
      <c r="N719" s="138"/>
    </row>
    <row r="720" spans="1:14" s="76" customFormat="1" ht="15" customHeight="1">
      <c r="A720" s="90"/>
      <c r="B720" s="327"/>
      <c r="C720" s="330"/>
      <c r="D720" s="240"/>
      <c r="E720" s="334"/>
      <c r="F720" s="241"/>
      <c r="G720" s="188"/>
      <c r="H720" s="121"/>
      <c r="I720" s="132"/>
      <c r="J720" s="411"/>
      <c r="K720" s="89"/>
      <c r="L720" s="106"/>
      <c r="M720" s="252"/>
      <c r="N720" s="138"/>
    </row>
    <row r="721" spans="1:14" s="76" customFormat="1" ht="15" customHeight="1">
      <c r="A721" s="90"/>
      <c r="B721" s="327"/>
      <c r="C721" s="274"/>
      <c r="D721" s="240"/>
      <c r="E721" s="334"/>
      <c r="F721" s="241"/>
      <c r="G721" s="188"/>
      <c r="H721" s="121"/>
      <c r="I721" s="121"/>
      <c r="J721" s="221"/>
      <c r="K721" s="89"/>
      <c r="L721" s="106"/>
      <c r="M721" s="252"/>
      <c r="N721" s="138"/>
    </row>
    <row r="722" spans="1:14" s="76" customFormat="1" ht="15" customHeight="1">
      <c r="A722" s="90"/>
      <c r="B722" s="327"/>
      <c r="C722" s="274"/>
      <c r="D722" s="240"/>
      <c r="E722" s="334"/>
      <c r="F722" s="241"/>
      <c r="G722" s="188"/>
      <c r="H722" s="121"/>
      <c r="I722" s="121"/>
      <c r="J722" s="221"/>
      <c r="K722" s="89"/>
      <c r="L722" s="106"/>
      <c r="M722" s="252"/>
      <c r="N722" s="138"/>
    </row>
    <row r="723" spans="1:14" s="76" customFormat="1" ht="15" customHeight="1">
      <c r="A723" s="90"/>
      <c r="B723" s="327"/>
      <c r="C723" s="330"/>
      <c r="D723" s="240"/>
      <c r="E723" s="334"/>
      <c r="F723" s="241"/>
      <c r="G723" s="188"/>
      <c r="H723" s="121"/>
      <c r="I723" s="132"/>
      <c r="J723" s="221"/>
      <c r="K723" s="89"/>
      <c r="L723" s="106"/>
      <c r="M723" s="252"/>
      <c r="N723" s="138"/>
    </row>
    <row r="724" spans="1:14" s="76" customFormat="1" ht="15" customHeight="1">
      <c r="A724" s="90"/>
      <c r="B724" s="327"/>
      <c r="C724" s="274"/>
      <c r="D724" s="240"/>
      <c r="E724" s="334"/>
      <c r="F724" s="241"/>
      <c r="G724" s="188"/>
      <c r="H724" s="121"/>
      <c r="I724" s="121"/>
      <c r="J724" s="221"/>
      <c r="K724" s="89"/>
      <c r="L724" s="106"/>
      <c r="M724" s="252"/>
      <c r="N724" s="138"/>
    </row>
    <row r="725" spans="1:14" s="76" customFormat="1" ht="15" customHeight="1">
      <c r="A725" s="90"/>
      <c r="B725" s="327"/>
      <c r="C725" s="274"/>
      <c r="D725" s="240"/>
      <c r="E725" s="334"/>
      <c r="F725" s="241"/>
      <c r="G725" s="188"/>
      <c r="H725" s="121"/>
      <c r="I725" s="121"/>
      <c r="J725" s="221"/>
      <c r="K725" s="89"/>
      <c r="L725" s="106"/>
      <c r="M725" s="252"/>
      <c r="N725" s="138"/>
    </row>
    <row r="726" spans="1:14" s="76" customFormat="1" ht="15" customHeight="1">
      <c r="A726" s="90"/>
      <c r="B726" s="327"/>
      <c r="C726" s="330"/>
      <c r="D726" s="240"/>
      <c r="E726" s="334"/>
      <c r="F726" s="241"/>
      <c r="G726" s="188"/>
      <c r="H726" s="222"/>
      <c r="I726" s="239"/>
      <c r="J726" s="221"/>
      <c r="K726" s="89"/>
      <c r="L726" s="106"/>
      <c r="M726" s="283"/>
      <c r="N726" s="138"/>
    </row>
    <row r="727" spans="1:14" s="76" customFormat="1" ht="15" customHeight="1">
      <c r="A727" s="90"/>
      <c r="B727" s="328"/>
      <c r="C727" s="274"/>
      <c r="D727" s="240"/>
      <c r="E727" s="334"/>
      <c r="F727" s="241"/>
      <c r="G727" s="188"/>
      <c r="H727" s="121"/>
      <c r="I727" s="121"/>
      <c r="J727" s="221"/>
      <c r="K727" s="89"/>
      <c r="L727" s="106"/>
      <c r="M727" s="252"/>
      <c r="N727" s="138"/>
    </row>
    <row r="728" spans="1:14" s="76" customFormat="1" ht="15" customHeight="1">
      <c r="A728" s="90"/>
      <c r="B728" s="328"/>
      <c r="C728" s="274"/>
      <c r="D728" s="240"/>
      <c r="E728" s="334"/>
      <c r="F728" s="241"/>
      <c r="G728" s="188"/>
      <c r="H728" s="121"/>
      <c r="I728" s="121"/>
      <c r="J728" s="221"/>
      <c r="K728" s="89"/>
      <c r="L728" s="106"/>
      <c r="M728" s="252"/>
      <c r="N728" s="138"/>
    </row>
    <row r="729" spans="1:14" s="76" customFormat="1" ht="15" customHeight="1">
      <c r="A729" s="90"/>
      <c r="B729" s="328"/>
      <c r="C729" s="274"/>
      <c r="D729" s="240"/>
      <c r="E729" s="334"/>
      <c r="F729" s="241"/>
      <c r="G729" s="188"/>
      <c r="H729" s="121"/>
      <c r="I729" s="121"/>
      <c r="J729" s="221"/>
      <c r="K729" s="89"/>
      <c r="L729" s="106"/>
      <c r="M729" s="252"/>
      <c r="N729" s="138"/>
    </row>
    <row r="730" spans="1:14" s="76" customFormat="1" ht="15" customHeight="1">
      <c r="A730" s="90"/>
      <c r="B730" s="327"/>
      <c r="C730" s="330"/>
      <c r="D730" s="240"/>
      <c r="E730" s="334"/>
      <c r="F730" s="241"/>
      <c r="G730" s="188"/>
      <c r="H730" s="121"/>
      <c r="I730" s="132"/>
      <c r="J730" s="221"/>
      <c r="K730" s="89"/>
      <c r="L730" s="106"/>
      <c r="M730" s="252"/>
      <c r="N730" s="138"/>
    </row>
    <row r="731" spans="1:14" s="76" customFormat="1" ht="15" customHeight="1">
      <c r="A731" s="90"/>
      <c r="B731" s="327"/>
      <c r="C731" s="274"/>
      <c r="D731" s="240"/>
      <c r="E731" s="334"/>
      <c r="F731" s="241"/>
      <c r="G731" s="188"/>
      <c r="H731" s="121"/>
      <c r="I731" s="121"/>
      <c r="J731" s="221"/>
      <c r="K731" s="89"/>
      <c r="L731" s="106"/>
      <c r="M731" s="252"/>
      <c r="N731" s="138"/>
    </row>
    <row r="732" spans="1:14" s="76" customFormat="1" ht="15" customHeight="1">
      <c r="A732" s="90"/>
      <c r="B732" s="327"/>
      <c r="C732" s="274"/>
      <c r="D732" s="240"/>
      <c r="E732" s="334"/>
      <c r="F732" s="241"/>
      <c r="G732" s="188"/>
      <c r="H732" s="121"/>
      <c r="I732" s="121"/>
      <c r="J732" s="221"/>
      <c r="K732" s="89"/>
      <c r="L732" s="106"/>
      <c r="M732" s="252"/>
      <c r="N732" s="138"/>
    </row>
    <row r="733" spans="1:14" s="76" customFormat="1" ht="15" customHeight="1">
      <c r="A733" s="90"/>
      <c r="B733" s="327"/>
      <c r="C733" s="330"/>
      <c r="D733" s="240"/>
      <c r="E733" s="334"/>
      <c r="F733" s="241"/>
      <c r="G733" s="188"/>
      <c r="H733" s="121"/>
      <c r="I733" s="132"/>
      <c r="J733" s="221"/>
      <c r="K733" s="89"/>
      <c r="L733" s="106"/>
      <c r="M733" s="252"/>
      <c r="N733" s="138"/>
    </row>
    <row r="734" spans="1:14" s="76" customFormat="1" ht="15" customHeight="1">
      <c r="A734" s="90"/>
      <c r="B734" s="327"/>
      <c r="C734" s="274"/>
      <c r="D734" s="240"/>
      <c r="E734" s="334"/>
      <c r="F734" s="241"/>
      <c r="G734" s="188"/>
      <c r="H734" s="121"/>
      <c r="I734" s="121"/>
      <c r="J734" s="221"/>
      <c r="K734" s="89"/>
      <c r="L734" s="106"/>
      <c r="M734" s="252"/>
      <c r="N734" s="138"/>
    </row>
    <row r="735" spans="1:14" s="76" customFormat="1" ht="15" customHeight="1">
      <c r="A735" s="90"/>
      <c r="B735" s="327"/>
      <c r="C735" s="274"/>
      <c r="D735" s="240"/>
      <c r="E735" s="334"/>
      <c r="F735" s="241"/>
      <c r="G735" s="188"/>
      <c r="H735" s="121"/>
      <c r="I735" s="121"/>
      <c r="J735" s="221"/>
      <c r="K735" s="89"/>
      <c r="L735" s="106"/>
      <c r="M735" s="252"/>
      <c r="N735" s="138"/>
    </row>
    <row r="736" spans="1:14" s="76" customFormat="1" ht="15" customHeight="1">
      <c r="A736" s="90"/>
      <c r="B736" s="327"/>
      <c r="C736" s="330"/>
      <c r="D736" s="240"/>
      <c r="E736" s="334"/>
      <c r="F736" s="241"/>
      <c r="G736" s="188"/>
      <c r="H736" s="121"/>
      <c r="I736" s="132"/>
      <c r="J736" s="221"/>
      <c r="K736" s="89"/>
      <c r="L736" s="106"/>
      <c r="M736" s="252"/>
      <c r="N736" s="138"/>
    </row>
    <row r="737" spans="1:14" s="76" customFormat="1" ht="15" customHeight="1">
      <c r="A737" s="90"/>
      <c r="B737" s="327"/>
      <c r="C737" s="274"/>
      <c r="D737" s="240"/>
      <c r="E737" s="334"/>
      <c r="F737" s="241"/>
      <c r="G737" s="188"/>
      <c r="H737" s="121"/>
      <c r="I737" s="121"/>
      <c r="J737" s="221"/>
      <c r="K737" s="89"/>
      <c r="L737" s="106"/>
      <c r="M737" s="252"/>
      <c r="N737" s="138"/>
    </row>
    <row r="738" spans="1:14" s="76" customFormat="1" ht="15" customHeight="1">
      <c r="A738" s="90"/>
      <c r="B738" s="327"/>
      <c r="C738" s="330"/>
      <c r="D738" s="240"/>
      <c r="E738" s="334"/>
      <c r="F738" s="241"/>
      <c r="G738" s="188"/>
      <c r="H738" s="121"/>
      <c r="I738" s="132"/>
      <c r="J738" s="221"/>
      <c r="K738" s="89"/>
      <c r="L738" s="106"/>
      <c r="M738" s="252"/>
      <c r="N738" s="138"/>
    </row>
    <row r="739" spans="1:14" s="76" customFormat="1" ht="15" customHeight="1">
      <c r="A739" s="90"/>
      <c r="B739" s="327"/>
      <c r="C739" s="274"/>
      <c r="D739" s="240"/>
      <c r="E739" s="334"/>
      <c r="F739" s="241"/>
      <c r="G739" s="188"/>
      <c r="H739" s="121"/>
      <c r="I739" s="121"/>
      <c r="J739" s="221"/>
      <c r="K739" s="89"/>
      <c r="L739" s="106"/>
      <c r="M739" s="252"/>
      <c r="N739" s="138"/>
    </row>
    <row r="740" spans="1:14" s="76" customFormat="1" ht="15" customHeight="1">
      <c r="A740" s="90"/>
      <c r="B740" s="327"/>
      <c r="C740" s="274"/>
      <c r="D740" s="240"/>
      <c r="E740" s="334"/>
      <c r="F740" s="241"/>
      <c r="G740" s="188"/>
      <c r="H740" s="121"/>
      <c r="I740" s="121"/>
      <c r="J740" s="221"/>
      <c r="K740" s="89"/>
      <c r="L740" s="106"/>
      <c r="M740" s="252"/>
      <c r="N740" s="138"/>
    </row>
    <row r="741" spans="1:14" s="76" customFormat="1" ht="15" customHeight="1">
      <c r="A741" s="90"/>
      <c r="B741" s="327"/>
      <c r="C741" s="330"/>
      <c r="D741" s="240"/>
      <c r="E741" s="334"/>
      <c r="F741" s="241"/>
      <c r="G741" s="188"/>
      <c r="H741" s="121"/>
      <c r="I741" s="132"/>
      <c r="J741" s="221"/>
      <c r="K741" s="89"/>
      <c r="L741" s="106"/>
      <c r="M741" s="283"/>
      <c r="N741" s="138"/>
    </row>
    <row r="742" spans="1:14" s="76" customFormat="1" ht="15" customHeight="1">
      <c r="A742" s="90"/>
      <c r="B742" s="327"/>
      <c r="C742" s="274"/>
      <c r="D742" s="240"/>
      <c r="E742" s="334"/>
      <c r="F742" s="241"/>
      <c r="G742" s="188"/>
      <c r="H742" s="121"/>
      <c r="I742" s="121"/>
      <c r="J742" s="221"/>
      <c r="K742" s="89"/>
      <c r="L742" s="106"/>
      <c r="M742" s="252"/>
      <c r="N742" s="138"/>
    </row>
    <row r="743" spans="1:14" s="76" customFormat="1" ht="15" customHeight="1">
      <c r="A743" s="90"/>
      <c r="B743" s="327"/>
      <c r="C743" s="330"/>
      <c r="D743" s="240"/>
      <c r="E743" s="334"/>
      <c r="F743" s="241"/>
      <c r="G743" s="188"/>
      <c r="H743" s="121"/>
      <c r="I743" s="132"/>
      <c r="J743" s="221"/>
      <c r="K743" s="89"/>
      <c r="L743" s="106"/>
      <c r="M743" s="252"/>
      <c r="N743" s="138"/>
    </row>
    <row r="744" spans="1:14" s="76" customFormat="1" ht="15" customHeight="1">
      <c r="A744" s="90"/>
      <c r="B744" s="327"/>
      <c r="C744" s="274"/>
      <c r="D744" s="240"/>
      <c r="E744" s="334"/>
      <c r="F744" s="241"/>
      <c r="G744" s="188"/>
      <c r="H744" s="121"/>
      <c r="I744" s="121"/>
      <c r="J744" s="221"/>
      <c r="K744" s="89"/>
      <c r="L744" s="106"/>
      <c r="M744" s="252"/>
      <c r="N744" s="138"/>
    </row>
    <row r="745" spans="1:14" s="76" customFormat="1" ht="15" customHeight="1">
      <c r="A745" s="90"/>
      <c r="B745" s="327"/>
      <c r="C745" s="330"/>
      <c r="D745" s="240"/>
      <c r="E745" s="334"/>
      <c r="F745" s="241"/>
      <c r="G745" s="188"/>
      <c r="H745" s="121"/>
      <c r="I745" s="132"/>
      <c r="J745" s="221"/>
      <c r="K745" s="89"/>
      <c r="L745" s="106"/>
      <c r="M745" s="252"/>
      <c r="N745" s="138"/>
    </row>
    <row r="746" spans="1:14" s="76" customFormat="1" ht="15" customHeight="1">
      <c r="A746" s="90"/>
      <c r="B746" s="327"/>
      <c r="C746" s="274"/>
      <c r="D746" s="240"/>
      <c r="E746" s="334"/>
      <c r="F746" s="241"/>
      <c r="G746" s="188"/>
      <c r="H746" s="121"/>
      <c r="I746" s="121"/>
      <c r="J746" s="221"/>
      <c r="K746" s="89"/>
      <c r="L746" s="106"/>
      <c r="M746" s="252"/>
      <c r="N746" s="138"/>
    </row>
    <row r="747" spans="1:14" s="76" customFormat="1" ht="15" customHeight="1">
      <c r="A747" s="90"/>
      <c r="B747" s="327"/>
      <c r="C747" s="330"/>
      <c r="D747" s="240"/>
      <c r="E747" s="334"/>
      <c r="F747" s="241"/>
      <c r="G747" s="188"/>
      <c r="H747" s="121"/>
      <c r="I747" s="132"/>
      <c r="J747" s="221"/>
      <c r="K747" s="89"/>
      <c r="L747" s="106"/>
      <c r="M747" s="252"/>
      <c r="N747" s="138"/>
    </row>
    <row r="748" spans="1:14" s="76" customFormat="1" ht="15" customHeight="1">
      <c r="A748" s="90"/>
      <c r="B748" s="327"/>
      <c r="C748" s="274"/>
      <c r="D748" s="240"/>
      <c r="E748" s="334"/>
      <c r="F748" s="241"/>
      <c r="G748" s="188"/>
      <c r="H748" s="121"/>
      <c r="I748" s="121"/>
      <c r="J748" s="221"/>
      <c r="K748" s="89"/>
      <c r="L748" s="106"/>
      <c r="M748" s="252"/>
      <c r="N748" s="138"/>
    </row>
    <row r="749" spans="1:14" s="76" customFormat="1" ht="15" customHeight="1">
      <c r="A749" s="90"/>
      <c r="B749" s="327"/>
      <c r="C749" s="330"/>
      <c r="D749" s="240"/>
      <c r="E749" s="334"/>
      <c r="F749" s="241"/>
      <c r="G749" s="188"/>
      <c r="H749" s="121"/>
      <c r="I749" s="132"/>
      <c r="J749" s="221"/>
      <c r="K749" s="89"/>
      <c r="L749" s="106"/>
      <c r="M749" s="252"/>
      <c r="N749" s="138"/>
    </row>
    <row r="750" spans="1:14" s="76" customFormat="1" ht="15" customHeight="1">
      <c r="A750" s="90"/>
      <c r="B750" s="327"/>
      <c r="C750" s="274"/>
      <c r="D750" s="240"/>
      <c r="E750" s="334"/>
      <c r="F750" s="241"/>
      <c r="G750" s="188"/>
      <c r="H750" s="121"/>
      <c r="I750" s="121"/>
      <c r="J750" s="221"/>
      <c r="K750" s="89"/>
      <c r="L750" s="106"/>
      <c r="M750" s="252"/>
      <c r="N750" s="138"/>
    </row>
    <row r="751" spans="1:14" s="76" customFormat="1" ht="15" customHeight="1">
      <c r="A751" s="90"/>
      <c r="B751" s="327"/>
      <c r="C751" s="330"/>
      <c r="D751" s="240"/>
      <c r="E751" s="334"/>
      <c r="F751" s="241"/>
      <c r="G751" s="188"/>
      <c r="H751" s="121"/>
      <c r="I751" s="132"/>
      <c r="J751" s="221"/>
      <c r="K751" s="89"/>
      <c r="L751" s="106"/>
      <c r="M751" s="252"/>
      <c r="N751" s="138"/>
    </row>
    <row r="752" spans="1:14" s="76" customFormat="1" ht="15" customHeight="1">
      <c r="A752" s="90"/>
      <c r="B752" s="327"/>
      <c r="C752" s="274"/>
      <c r="D752" s="240"/>
      <c r="E752" s="334"/>
      <c r="F752" s="241"/>
      <c r="G752" s="188"/>
      <c r="H752" s="121"/>
      <c r="I752" s="121"/>
      <c r="J752" s="221"/>
      <c r="K752" s="89"/>
      <c r="L752" s="106"/>
      <c r="M752" s="252"/>
      <c r="N752" s="138"/>
    </row>
    <row r="753" spans="1:14" s="76" customFormat="1" ht="15" customHeight="1">
      <c r="A753" s="90"/>
      <c r="B753" s="327"/>
      <c r="C753" s="330"/>
      <c r="D753" s="240"/>
      <c r="E753" s="334"/>
      <c r="F753" s="241"/>
      <c r="G753" s="188"/>
      <c r="H753" s="121"/>
      <c r="I753" s="132"/>
      <c r="J753" s="221"/>
      <c r="K753" s="89"/>
      <c r="L753" s="106"/>
      <c r="M753" s="283"/>
      <c r="N753" s="138"/>
    </row>
    <row r="754" spans="1:14" s="76" customFormat="1" ht="15" customHeight="1">
      <c r="A754" s="90"/>
      <c r="B754" s="327"/>
      <c r="C754" s="274"/>
      <c r="D754" s="240"/>
      <c r="E754" s="334"/>
      <c r="F754" s="241"/>
      <c r="G754" s="188"/>
      <c r="H754" s="121"/>
      <c r="I754" s="121"/>
      <c r="J754" s="221"/>
      <c r="K754" s="89"/>
      <c r="L754" s="106"/>
      <c r="M754" s="252"/>
      <c r="N754" s="138"/>
    </row>
    <row r="755" spans="1:14" s="76" customFormat="1" ht="15" customHeight="1">
      <c r="A755" s="90"/>
      <c r="B755" s="327"/>
      <c r="C755" s="330"/>
      <c r="D755" s="240"/>
      <c r="E755" s="334"/>
      <c r="F755" s="241"/>
      <c r="G755" s="188"/>
      <c r="H755" s="121"/>
      <c r="I755" s="132"/>
      <c r="J755" s="221"/>
      <c r="K755" s="89"/>
      <c r="L755" s="106"/>
      <c r="M755" s="252"/>
      <c r="N755" s="138"/>
    </row>
    <row r="756" spans="1:14" s="76" customFormat="1" ht="15" customHeight="1">
      <c r="A756" s="90"/>
      <c r="B756" s="327"/>
      <c r="C756" s="274"/>
      <c r="D756" s="240"/>
      <c r="E756" s="334"/>
      <c r="F756" s="241"/>
      <c r="G756" s="188"/>
      <c r="H756" s="121"/>
      <c r="I756" s="121"/>
      <c r="J756" s="221"/>
      <c r="K756" s="89"/>
      <c r="L756" s="106"/>
      <c r="M756" s="252"/>
      <c r="N756" s="138"/>
    </row>
    <row r="757" spans="1:14" s="76" customFormat="1" ht="15" customHeight="1">
      <c r="A757" s="90"/>
      <c r="B757" s="327"/>
      <c r="C757" s="330"/>
      <c r="D757" s="240"/>
      <c r="E757" s="334"/>
      <c r="F757" s="241"/>
      <c r="G757" s="188"/>
      <c r="H757" s="121"/>
      <c r="I757" s="132"/>
      <c r="J757" s="221"/>
      <c r="K757" s="89"/>
      <c r="L757" s="106"/>
      <c r="M757" s="252"/>
      <c r="N757" s="138"/>
    </row>
    <row r="758" spans="1:14" s="76" customFormat="1" ht="15" customHeight="1">
      <c r="A758" s="90"/>
      <c r="B758" s="327"/>
      <c r="C758" s="274"/>
      <c r="D758" s="240"/>
      <c r="E758" s="334"/>
      <c r="F758" s="241"/>
      <c r="G758" s="188"/>
      <c r="H758" s="121"/>
      <c r="I758" s="121"/>
      <c r="J758" s="221"/>
      <c r="K758" s="89"/>
      <c r="L758" s="106"/>
      <c r="M758" s="252"/>
      <c r="N758" s="138"/>
    </row>
    <row r="759" spans="1:14" s="76" customFormat="1" ht="15" customHeight="1">
      <c r="A759" s="90"/>
      <c r="B759" s="327"/>
      <c r="C759" s="330"/>
      <c r="D759" s="240"/>
      <c r="E759" s="334"/>
      <c r="F759" s="241"/>
      <c r="G759" s="188"/>
      <c r="H759" s="121"/>
      <c r="I759" s="132"/>
      <c r="J759" s="221"/>
      <c r="K759" s="89"/>
      <c r="L759" s="106"/>
      <c r="M759" s="252"/>
      <c r="N759" s="138"/>
    </row>
    <row r="760" spans="1:14" s="76" customFormat="1" ht="15" customHeight="1">
      <c r="A760" s="90"/>
      <c r="B760" s="327"/>
      <c r="C760" s="274"/>
      <c r="D760" s="240"/>
      <c r="E760" s="334"/>
      <c r="F760" s="241"/>
      <c r="G760" s="188"/>
      <c r="H760" s="121"/>
      <c r="I760" s="121"/>
      <c r="J760" s="221"/>
      <c r="K760" s="89"/>
      <c r="L760" s="106"/>
      <c r="M760" s="252"/>
      <c r="N760" s="138"/>
    </row>
    <row r="761" spans="1:14" s="76" customFormat="1" ht="15" customHeight="1">
      <c r="A761" s="90"/>
      <c r="B761" s="327"/>
      <c r="C761" s="330"/>
      <c r="D761" s="240"/>
      <c r="E761" s="334"/>
      <c r="F761" s="241"/>
      <c r="G761" s="188"/>
      <c r="H761" s="121"/>
      <c r="I761" s="132"/>
      <c r="J761" s="221"/>
      <c r="K761" s="89"/>
      <c r="L761" s="106"/>
      <c r="M761" s="252"/>
      <c r="N761" s="138"/>
    </row>
    <row r="762" spans="1:14" s="76" customFormat="1" ht="15" customHeight="1">
      <c r="A762" s="90"/>
      <c r="B762" s="327"/>
      <c r="C762" s="274"/>
      <c r="D762" s="240"/>
      <c r="E762" s="334"/>
      <c r="F762" s="241"/>
      <c r="G762" s="188"/>
      <c r="H762" s="121"/>
      <c r="I762" s="121"/>
      <c r="J762" s="221"/>
      <c r="K762" s="89"/>
      <c r="L762" s="106"/>
      <c r="M762" s="252"/>
      <c r="N762" s="138"/>
    </row>
    <row r="763" spans="1:14" s="76" customFormat="1" ht="15" customHeight="1">
      <c r="A763" s="90"/>
      <c r="B763" s="327"/>
      <c r="C763" s="274"/>
      <c r="D763" s="240"/>
      <c r="E763" s="334"/>
      <c r="F763" s="241"/>
      <c r="G763" s="188"/>
      <c r="H763" s="121"/>
      <c r="I763" s="121"/>
      <c r="J763" s="221"/>
      <c r="K763" s="89"/>
      <c r="L763" s="106"/>
      <c r="M763" s="252"/>
      <c r="N763" s="138"/>
    </row>
    <row r="764" spans="1:14" s="76" customFormat="1" ht="15" customHeight="1">
      <c r="A764" s="90"/>
      <c r="B764" s="327"/>
      <c r="C764" s="330"/>
      <c r="D764" s="240"/>
      <c r="E764" s="334"/>
      <c r="F764" s="241"/>
      <c r="G764" s="188"/>
      <c r="H764" s="121"/>
      <c r="I764" s="132"/>
      <c r="J764" s="221"/>
      <c r="K764" s="89"/>
      <c r="L764" s="106"/>
      <c r="M764" s="252"/>
      <c r="N764" s="138"/>
    </row>
    <row r="765" spans="1:14" s="76" customFormat="1" ht="15" customHeight="1">
      <c r="A765" s="90"/>
      <c r="B765" s="327"/>
      <c r="C765" s="274"/>
      <c r="D765" s="240"/>
      <c r="E765" s="334"/>
      <c r="F765" s="241"/>
      <c r="G765" s="188"/>
      <c r="H765" s="121"/>
      <c r="I765" s="121"/>
      <c r="J765" s="221"/>
      <c r="K765" s="89"/>
      <c r="L765" s="106"/>
      <c r="M765" s="252"/>
      <c r="N765" s="138"/>
    </row>
    <row r="766" spans="1:14" s="76" customFormat="1" ht="15" customHeight="1">
      <c r="A766" s="90"/>
      <c r="B766" s="327"/>
      <c r="C766" s="330"/>
      <c r="D766" s="240"/>
      <c r="E766" s="334"/>
      <c r="F766" s="241"/>
      <c r="G766" s="188"/>
      <c r="H766" s="121"/>
      <c r="I766" s="132"/>
      <c r="J766" s="221"/>
      <c r="K766" s="89"/>
      <c r="L766" s="106"/>
      <c r="M766" s="283"/>
      <c r="N766" s="138"/>
    </row>
    <row r="767" spans="1:14" s="76" customFormat="1" ht="15" customHeight="1">
      <c r="A767" s="90"/>
      <c r="B767" s="327"/>
      <c r="C767" s="274"/>
      <c r="D767" s="240"/>
      <c r="E767" s="334"/>
      <c r="F767" s="241"/>
      <c r="G767" s="188"/>
      <c r="H767" s="121"/>
      <c r="I767" s="121"/>
      <c r="J767" s="221"/>
      <c r="K767" s="89"/>
      <c r="L767" s="106"/>
      <c r="M767" s="252"/>
      <c r="N767" s="138"/>
    </row>
    <row r="768" spans="1:14" s="76" customFormat="1" ht="15" customHeight="1">
      <c r="A768" s="90"/>
      <c r="B768" s="327"/>
      <c r="C768" s="330"/>
      <c r="D768" s="240"/>
      <c r="E768" s="334"/>
      <c r="F768" s="241"/>
      <c r="G768" s="188"/>
      <c r="H768" s="121"/>
      <c r="I768" s="132"/>
      <c r="J768" s="221"/>
      <c r="K768" s="89"/>
      <c r="L768" s="106"/>
      <c r="M768" s="252"/>
      <c r="N768" s="138"/>
    </row>
    <row r="769" spans="1:14" s="76" customFormat="1" ht="15" customHeight="1">
      <c r="A769" s="90"/>
      <c r="B769" s="327"/>
      <c r="C769" s="274"/>
      <c r="D769" s="240"/>
      <c r="E769" s="334"/>
      <c r="F769" s="241"/>
      <c r="G769" s="188"/>
      <c r="H769" s="121"/>
      <c r="I769" s="121"/>
      <c r="J769" s="221"/>
      <c r="K769" s="89"/>
      <c r="L769" s="106"/>
      <c r="M769" s="252"/>
      <c r="N769" s="138"/>
    </row>
    <row r="770" spans="1:14" s="76" customFormat="1" ht="15" customHeight="1">
      <c r="A770" s="90"/>
      <c r="B770" s="327"/>
      <c r="C770" s="330"/>
      <c r="D770" s="240"/>
      <c r="E770" s="334"/>
      <c r="F770" s="241"/>
      <c r="G770" s="188"/>
      <c r="H770" s="121"/>
      <c r="I770" s="132"/>
      <c r="J770" s="221"/>
      <c r="K770" s="89"/>
      <c r="L770" s="106"/>
      <c r="M770" s="252"/>
      <c r="N770" s="138"/>
    </row>
    <row r="771" spans="1:14" s="76" customFormat="1" ht="15" customHeight="1">
      <c r="A771" s="90"/>
      <c r="B771" s="327"/>
      <c r="C771" s="274"/>
      <c r="D771" s="240"/>
      <c r="E771" s="334"/>
      <c r="F771" s="241"/>
      <c r="G771" s="188"/>
      <c r="H771" s="121"/>
      <c r="I771" s="121"/>
      <c r="J771" s="221"/>
      <c r="K771" s="89"/>
      <c r="L771" s="106"/>
      <c r="M771" s="252"/>
      <c r="N771" s="138"/>
    </row>
    <row r="772" spans="1:14" s="76" customFormat="1" ht="15" customHeight="1">
      <c r="A772" s="90"/>
      <c r="B772" s="327"/>
      <c r="C772" s="330"/>
      <c r="D772" s="240"/>
      <c r="E772" s="334"/>
      <c r="F772" s="241"/>
      <c r="G772" s="188"/>
      <c r="H772" s="121"/>
      <c r="I772" s="132"/>
      <c r="J772" s="221"/>
      <c r="K772" s="89"/>
      <c r="L772" s="106"/>
      <c r="M772" s="252"/>
      <c r="N772" s="138"/>
    </row>
    <row r="773" spans="1:14" s="76" customFormat="1" ht="15" customHeight="1">
      <c r="A773" s="90"/>
      <c r="B773" s="327"/>
      <c r="C773" s="274"/>
      <c r="D773" s="240"/>
      <c r="E773" s="334"/>
      <c r="F773" s="241"/>
      <c r="G773" s="188"/>
      <c r="H773" s="121"/>
      <c r="I773" s="121"/>
      <c r="J773" s="221"/>
      <c r="K773" s="89"/>
      <c r="L773" s="106"/>
      <c r="M773" s="252"/>
      <c r="N773" s="138"/>
    </row>
    <row r="774" spans="1:14" s="76" customFormat="1" ht="15" customHeight="1">
      <c r="A774" s="90"/>
      <c r="B774" s="327"/>
      <c r="C774" s="330"/>
      <c r="D774" s="240"/>
      <c r="E774" s="334"/>
      <c r="F774" s="241"/>
      <c r="G774" s="188"/>
      <c r="H774" s="121"/>
      <c r="I774" s="132"/>
      <c r="J774" s="221"/>
      <c r="K774" s="89"/>
      <c r="L774" s="106"/>
      <c r="M774" s="252"/>
      <c r="N774" s="138"/>
    </row>
    <row r="775" spans="1:14" s="76" customFormat="1" ht="15" customHeight="1">
      <c r="A775" s="90"/>
      <c r="B775" s="327"/>
      <c r="C775" s="274"/>
      <c r="D775" s="240"/>
      <c r="E775" s="334"/>
      <c r="F775" s="241"/>
      <c r="G775" s="188"/>
      <c r="H775" s="121"/>
      <c r="I775" s="121"/>
      <c r="J775" s="221"/>
      <c r="K775" s="89"/>
      <c r="L775" s="106"/>
      <c r="M775" s="252"/>
      <c r="N775" s="138"/>
    </row>
    <row r="776" spans="1:14" s="76" customFormat="1" ht="15" customHeight="1">
      <c r="A776" s="90"/>
      <c r="B776" s="327"/>
      <c r="C776" s="330"/>
      <c r="D776" s="240"/>
      <c r="E776" s="334"/>
      <c r="F776" s="241"/>
      <c r="G776" s="188"/>
      <c r="H776" s="121"/>
      <c r="I776" s="132"/>
      <c r="J776" s="221"/>
      <c r="K776" s="89"/>
      <c r="L776" s="106"/>
      <c r="M776" s="252"/>
      <c r="N776" s="138"/>
    </row>
    <row r="777" spans="1:14" s="76" customFormat="1" ht="15" customHeight="1">
      <c r="A777" s="90"/>
      <c r="B777" s="327"/>
      <c r="C777" s="274"/>
      <c r="D777" s="240"/>
      <c r="E777" s="334"/>
      <c r="F777" s="241"/>
      <c r="G777" s="188"/>
      <c r="H777" s="121"/>
      <c r="I777" s="121"/>
      <c r="J777" s="221"/>
      <c r="K777" s="89"/>
      <c r="L777" s="106"/>
      <c r="M777" s="252"/>
      <c r="N777" s="138"/>
    </row>
    <row r="778" spans="1:14" s="76" customFormat="1" ht="15" customHeight="1">
      <c r="A778" s="90"/>
      <c r="B778" s="327"/>
      <c r="C778" s="330"/>
      <c r="D778" s="240"/>
      <c r="E778" s="334"/>
      <c r="F778" s="241"/>
      <c r="G778" s="188"/>
      <c r="H778" s="121"/>
      <c r="I778" s="132"/>
      <c r="J778" s="221"/>
      <c r="K778" s="89"/>
      <c r="L778" s="106"/>
      <c r="M778" s="283"/>
      <c r="N778" s="138"/>
    </row>
    <row r="779" spans="1:14" s="76" customFormat="1" ht="15" customHeight="1">
      <c r="A779" s="90"/>
      <c r="B779" s="327"/>
      <c r="C779" s="274"/>
      <c r="D779" s="240"/>
      <c r="E779" s="334"/>
      <c r="F779" s="241"/>
      <c r="G779" s="188"/>
      <c r="H779" s="121"/>
      <c r="I779" s="121"/>
      <c r="J779" s="221"/>
      <c r="K779" s="89"/>
      <c r="L779" s="106"/>
      <c r="M779" s="252"/>
      <c r="N779" s="138"/>
    </row>
    <row r="780" spans="1:14" s="76" customFormat="1" ht="15" customHeight="1">
      <c r="A780" s="90"/>
      <c r="B780" s="327"/>
      <c r="C780" s="330"/>
      <c r="D780" s="240"/>
      <c r="E780" s="334"/>
      <c r="F780" s="241"/>
      <c r="G780" s="188"/>
      <c r="H780" s="121"/>
      <c r="I780" s="132"/>
      <c r="J780" s="221"/>
      <c r="K780" s="89"/>
      <c r="L780" s="106"/>
      <c r="M780" s="252"/>
      <c r="N780" s="138"/>
    </row>
    <row r="781" spans="1:14" s="76" customFormat="1" ht="15" customHeight="1">
      <c r="A781" s="90"/>
      <c r="B781" s="327"/>
      <c r="C781" s="274"/>
      <c r="D781" s="240"/>
      <c r="E781" s="334"/>
      <c r="F781" s="241"/>
      <c r="G781" s="188"/>
      <c r="H781" s="121"/>
      <c r="I781" s="121"/>
      <c r="J781" s="221"/>
      <c r="K781" s="89"/>
      <c r="L781" s="106"/>
      <c r="M781" s="252"/>
      <c r="N781" s="138"/>
    </row>
    <row r="782" spans="1:14" s="76" customFormat="1" ht="15" customHeight="1">
      <c r="A782" s="90"/>
      <c r="B782" s="327"/>
      <c r="C782" s="330"/>
      <c r="D782" s="240"/>
      <c r="E782" s="334"/>
      <c r="F782" s="241"/>
      <c r="G782" s="188"/>
      <c r="H782" s="121"/>
      <c r="I782" s="132"/>
      <c r="J782" s="221"/>
      <c r="K782" s="89"/>
      <c r="L782" s="106"/>
      <c r="M782" s="252"/>
      <c r="N782" s="138"/>
    </row>
    <row r="783" spans="1:14" s="76" customFormat="1" ht="15" customHeight="1">
      <c r="A783" s="90"/>
      <c r="B783" s="327"/>
      <c r="C783" s="274"/>
      <c r="D783" s="240"/>
      <c r="E783" s="334"/>
      <c r="F783" s="241"/>
      <c r="G783" s="188"/>
      <c r="H783" s="121"/>
      <c r="I783" s="121"/>
      <c r="J783" s="221"/>
      <c r="K783" s="89"/>
      <c r="L783" s="106"/>
      <c r="M783" s="252"/>
      <c r="N783" s="138"/>
    </row>
    <row r="784" spans="1:14" s="76" customFormat="1" ht="15" customHeight="1">
      <c r="A784" s="90"/>
      <c r="B784" s="327"/>
      <c r="C784" s="330"/>
      <c r="D784" s="240"/>
      <c r="E784" s="334"/>
      <c r="F784" s="241"/>
      <c r="G784" s="188"/>
      <c r="H784" s="121"/>
      <c r="I784" s="132"/>
      <c r="J784" s="221"/>
      <c r="K784" s="89"/>
      <c r="L784" s="106"/>
      <c r="M784" s="252"/>
      <c r="N784" s="138"/>
    </row>
    <row r="785" spans="1:14" s="76" customFormat="1" ht="15" customHeight="1">
      <c r="A785" s="90"/>
      <c r="B785" s="327"/>
      <c r="C785" s="274"/>
      <c r="D785" s="240"/>
      <c r="E785" s="334"/>
      <c r="F785" s="241"/>
      <c r="G785" s="188"/>
      <c r="H785" s="121"/>
      <c r="I785" s="121"/>
      <c r="J785" s="221"/>
      <c r="K785" s="89"/>
      <c r="L785" s="106"/>
      <c r="M785" s="252"/>
      <c r="N785" s="138"/>
    </row>
    <row r="786" spans="1:14" s="76" customFormat="1" ht="15" customHeight="1">
      <c r="A786" s="90"/>
      <c r="B786" s="327"/>
      <c r="C786" s="330"/>
      <c r="D786" s="240"/>
      <c r="E786" s="334"/>
      <c r="F786" s="241"/>
      <c r="G786" s="188"/>
      <c r="H786" s="121"/>
      <c r="I786" s="132"/>
      <c r="J786" s="221"/>
      <c r="K786" s="89"/>
      <c r="L786" s="106"/>
      <c r="M786" s="252"/>
      <c r="N786" s="138"/>
    </row>
    <row r="787" spans="1:14" s="76" customFormat="1" ht="15" customHeight="1">
      <c r="A787" s="90"/>
      <c r="B787" s="327"/>
      <c r="C787" s="274"/>
      <c r="D787" s="240"/>
      <c r="E787" s="334"/>
      <c r="F787" s="241"/>
      <c r="G787" s="188"/>
      <c r="H787" s="121"/>
      <c r="I787" s="121"/>
      <c r="J787" s="221"/>
      <c r="K787" s="89"/>
      <c r="L787" s="106"/>
      <c r="M787" s="252"/>
      <c r="N787" s="138"/>
    </row>
    <row r="788" spans="1:14" s="76" customFormat="1" ht="15" customHeight="1">
      <c r="A788" s="90"/>
      <c r="B788" s="327"/>
      <c r="C788" s="330"/>
      <c r="D788" s="240"/>
      <c r="E788" s="334"/>
      <c r="F788" s="241"/>
      <c r="G788" s="188"/>
      <c r="H788" s="121"/>
      <c r="I788" s="132"/>
      <c r="J788" s="221"/>
      <c r="K788" s="89"/>
      <c r="L788" s="106"/>
      <c r="M788" s="252"/>
      <c r="N788" s="138"/>
    </row>
    <row r="789" spans="1:14" s="76" customFormat="1" ht="15" customHeight="1">
      <c r="A789" s="90"/>
      <c r="B789" s="327"/>
      <c r="C789" s="274"/>
      <c r="D789" s="240"/>
      <c r="E789" s="334"/>
      <c r="F789" s="241"/>
      <c r="G789" s="188"/>
      <c r="H789" s="121"/>
      <c r="I789" s="121"/>
      <c r="J789" s="221"/>
      <c r="K789" s="89"/>
      <c r="L789" s="106"/>
      <c r="M789" s="252"/>
      <c r="N789" s="138"/>
    </row>
    <row r="790" spans="1:14" s="76" customFormat="1" ht="15" customHeight="1">
      <c r="A790" s="90"/>
      <c r="B790" s="327"/>
      <c r="C790" s="330"/>
      <c r="D790" s="240"/>
      <c r="E790" s="334"/>
      <c r="F790" s="241"/>
      <c r="G790" s="188"/>
      <c r="H790" s="121"/>
      <c r="I790" s="132"/>
      <c r="J790" s="221"/>
      <c r="K790" s="89"/>
      <c r="L790" s="106"/>
      <c r="M790" s="283"/>
      <c r="N790" s="138"/>
    </row>
    <row r="791" spans="1:14" s="76" customFormat="1" ht="15" customHeight="1">
      <c r="A791" s="90"/>
      <c r="B791" s="327"/>
      <c r="C791" s="274"/>
      <c r="D791" s="240"/>
      <c r="E791" s="334"/>
      <c r="F791" s="241"/>
      <c r="G791" s="188"/>
      <c r="H791" s="121"/>
      <c r="I791" s="121"/>
      <c r="J791" s="221"/>
      <c r="K791" s="89"/>
      <c r="L791" s="106"/>
      <c r="M791" s="252"/>
      <c r="N791" s="138"/>
    </row>
    <row r="792" spans="1:14" s="76" customFormat="1" ht="15" customHeight="1">
      <c r="A792" s="90"/>
      <c r="B792" s="329"/>
      <c r="C792" s="331"/>
      <c r="D792" s="240"/>
      <c r="E792" s="334"/>
      <c r="F792" s="241"/>
      <c r="G792" s="188"/>
      <c r="H792" s="121"/>
      <c r="I792" s="132"/>
      <c r="J792" s="221"/>
      <c r="K792" s="89"/>
      <c r="L792" s="106"/>
      <c r="M792" s="252"/>
      <c r="N792" s="138"/>
    </row>
    <row r="793" spans="1:14" s="76" customFormat="1" ht="15" customHeight="1">
      <c r="A793" s="90"/>
      <c r="B793" s="329"/>
      <c r="C793" s="332"/>
      <c r="D793" s="240"/>
      <c r="E793" s="334"/>
      <c r="F793" s="241"/>
      <c r="G793" s="188"/>
      <c r="H793" s="121"/>
      <c r="I793" s="121"/>
      <c r="J793" s="221"/>
      <c r="K793" s="89"/>
      <c r="L793" s="106"/>
      <c r="M793" s="252"/>
      <c r="N793" s="138"/>
    </row>
    <row r="794" spans="1:14" s="76" customFormat="1" ht="15" customHeight="1">
      <c r="A794" s="90"/>
      <c r="B794" s="327"/>
      <c r="C794" s="330"/>
      <c r="D794" s="240"/>
      <c r="E794" s="334"/>
      <c r="F794" s="241"/>
      <c r="G794" s="188"/>
      <c r="H794" s="121"/>
      <c r="I794" s="132"/>
      <c r="J794" s="221"/>
      <c r="K794" s="89"/>
      <c r="L794" s="106"/>
      <c r="M794" s="252"/>
      <c r="N794" s="138"/>
    </row>
    <row r="795" spans="1:14" s="76" customFormat="1" ht="15" customHeight="1">
      <c r="A795" s="90"/>
      <c r="B795" s="327"/>
      <c r="C795" s="274"/>
      <c r="D795" s="240"/>
      <c r="E795" s="334"/>
      <c r="F795" s="241"/>
      <c r="G795" s="188"/>
      <c r="H795" s="121"/>
      <c r="I795" s="121"/>
      <c r="J795" s="221"/>
      <c r="K795" s="89"/>
      <c r="L795" s="106"/>
      <c r="M795" s="252"/>
      <c r="N795" s="138"/>
    </row>
    <row r="796" spans="1:14" s="76" customFormat="1" ht="15" customHeight="1">
      <c r="A796" s="90"/>
      <c r="B796" s="327"/>
      <c r="C796" s="274"/>
      <c r="D796" s="240"/>
      <c r="E796" s="334"/>
      <c r="F796" s="241"/>
      <c r="G796" s="188"/>
      <c r="H796" s="121"/>
      <c r="I796" s="121"/>
      <c r="J796" s="221"/>
      <c r="K796" s="89"/>
      <c r="L796" s="106"/>
      <c r="M796" s="252"/>
      <c r="N796" s="138"/>
    </row>
    <row r="797" spans="1:14" s="76" customFormat="1" ht="15" customHeight="1">
      <c r="A797" s="90"/>
      <c r="B797" s="327"/>
      <c r="C797" s="274"/>
      <c r="D797" s="240"/>
      <c r="E797" s="334"/>
      <c r="F797" s="241"/>
      <c r="G797" s="188"/>
      <c r="H797" s="121"/>
      <c r="I797" s="121"/>
      <c r="J797" s="221"/>
      <c r="K797" s="89"/>
      <c r="L797" s="106"/>
      <c r="M797" s="252"/>
      <c r="N797" s="138"/>
    </row>
    <row r="798" spans="1:14" s="76" customFormat="1" ht="15" customHeight="1">
      <c r="A798" s="90"/>
      <c r="B798" s="327"/>
      <c r="C798" s="330"/>
      <c r="D798" s="240"/>
      <c r="E798" s="334"/>
      <c r="F798" s="241"/>
      <c r="G798" s="188"/>
      <c r="H798" s="121"/>
      <c r="I798" s="132"/>
      <c r="J798" s="221"/>
      <c r="K798" s="89"/>
      <c r="L798" s="106"/>
      <c r="M798" s="252"/>
      <c r="N798" s="138"/>
    </row>
    <row r="799" spans="1:14" s="76" customFormat="1" ht="15" customHeight="1">
      <c r="A799" s="90"/>
      <c r="B799" s="327"/>
      <c r="C799" s="274"/>
      <c r="D799" s="240"/>
      <c r="E799" s="334"/>
      <c r="F799" s="241"/>
      <c r="G799" s="188"/>
      <c r="H799" s="121"/>
      <c r="I799" s="121"/>
      <c r="J799" s="221"/>
      <c r="K799" s="89"/>
      <c r="L799" s="106"/>
      <c r="M799" s="252"/>
      <c r="N799" s="138"/>
    </row>
    <row r="800" spans="1:14" s="76" customFormat="1" ht="15" customHeight="1">
      <c r="A800" s="90"/>
      <c r="B800" s="327"/>
      <c r="C800" s="274"/>
      <c r="D800" s="240"/>
      <c r="E800" s="334"/>
      <c r="F800" s="241"/>
      <c r="G800" s="188"/>
      <c r="H800" s="121"/>
      <c r="I800" s="121"/>
      <c r="J800" s="221"/>
      <c r="K800" s="89"/>
      <c r="L800" s="106"/>
      <c r="M800" s="252"/>
      <c r="N800" s="138"/>
    </row>
    <row r="801" spans="1:14" s="76" customFormat="1" ht="15" customHeight="1">
      <c r="A801" s="90"/>
      <c r="B801" s="327"/>
      <c r="C801" s="330"/>
      <c r="D801" s="240"/>
      <c r="E801" s="334"/>
      <c r="F801" s="241"/>
      <c r="G801" s="188"/>
      <c r="H801" s="121"/>
      <c r="I801" s="132"/>
      <c r="J801" s="221"/>
      <c r="K801" s="89"/>
      <c r="L801" s="106"/>
      <c r="M801" s="252"/>
      <c r="N801" s="138"/>
    </row>
    <row r="802" spans="1:14" s="76" customFormat="1" ht="15" customHeight="1">
      <c r="A802" s="90"/>
      <c r="B802" s="327"/>
      <c r="C802" s="274"/>
      <c r="D802" s="240"/>
      <c r="E802" s="334"/>
      <c r="F802" s="241"/>
      <c r="G802" s="188"/>
      <c r="H802" s="121"/>
      <c r="I802" s="121"/>
      <c r="J802" s="221"/>
      <c r="K802" s="89"/>
      <c r="L802" s="106"/>
      <c r="M802" s="252"/>
      <c r="N802" s="138"/>
    </row>
    <row r="803" spans="1:14" s="76" customFormat="1" ht="15" customHeight="1">
      <c r="A803" s="90"/>
      <c r="B803" s="327"/>
      <c r="C803" s="330"/>
      <c r="D803" s="240"/>
      <c r="E803" s="334"/>
      <c r="F803" s="241"/>
      <c r="G803" s="274"/>
      <c r="H803" s="121"/>
      <c r="I803" s="132"/>
      <c r="J803" s="221"/>
      <c r="K803" s="89"/>
      <c r="L803" s="106"/>
      <c r="M803" s="283"/>
      <c r="N803" s="138"/>
    </row>
    <row r="804" spans="1:14" s="76" customFormat="1" ht="15" customHeight="1">
      <c r="A804" s="90"/>
      <c r="B804" s="327"/>
      <c r="C804" s="274"/>
      <c r="D804" s="240"/>
      <c r="E804" s="334"/>
      <c r="F804" s="241"/>
      <c r="G804" s="188"/>
      <c r="H804" s="121"/>
      <c r="I804" s="121"/>
      <c r="J804" s="221"/>
      <c r="K804" s="89"/>
      <c r="L804" s="106"/>
      <c r="M804" s="252"/>
      <c r="N804" s="138"/>
    </row>
    <row r="805" spans="1:14" s="76" customFormat="1" ht="15" customHeight="1">
      <c r="A805" s="90"/>
      <c r="B805" s="327"/>
      <c r="C805" s="330"/>
      <c r="D805" s="240"/>
      <c r="E805" s="334"/>
      <c r="F805" s="241"/>
      <c r="G805" s="188"/>
      <c r="H805" s="121"/>
      <c r="I805" s="132"/>
      <c r="J805" s="221"/>
      <c r="K805" s="89"/>
      <c r="L805" s="106"/>
      <c r="M805" s="252"/>
      <c r="N805" s="138"/>
    </row>
    <row r="806" spans="1:14" s="76" customFormat="1" ht="15" customHeight="1">
      <c r="A806" s="90"/>
      <c r="B806" s="327"/>
      <c r="C806" s="274"/>
      <c r="D806" s="240"/>
      <c r="E806" s="334"/>
      <c r="F806" s="241"/>
      <c r="G806" s="188"/>
      <c r="H806" s="121"/>
      <c r="I806" s="121"/>
      <c r="J806" s="221"/>
      <c r="K806" s="89"/>
      <c r="L806" s="106"/>
      <c r="M806" s="252"/>
      <c r="N806" s="138"/>
    </row>
    <row r="807" spans="1:14" s="76" customFormat="1" ht="15" customHeight="1">
      <c r="A807" s="90"/>
      <c r="B807" s="327"/>
      <c r="C807" s="330"/>
      <c r="D807" s="240"/>
      <c r="E807" s="334"/>
      <c r="F807" s="241"/>
      <c r="G807" s="188"/>
      <c r="H807" s="121"/>
      <c r="I807" s="132"/>
      <c r="J807" s="221"/>
      <c r="K807" s="89"/>
      <c r="L807" s="106"/>
      <c r="M807" s="252"/>
      <c r="N807" s="138"/>
    </row>
    <row r="808" spans="1:14" s="76" customFormat="1" ht="15" customHeight="1">
      <c r="A808" s="90"/>
      <c r="B808" s="327"/>
      <c r="C808" s="274"/>
      <c r="D808" s="240"/>
      <c r="E808" s="334"/>
      <c r="F808" s="241"/>
      <c r="G808" s="188"/>
      <c r="H808" s="121"/>
      <c r="I808" s="121"/>
      <c r="J808" s="221"/>
      <c r="K808" s="89"/>
      <c r="L808" s="106"/>
      <c r="M808" s="252"/>
      <c r="N808" s="138"/>
    </row>
    <row r="809" spans="1:14" s="76" customFormat="1" ht="15" customHeight="1">
      <c r="A809" s="90"/>
      <c r="B809" s="327"/>
      <c r="C809" s="330"/>
      <c r="D809" s="240"/>
      <c r="E809" s="334"/>
      <c r="F809" s="241"/>
      <c r="G809" s="188"/>
      <c r="H809" s="121"/>
      <c r="I809" s="132"/>
      <c r="J809" s="221"/>
      <c r="K809" s="89"/>
      <c r="L809" s="106"/>
      <c r="M809" s="252"/>
      <c r="N809" s="138"/>
    </row>
    <row r="810" spans="1:14" s="76" customFormat="1" ht="15" customHeight="1">
      <c r="A810" s="90"/>
      <c r="B810" s="327"/>
      <c r="C810" s="274"/>
      <c r="D810" s="240"/>
      <c r="E810" s="334"/>
      <c r="F810" s="241"/>
      <c r="G810" s="188"/>
      <c r="H810" s="121"/>
      <c r="I810" s="121"/>
      <c r="J810" s="221"/>
      <c r="K810" s="89"/>
      <c r="L810" s="106"/>
      <c r="M810" s="252"/>
      <c r="N810" s="138"/>
    </row>
    <row r="811" spans="1:14" s="76" customFormat="1" ht="15" customHeight="1">
      <c r="A811" s="90"/>
      <c r="B811" s="327"/>
      <c r="C811" s="330"/>
      <c r="D811" s="240"/>
      <c r="E811" s="334"/>
      <c r="F811" s="241"/>
      <c r="G811" s="188"/>
      <c r="H811" s="121"/>
      <c r="I811" s="132"/>
      <c r="J811" s="221"/>
      <c r="K811" s="89"/>
      <c r="L811" s="106"/>
      <c r="M811" s="252"/>
      <c r="N811" s="138"/>
    </row>
    <row r="812" spans="1:14" s="76" customFormat="1" ht="15" customHeight="1">
      <c r="A812" s="90"/>
      <c r="B812" s="327"/>
      <c r="C812" s="274"/>
      <c r="D812" s="240"/>
      <c r="E812" s="334"/>
      <c r="F812" s="241"/>
      <c r="G812" s="188"/>
      <c r="H812" s="121"/>
      <c r="I812" s="121"/>
      <c r="J812" s="221"/>
      <c r="K812" s="89"/>
      <c r="L812" s="106"/>
      <c r="M812" s="252"/>
      <c r="N812" s="138"/>
    </row>
    <row r="813" spans="1:14" s="76" customFormat="1" ht="15" customHeight="1">
      <c r="A813" s="90"/>
      <c r="B813" s="327"/>
      <c r="C813" s="274"/>
      <c r="D813" s="240"/>
      <c r="E813" s="334"/>
      <c r="F813" s="241"/>
      <c r="G813" s="188"/>
      <c r="H813" s="121"/>
      <c r="I813" s="121"/>
      <c r="J813" s="221"/>
      <c r="K813" s="89"/>
      <c r="L813" s="106"/>
      <c r="M813" s="252"/>
      <c r="N813" s="138"/>
    </row>
    <row r="814" spans="1:14" s="76" customFormat="1" ht="15" customHeight="1">
      <c r="A814" s="90"/>
      <c r="B814" s="327"/>
      <c r="C814" s="274"/>
      <c r="D814" s="240"/>
      <c r="E814" s="334"/>
      <c r="F814" s="241"/>
      <c r="G814" s="188"/>
      <c r="H814" s="121"/>
      <c r="I814" s="121"/>
      <c r="J814" s="221"/>
      <c r="K814" s="89"/>
      <c r="L814" s="106"/>
      <c r="M814" s="252"/>
      <c r="N814" s="138"/>
    </row>
    <row r="815" spans="1:14" s="76" customFormat="1" ht="15" customHeight="1">
      <c r="A815" s="90"/>
      <c r="B815" s="327"/>
      <c r="C815" s="330"/>
      <c r="D815" s="240"/>
      <c r="E815" s="334"/>
      <c r="F815" s="241"/>
      <c r="G815" s="188"/>
      <c r="H815" s="121"/>
      <c r="I815" s="132"/>
      <c r="J815" s="221"/>
      <c r="K815" s="89"/>
      <c r="L815" s="106"/>
      <c r="M815" s="283"/>
      <c r="N815" s="138"/>
    </row>
    <row r="816" spans="1:14" s="76" customFormat="1" ht="15" customHeight="1">
      <c r="A816" s="90"/>
      <c r="B816" s="327"/>
      <c r="C816" s="274"/>
      <c r="D816" s="240"/>
      <c r="E816" s="334"/>
      <c r="F816" s="241"/>
      <c r="G816" s="188"/>
      <c r="H816" s="121"/>
      <c r="I816" s="121"/>
      <c r="J816" s="221"/>
      <c r="K816" s="89"/>
      <c r="L816" s="106"/>
      <c r="M816" s="252"/>
      <c r="N816" s="138"/>
    </row>
    <row r="817" spans="1:14" s="76" customFormat="1" ht="15" customHeight="1">
      <c r="A817" s="90"/>
      <c r="B817" s="327"/>
      <c r="C817" s="330"/>
      <c r="D817" s="240"/>
      <c r="E817" s="334"/>
      <c r="F817" s="241"/>
      <c r="G817" s="188"/>
      <c r="H817" s="121"/>
      <c r="I817" s="132"/>
      <c r="J817" s="221"/>
      <c r="K817" s="89"/>
      <c r="L817" s="106"/>
      <c r="M817" s="252"/>
      <c r="N817" s="138"/>
    </row>
    <row r="818" spans="1:14" s="76" customFormat="1" ht="15" customHeight="1">
      <c r="A818" s="90"/>
      <c r="B818" s="327"/>
      <c r="C818" s="274"/>
      <c r="D818" s="240"/>
      <c r="E818" s="334"/>
      <c r="F818" s="241"/>
      <c r="G818" s="188"/>
      <c r="H818" s="121"/>
      <c r="I818" s="121"/>
      <c r="J818" s="221"/>
      <c r="K818" s="89"/>
      <c r="L818" s="106"/>
      <c r="M818" s="252"/>
      <c r="N818" s="138"/>
    </row>
    <row r="819" spans="1:14" s="76" customFormat="1" ht="15" customHeight="1">
      <c r="A819" s="90"/>
      <c r="B819" s="327"/>
      <c r="C819" s="330"/>
      <c r="D819" s="240"/>
      <c r="E819" s="334"/>
      <c r="F819" s="241"/>
      <c r="G819" s="188"/>
      <c r="H819" s="121"/>
      <c r="I819" s="132"/>
      <c r="J819" s="221"/>
      <c r="K819" s="89"/>
      <c r="L819" s="106"/>
      <c r="M819" s="252"/>
      <c r="N819" s="138"/>
    </row>
    <row r="820" spans="1:14" s="76" customFormat="1" ht="15" customHeight="1">
      <c r="A820" s="90"/>
      <c r="B820" s="327"/>
      <c r="C820" s="274"/>
      <c r="D820" s="240"/>
      <c r="E820" s="334"/>
      <c r="F820" s="241"/>
      <c r="G820" s="188"/>
      <c r="H820" s="121"/>
      <c r="I820" s="121"/>
      <c r="J820" s="221"/>
      <c r="K820" s="89"/>
      <c r="L820" s="106"/>
      <c r="M820" s="252"/>
      <c r="N820" s="138"/>
    </row>
    <row r="821" spans="1:14" s="76" customFormat="1" ht="15" customHeight="1">
      <c r="A821" s="90"/>
      <c r="B821" s="327"/>
      <c r="C821" s="330"/>
      <c r="D821" s="240"/>
      <c r="E821" s="334"/>
      <c r="F821" s="241"/>
      <c r="G821" s="188"/>
      <c r="H821" s="222"/>
      <c r="I821" s="239"/>
      <c r="J821" s="221"/>
      <c r="K821" s="89"/>
      <c r="L821" s="106"/>
      <c r="M821" s="252"/>
      <c r="N821" s="138"/>
    </row>
    <row r="822" spans="1:14" s="76" customFormat="1" ht="15" customHeight="1">
      <c r="A822" s="90"/>
      <c r="B822" s="327"/>
      <c r="C822" s="274"/>
      <c r="D822" s="240"/>
      <c r="E822" s="334"/>
      <c r="F822" s="241"/>
      <c r="G822" s="188"/>
      <c r="H822" s="222"/>
      <c r="I822" s="222"/>
      <c r="J822" s="221"/>
      <c r="K822" s="89"/>
      <c r="L822" s="106"/>
      <c r="M822" s="252"/>
      <c r="N822" s="138"/>
    </row>
    <row r="823" spans="1:14" s="76" customFormat="1" ht="15" customHeight="1">
      <c r="A823" s="90"/>
      <c r="B823" s="327"/>
      <c r="C823" s="330"/>
      <c r="D823" s="240"/>
      <c r="E823" s="334"/>
      <c r="F823" s="241"/>
      <c r="G823" s="188"/>
      <c r="H823" s="121"/>
      <c r="I823" s="132"/>
      <c r="J823" s="221"/>
      <c r="K823" s="89"/>
      <c r="L823" s="106"/>
      <c r="M823" s="252"/>
      <c r="N823" s="138"/>
    </row>
    <row r="824" spans="1:14" s="76" customFormat="1" ht="15" customHeight="1">
      <c r="A824" s="90"/>
      <c r="B824" s="327"/>
      <c r="C824" s="274"/>
      <c r="D824" s="240"/>
      <c r="E824" s="334"/>
      <c r="F824" s="241"/>
      <c r="G824" s="188"/>
      <c r="H824" s="121"/>
      <c r="I824" s="121"/>
      <c r="J824" s="221"/>
      <c r="K824" s="89"/>
      <c r="L824" s="106"/>
      <c r="M824" s="252"/>
      <c r="N824" s="138"/>
    </row>
    <row r="825" spans="1:14" s="76" customFormat="1" ht="15" customHeight="1">
      <c r="A825" s="90"/>
      <c r="B825" s="327"/>
      <c r="C825" s="330"/>
      <c r="D825" s="240"/>
      <c r="E825" s="334"/>
      <c r="F825" s="241"/>
      <c r="G825" s="188"/>
      <c r="H825" s="121"/>
      <c r="I825" s="239"/>
      <c r="J825" s="221"/>
      <c r="K825" s="89"/>
      <c r="L825" s="106"/>
      <c r="M825" s="252"/>
      <c r="N825" s="138"/>
    </row>
    <row r="826" spans="1:14" s="76" customFormat="1" ht="15" customHeight="1">
      <c r="A826" s="90"/>
      <c r="B826" s="327"/>
      <c r="C826" s="274"/>
      <c r="D826" s="240"/>
      <c r="E826" s="334"/>
      <c r="F826" s="241"/>
      <c r="G826" s="188"/>
      <c r="H826" s="121"/>
      <c r="I826" s="222"/>
      <c r="J826" s="221"/>
      <c r="K826" s="89"/>
      <c r="L826" s="106"/>
      <c r="M826" s="252"/>
      <c r="N826" s="138"/>
    </row>
    <row r="827" spans="1:14" s="76" customFormat="1" ht="15" customHeight="1">
      <c r="A827" s="90"/>
      <c r="B827" s="327"/>
      <c r="C827" s="330"/>
      <c r="D827" s="240"/>
      <c r="E827" s="334"/>
      <c r="F827" s="241"/>
      <c r="G827" s="188"/>
      <c r="H827" s="121"/>
      <c r="I827" s="239"/>
      <c r="J827" s="277"/>
      <c r="K827" s="89"/>
      <c r="L827" s="106"/>
      <c r="M827" s="252"/>
      <c r="N827" s="138"/>
    </row>
    <row r="828" spans="1:14" s="76" customFormat="1" ht="15" customHeight="1">
      <c r="A828" s="90"/>
      <c r="B828" s="327"/>
      <c r="C828" s="274"/>
      <c r="D828" s="240"/>
      <c r="E828" s="334"/>
      <c r="F828" s="241"/>
      <c r="G828" s="188"/>
      <c r="H828" s="121"/>
      <c r="I828" s="222"/>
      <c r="J828" s="277"/>
      <c r="K828" s="89"/>
      <c r="L828" s="106"/>
      <c r="M828" s="252"/>
      <c r="N828" s="138"/>
    </row>
    <row r="829" spans="1:14" s="76" customFormat="1" ht="15" customHeight="1">
      <c r="A829" s="90"/>
      <c r="B829" s="327"/>
      <c r="C829" s="330"/>
      <c r="D829" s="240"/>
      <c r="E829" s="334"/>
      <c r="F829" s="241"/>
      <c r="G829" s="188"/>
      <c r="H829" s="121"/>
      <c r="I829" s="239"/>
      <c r="J829" s="277"/>
      <c r="K829" s="89"/>
      <c r="L829" s="106"/>
      <c r="M829" s="252"/>
      <c r="N829" s="138"/>
    </row>
    <row r="830" spans="1:14" s="76" customFormat="1" ht="15" customHeight="1">
      <c r="A830" s="90"/>
      <c r="B830" s="327"/>
      <c r="C830" s="274"/>
      <c r="D830" s="240"/>
      <c r="E830" s="334"/>
      <c r="F830" s="241"/>
      <c r="G830" s="188"/>
      <c r="H830" s="121"/>
      <c r="I830" s="222"/>
      <c r="J830" s="277"/>
      <c r="K830" s="89"/>
      <c r="L830" s="106"/>
      <c r="M830" s="252"/>
      <c r="N830" s="138"/>
    </row>
    <row r="831" spans="1:14" s="76" customFormat="1" ht="15" customHeight="1">
      <c r="A831" s="90"/>
      <c r="B831" s="327"/>
      <c r="C831" s="330"/>
      <c r="D831" s="240"/>
      <c r="E831" s="334"/>
      <c r="F831" s="241"/>
      <c r="G831" s="188"/>
      <c r="H831" s="121"/>
      <c r="I831" s="239"/>
      <c r="J831" s="277"/>
      <c r="K831" s="89"/>
      <c r="L831" s="106"/>
      <c r="M831" s="252"/>
      <c r="N831" s="138"/>
    </row>
    <row r="832" spans="1:14" s="76" customFormat="1" ht="15" customHeight="1">
      <c r="A832" s="90"/>
      <c r="B832" s="327"/>
      <c r="C832" s="274"/>
      <c r="D832" s="240"/>
      <c r="E832" s="334"/>
      <c r="F832" s="241"/>
      <c r="G832" s="188"/>
      <c r="H832" s="121"/>
      <c r="I832" s="222"/>
      <c r="J832" s="277"/>
      <c r="K832" s="89"/>
      <c r="L832" s="106"/>
      <c r="M832" s="252"/>
      <c r="N832" s="138"/>
    </row>
    <row r="833" spans="1:14" s="76" customFormat="1" ht="15" customHeight="1">
      <c r="A833" s="90"/>
      <c r="B833" s="327"/>
      <c r="C833" s="330"/>
      <c r="D833" s="240"/>
      <c r="E833" s="334"/>
      <c r="F833" s="241"/>
      <c r="G833" s="188"/>
      <c r="H833" s="121"/>
      <c r="I833" s="239"/>
      <c r="J833" s="277"/>
      <c r="K833" s="89"/>
      <c r="L833" s="106"/>
      <c r="M833" s="252"/>
      <c r="N833" s="138"/>
    </row>
    <row r="834" spans="1:14" s="76" customFormat="1" ht="15" customHeight="1">
      <c r="A834" s="90"/>
      <c r="B834" s="327"/>
      <c r="C834" s="274"/>
      <c r="D834" s="240"/>
      <c r="E834" s="334"/>
      <c r="F834" s="241"/>
      <c r="G834" s="188"/>
      <c r="H834" s="121"/>
      <c r="I834" s="222"/>
      <c r="J834" s="277"/>
      <c r="K834" s="89"/>
      <c r="L834" s="106"/>
      <c r="M834" s="252"/>
      <c r="N834" s="138"/>
    </row>
    <row r="835" spans="1:14" s="76" customFormat="1" ht="15" customHeight="1">
      <c r="A835" s="90"/>
      <c r="B835" s="327"/>
      <c r="C835" s="274"/>
      <c r="D835" s="240"/>
      <c r="E835" s="334"/>
      <c r="F835" s="241"/>
      <c r="G835" s="188"/>
      <c r="H835" s="121"/>
      <c r="I835" s="222"/>
      <c r="J835" s="277"/>
      <c r="K835" s="89"/>
      <c r="L835" s="106"/>
      <c r="M835" s="252"/>
      <c r="N835" s="138"/>
    </row>
    <row r="836" spans="1:14" s="76" customFormat="1" ht="15" customHeight="1">
      <c r="A836" s="90"/>
      <c r="B836" s="327"/>
      <c r="C836" s="330"/>
      <c r="D836" s="240"/>
      <c r="E836" s="334"/>
      <c r="F836" s="241"/>
      <c r="G836" s="195"/>
      <c r="H836" s="121"/>
      <c r="I836" s="239"/>
      <c r="J836" s="277"/>
      <c r="K836" s="89"/>
      <c r="L836" s="106"/>
      <c r="M836" s="252"/>
      <c r="N836" s="138"/>
    </row>
    <row r="837" spans="1:14" s="76" customFormat="1" ht="15" customHeight="1">
      <c r="A837" s="90"/>
      <c r="B837" s="327"/>
      <c r="C837" s="274"/>
      <c r="D837" s="240"/>
      <c r="E837" s="334"/>
      <c r="F837" s="241"/>
      <c r="G837" s="195"/>
      <c r="H837" s="121"/>
      <c r="I837" s="222"/>
      <c r="J837" s="277"/>
      <c r="K837" s="89"/>
      <c r="L837" s="106"/>
      <c r="M837" s="252"/>
      <c r="N837" s="138"/>
    </row>
    <row r="838" spans="1:14" s="76" customFormat="1" ht="15" customHeight="1">
      <c r="A838" s="90"/>
      <c r="B838" s="327"/>
      <c r="C838" s="330"/>
      <c r="D838" s="240"/>
      <c r="E838" s="334"/>
      <c r="F838" s="241"/>
      <c r="G838" s="188"/>
      <c r="H838" s="121"/>
      <c r="I838" s="239"/>
      <c r="J838" s="277"/>
      <c r="K838" s="89"/>
      <c r="L838" s="106"/>
      <c r="M838" s="252"/>
      <c r="N838" s="138"/>
    </row>
    <row r="839" spans="1:14" s="76" customFormat="1" ht="15" customHeight="1">
      <c r="A839" s="90"/>
      <c r="B839" s="327"/>
      <c r="C839" s="274"/>
      <c r="D839" s="240"/>
      <c r="E839" s="334"/>
      <c r="F839" s="241"/>
      <c r="G839" s="188"/>
      <c r="H839" s="121"/>
      <c r="I839" s="222"/>
      <c r="J839" s="277"/>
      <c r="K839" s="89"/>
      <c r="L839" s="106"/>
      <c r="M839" s="252"/>
      <c r="N839" s="138"/>
    </row>
    <row r="840" spans="1:14" s="76" customFormat="1" ht="15" customHeight="1">
      <c r="A840" s="90"/>
      <c r="B840" s="327"/>
      <c r="C840" s="330"/>
      <c r="D840" s="240"/>
      <c r="E840" s="334"/>
      <c r="F840" s="241"/>
      <c r="G840" s="188"/>
      <c r="H840" s="121"/>
      <c r="I840" s="239"/>
      <c r="J840" s="277"/>
      <c r="K840" s="89"/>
      <c r="L840" s="106"/>
      <c r="M840" s="252"/>
      <c r="N840" s="138"/>
    </row>
    <row r="841" spans="1:14" s="76" customFormat="1" ht="15" customHeight="1">
      <c r="A841" s="90"/>
      <c r="B841" s="327"/>
      <c r="C841" s="274"/>
      <c r="D841" s="240"/>
      <c r="E841" s="334"/>
      <c r="F841" s="241"/>
      <c r="G841" s="188"/>
      <c r="H841" s="121"/>
      <c r="I841" s="222"/>
      <c r="J841" s="277"/>
      <c r="K841" s="89"/>
      <c r="L841" s="106"/>
      <c r="M841" s="252"/>
      <c r="N841" s="138"/>
    </row>
    <row r="842" spans="1:14" s="76" customFormat="1" ht="15" customHeight="1">
      <c r="A842" s="90"/>
      <c r="B842" s="327"/>
      <c r="C842" s="330"/>
      <c r="D842" s="240"/>
      <c r="E842" s="334"/>
      <c r="F842" s="241"/>
      <c r="G842" s="188"/>
      <c r="H842" s="121"/>
      <c r="I842" s="239"/>
      <c r="J842" s="277"/>
      <c r="K842" s="89"/>
      <c r="L842" s="106"/>
      <c r="M842" s="252"/>
      <c r="N842" s="138"/>
    </row>
    <row r="843" spans="1:14" s="76" customFormat="1" ht="15" customHeight="1">
      <c r="A843" s="90"/>
      <c r="B843" s="327"/>
      <c r="C843" s="274"/>
      <c r="D843" s="240"/>
      <c r="E843" s="334"/>
      <c r="F843" s="241"/>
      <c r="G843" s="188"/>
      <c r="H843" s="121"/>
      <c r="I843" s="222"/>
      <c r="J843" s="277"/>
      <c r="K843" s="89"/>
      <c r="L843" s="106"/>
      <c r="M843" s="252"/>
      <c r="N843" s="138"/>
    </row>
    <row r="844" spans="1:14" s="76" customFormat="1" ht="15" customHeight="1">
      <c r="A844" s="90"/>
      <c r="B844" s="327"/>
      <c r="C844" s="274"/>
      <c r="D844" s="240"/>
      <c r="E844" s="334"/>
      <c r="F844" s="241"/>
      <c r="G844" s="188"/>
      <c r="H844" s="121"/>
      <c r="I844" s="222"/>
      <c r="J844" s="277"/>
      <c r="K844" s="89"/>
      <c r="L844" s="106"/>
      <c r="M844" s="252"/>
      <c r="N844" s="138"/>
    </row>
    <row r="845" spans="1:14" s="76" customFormat="1" ht="15" customHeight="1">
      <c r="A845" s="90"/>
      <c r="B845" s="327"/>
      <c r="C845" s="330"/>
      <c r="D845" s="240"/>
      <c r="E845" s="334"/>
      <c r="F845" s="241"/>
      <c r="G845" s="188"/>
      <c r="H845" s="121"/>
      <c r="I845" s="239"/>
      <c r="J845" s="221"/>
      <c r="K845" s="89"/>
      <c r="L845" s="106"/>
      <c r="M845" s="252"/>
      <c r="N845" s="138"/>
    </row>
    <row r="846" spans="1:14" s="76" customFormat="1" ht="15" customHeight="1">
      <c r="A846" s="90"/>
      <c r="B846" s="327"/>
      <c r="C846" s="274"/>
      <c r="D846" s="240"/>
      <c r="E846" s="334"/>
      <c r="F846" s="241"/>
      <c r="G846" s="188"/>
      <c r="H846" s="121"/>
      <c r="I846" s="222"/>
      <c r="J846" s="221"/>
      <c r="K846" s="89"/>
      <c r="L846" s="106"/>
      <c r="M846" s="252"/>
      <c r="N846" s="138"/>
    </row>
    <row r="847" spans="1:14" s="76" customFormat="1" ht="15" customHeight="1">
      <c r="A847" s="90"/>
      <c r="B847" s="327"/>
      <c r="C847" s="274"/>
      <c r="D847" s="240"/>
      <c r="E847" s="334"/>
      <c r="F847" s="241"/>
      <c r="G847" s="188"/>
      <c r="H847" s="121"/>
      <c r="I847" s="222"/>
      <c r="J847" s="221"/>
      <c r="K847" s="89"/>
      <c r="L847" s="106"/>
      <c r="M847" s="252"/>
      <c r="N847" s="138"/>
    </row>
    <row r="848" spans="1:14" s="76" customFormat="1" ht="15" customHeight="1">
      <c r="A848" s="90"/>
      <c r="B848" s="327"/>
      <c r="C848" s="330"/>
      <c r="D848" s="240"/>
      <c r="E848" s="334"/>
      <c r="F848" s="241"/>
      <c r="G848" s="188"/>
      <c r="H848" s="121"/>
      <c r="I848" s="239"/>
      <c r="J848" s="221"/>
      <c r="K848" s="89"/>
      <c r="L848" s="106"/>
      <c r="M848" s="252"/>
      <c r="N848" s="138"/>
    </row>
    <row r="849" spans="1:14" s="76" customFormat="1" ht="15" customHeight="1">
      <c r="A849" s="90"/>
      <c r="B849" s="327"/>
      <c r="C849" s="274"/>
      <c r="D849" s="240"/>
      <c r="E849" s="334"/>
      <c r="F849" s="241"/>
      <c r="G849" s="188"/>
      <c r="H849" s="121"/>
      <c r="I849" s="222"/>
      <c r="J849" s="221"/>
      <c r="K849" s="89"/>
      <c r="L849" s="106"/>
      <c r="M849" s="252"/>
      <c r="N849" s="138"/>
    </row>
    <row r="850" spans="1:14" s="76" customFormat="1" ht="15" customHeight="1">
      <c r="A850" s="90"/>
      <c r="B850" s="327"/>
      <c r="C850" s="330"/>
      <c r="D850" s="240"/>
      <c r="E850" s="334"/>
      <c r="F850" s="241"/>
      <c r="G850" s="188"/>
      <c r="H850" s="121"/>
      <c r="I850" s="239"/>
      <c r="J850" s="221"/>
      <c r="K850" s="89"/>
      <c r="L850" s="106"/>
      <c r="M850" s="252"/>
      <c r="N850" s="138"/>
    </row>
    <row r="851" spans="1:14" s="76" customFormat="1" ht="15" customHeight="1">
      <c r="A851" s="90"/>
      <c r="B851" s="327"/>
      <c r="C851" s="274"/>
      <c r="D851" s="240"/>
      <c r="E851" s="334"/>
      <c r="F851" s="241"/>
      <c r="G851" s="188"/>
      <c r="H851" s="121"/>
      <c r="I851" s="222"/>
      <c r="J851" s="221"/>
      <c r="K851" s="89"/>
      <c r="L851" s="106"/>
      <c r="M851" s="252"/>
      <c r="N851" s="138"/>
    </row>
    <row r="852" spans="1:14" s="76" customFormat="1" ht="15" customHeight="1">
      <c r="A852" s="90"/>
      <c r="B852" s="327"/>
      <c r="C852" s="274"/>
      <c r="D852" s="240"/>
      <c r="E852" s="334"/>
      <c r="F852" s="241"/>
      <c r="G852" s="188"/>
      <c r="H852" s="121"/>
      <c r="I852" s="222"/>
      <c r="J852" s="221"/>
      <c r="K852" s="89"/>
      <c r="L852" s="106"/>
      <c r="M852" s="252"/>
      <c r="N852" s="138"/>
    </row>
    <row r="853" spans="1:14" s="76" customFormat="1" ht="15" customHeight="1">
      <c r="A853" s="90"/>
      <c r="B853" s="327"/>
      <c r="C853" s="330"/>
      <c r="D853" s="240"/>
      <c r="E853" s="334"/>
      <c r="F853" s="241"/>
      <c r="G853" s="188"/>
      <c r="H853" s="121"/>
      <c r="I853" s="239"/>
      <c r="J853" s="221"/>
      <c r="K853" s="89"/>
      <c r="L853" s="106"/>
      <c r="M853" s="252"/>
      <c r="N853" s="138"/>
    </row>
    <row r="854" spans="1:14" s="76" customFormat="1" ht="15" customHeight="1">
      <c r="A854" s="90"/>
      <c r="B854" s="327"/>
      <c r="C854" s="274"/>
      <c r="D854" s="240"/>
      <c r="E854" s="334"/>
      <c r="F854" s="241"/>
      <c r="G854" s="188"/>
      <c r="H854" s="121"/>
      <c r="I854" s="222"/>
      <c r="J854" s="221"/>
      <c r="K854" s="89"/>
      <c r="L854" s="106"/>
      <c r="M854" s="252"/>
      <c r="N854" s="138"/>
    </row>
    <row r="855" spans="1:14" s="76" customFormat="1" ht="15" customHeight="1">
      <c r="A855" s="90"/>
      <c r="B855" s="327"/>
      <c r="C855" s="330"/>
      <c r="D855" s="240"/>
      <c r="E855" s="334"/>
      <c r="F855" s="241"/>
      <c r="G855" s="188"/>
      <c r="H855" s="121"/>
      <c r="I855" s="239"/>
      <c r="J855" s="221"/>
      <c r="K855" s="89"/>
      <c r="L855" s="106"/>
      <c r="M855" s="252"/>
      <c r="N855" s="138"/>
    </row>
    <row r="856" spans="1:14" s="76" customFormat="1" ht="14.25" customHeight="1">
      <c r="A856" s="90"/>
      <c r="B856" s="327"/>
      <c r="C856" s="274"/>
      <c r="D856" s="240"/>
      <c r="E856" s="334"/>
      <c r="F856" s="241"/>
      <c r="G856" s="188"/>
      <c r="H856" s="121"/>
      <c r="I856" s="222"/>
      <c r="J856" s="221"/>
      <c r="K856" s="89"/>
      <c r="L856" s="106"/>
      <c r="M856" s="252"/>
      <c r="N856" s="138"/>
    </row>
    <row r="857" spans="1:14" s="76" customFormat="1" ht="15" customHeight="1">
      <c r="A857" s="90"/>
      <c r="B857" s="327"/>
      <c r="C857" s="330"/>
      <c r="D857" s="240"/>
      <c r="E857" s="334"/>
      <c r="F857" s="241"/>
      <c r="G857" s="278"/>
      <c r="H857" s="121"/>
      <c r="I857" s="239"/>
      <c r="J857" s="221"/>
      <c r="K857" s="89"/>
      <c r="L857" s="106"/>
      <c r="M857" s="252"/>
      <c r="N857" s="138"/>
    </row>
    <row r="858" spans="1:14" s="76" customFormat="1" ht="15" customHeight="1">
      <c r="A858" s="90"/>
      <c r="B858" s="327"/>
      <c r="C858" s="274"/>
      <c r="D858" s="240"/>
      <c r="E858" s="334"/>
      <c r="F858" s="241"/>
      <c r="G858" s="278"/>
      <c r="H858" s="121"/>
      <c r="I858" s="222"/>
      <c r="J858" s="221"/>
      <c r="K858" s="89"/>
      <c r="L858" s="106"/>
      <c r="M858" s="252"/>
      <c r="N858" s="138"/>
    </row>
    <row r="859" spans="1:14" s="76" customFormat="1" ht="15" customHeight="1">
      <c r="A859" s="90"/>
      <c r="B859" s="327"/>
      <c r="C859" s="330"/>
      <c r="D859" s="240"/>
      <c r="E859" s="334"/>
      <c r="F859" s="241"/>
      <c r="G859" s="278"/>
      <c r="H859" s="121"/>
      <c r="I859" s="239"/>
      <c r="J859" s="221"/>
      <c r="K859" s="89"/>
      <c r="L859" s="106"/>
      <c r="M859" s="252"/>
      <c r="N859" s="138"/>
    </row>
    <row r="860" spans="1:14" s="76" customFormat="1" ht="15" customHeight="1">
      <c r="A860" s="90"/>
      <c r="B860" s="327"/>
      <c r="C860" s="274"/>
      <c r="D860" s="240"/>
      <c r="E860" s="334"/>
      <c r="F860" s="241"/>
      <c r="G860" s="278"/>
      <c r="H860" s="121"/>
      <c r="I860" s="222"/>
      <c r="J860" s="221"/>
      <c r="K860" s="89"/>
      <c r="L860" s="106"/>
      <c r="M860" s="252"/>
      <c r="N860" s="138"/>
    </row>
    <row r="861" spans="1:14" s="76" customFormat="1" ht="15" customHeight="1">
      <c r="A861" s="90"/>
      <c r="B861" s="327"/>
      <c r="C861" s="330"/>
      <c r="D861" s="240"/>
      <c r="E861" s="334"/>
      <c r="F861" s="241"/>
      <c r="G861" s="188"/>
      <c r="H861" s="121"/>
      <c r="I861" s="239"/>
      <c r="J861" s="221"/>
      <c r="K861" s="89"/>
      <c r="L861" s="106"/>
      <c r="M861" s="252"/>
      <c r="N861" s="138"/>
    </row>
    <row r="862" spans="1:14" s="76" customFormat="1" ht="15" customHeight="1">
      <c r="A862" s="90"/>
      <c r="B862" s="327"/>
      <c r="C862" s="274"/>
      <c r="D862" s="240"/>
      <c r="E862" s="334"/>
      <c r="F862" s="241"/>
      <c r="G862" s="188"/>
      <c r="H862" s="121"/>
      <c r="I862" s="222"/>
      <c r="J862" s="221"/>
      <c r="K862" s="89"/>
      <c r="L862" s="106"/>
      <c r="M862" s="252"/>
      <c r="N862" s="138"/>
    </row>
    <row r="863" spans="1:14" s="76" customFormat="1" ht="15" customHeight="1">
      <c r="A863" s="90"/>
      <c r="B863" s="327"/>
      <c r="C863" s="330"/>
      <c r="D863" s="240"/>
      <c r="E863" s="334"/>
      <c r="F863" s="241"/>
      <c r="G863" s="188"/>
      <c r="H863" s="121"/>
      <c r="I863" s="239"/>
      <c r="J863" s="221"/>
      <c r="K863" s="89"/>
      <c r="L863" s="106"/>
      <c r="M863" s="252"/>
      <c r="N863" s="138"/>
    </row>
    <row r="864" spans="1:14" s="76" customFormat="1" ht="15" customHeight="1">
      <c r="A864" s="90"/>
      <c r="B864" s="327"/>
      <c r="C864" s="274"/>
      <c r="D864" s="240"/>
      <c r="E864" s="334"/>
      <c r="F864" s="241"/>
      <c r="G864" s="188"/>
      <c r="H864" s="121"/>
      <c r="I864" s="222"/>
      <c r="J864" s="221"/>
      <c r="K864" s="89"/>
      <c r="L864" s="106"/>
      <c r="M864" s="252"/>
      <c r="N864" s="138"/>
    </row>
    <row r="865" spans="1:14" s="76" customFormat="1" ht="15" customHeight="1">
      <c r="A865" s="90"/>
      <c r="B865" s="327"/>
      <c r="C865" s="330"/>
      <c r="D865" s="240"/>
      <c r="E865" s="334"/>
      <c r="F865" s="241"/>
      <c r="G865" s="188"/>
      <c r="H865" s="121"/>
      <c r="I865" s="239"/>
      <c r="J865" s="221"/>
      <c r="K865" s="89"/>
      <c r="L865" s="106"/>
      <c r="M865" s="252"/>
      <c r="N865" s="138"/>
    </row>
    <row r="866" spans="1:14" s="76" customFormat="1" ht="15" customHeight="1">
      <c r="A866" s="90"/>
      <c r="B866" s="327"/>
      <c r="C866" s="274"/>
      <c r="D866" s="240"/>
      <c r="E866" s="334"/>
      <c r="F866" s="241"/>
      <c r="G866" s="188"/>
      <c r="H866" s="121"/>
      <c r="I866" s="222"/>
      <c r="J866" s="221"/>
      <c r="K866" s="89"/>
      <c r="L866" s="106"/>
      <c r="M866" s="252"/>
      <c r="N866" s="138"/>
    </row>
    <row r="867" spans="1:14" s="76" customFormat="1" ht="15" customHeight="1">
      <c r="A867" s="90"/>
      <c r="B867" s="327"/>
      <c r="C867" s="330"/>
      <c r="D867" s="240"/>
      <c r="E867" s="334"/>
      <c r="F867" s="241"/>
      <c r="G867" s="188"/>
      <c r="H867" s="121"/>
      <c r="I867" s="239"/>
      <c r="J867" s="221"/>
      <c r="K867" s="89"/>
      <c r="L867" s="106"/>
      <c r="M867" s="252"/>
      <c r="N867" s="138"/>
    </row>
    <row r="868" spans="1:14" s="76" customFormat="1" ht="15" customHeight="1">
      <c r="A868" s="90"/>
      <c r="B868" s="327"/>
      <c r="C868" s="274"/>
      <c r="D868" s="240"/>
      <c r="E868" s="334"/>
      <c r="F868" s="241"/>
      <c r="G868" s="188"/>
      <c r="H868" s="121"/>
      <c r="I868" s="222"/>
      <c r="J868" s="221"/>
      <c r="K868" s="89"/>
      <c r="L868" s="106"/>
      <c r="M868" s="252"/>
      <c r="N868" s="138"/>
    </row>
    <row r="869" spans="1:14" s="76" customFormat="1" ht="15" customHeight="1">
      <c r="A869" s="90"/>
      <c r="B869" s="327"/>
      <c r="C869" s="330"/>
      <c r="D869" s="240"/>
      <c r="E869" s="334"/>
      <c r="F869" s="241"/>
      <c r="G869" s="188"/>
      <c r="H869" s="121"/>
      <c r="I869" s="239"/>
      <c r="J869" s="221"/>
      <c r="K869" s="89"/>
      <c r="L869" s="106"/>
      <c r="M869" s="252"/>
      <c r="N869" s="138"/>
    </row>
    <row r="870" spans="1:14" s="76" customFormat="1" ht="15" customHeight="1">
      <c r="A870" s="90"/>
      <c r="B870" s="327"/>
      <c r="C870" s="274"/>
      <c r="D870" s="240"/>
      <c r="E870" s="334"/>
      <c r="F870" s="241"/>
      <c r="G870" s="188"/>
      <c r="H870" s="121"/>
      <c r="I870" s="222"/>
      <c r="J870" s="221"/>
      <c r="K870" s="89"/>
      <c r="L870" s="106"/>
      <c r="M870" s="252"/>
      <c r="N870" s="138"/>
    </row>
    <row r="871" spans="1:14" s="76" customFormat="1" ht="19.5" customHeight="1">
      <c r="A871" s="90"/>
      <c r="B871" s="327"/>
      <c r="C871" s="330"/>
      <c r="D871" s="240"/>
      <c r="E871" s="334"/>
      <c r="F871" s="241"/>
      <c r="G871" s="188"/>
      <c r="H871" s="121"/>
      <c r="I871" s="239"/>
      <c r="J871" s="221"/>
      <c r="K871" s="89"/>
      <c r="L871" s="106"/>
      <c r="M871" s="252"/>
      <c r="N871" s="138"/>
    </row>
    <row r="872" spans="1:14" s="76" customFormat="1" ht="15" customHeight="1">
      <c r="A872" s="90"/>
      <c r="B872" s="327"/>
      <c r="C872" s="274"/>
      <c r="D872" s="240"/>
      <c r="E872" s="334"/>
      <c r="F872" s="241"/>
      <c r="G872" s="188"/>
      <c r="H872" s="121"/>
      <c r="I872" s="222"/>
      <c r="J872" s="221"/>
      <c r="K872" s="89"/>
      <c r="L872" s="106"/>
      <c r="M872" s="252"/>
      <c r="N872" s="138"/>
    </row>
    <row r="873" spans="1:14" s="76" customFormat="1" ht="15" customHeight="1">
      <c r="A873" s="90"/>
      <c r="B873" s="327"/>
      <c r="C873" s="330"/>
      <c r="D873" s="240"/>
      <c r="E873" s="334"/>
      <c r="F873" s="241"/>
      <c r="G873" s="188"/>
      <c r="H873" s="121"/>
      <c r="I873" s="239"/>
      <c r="J873" s="221"/>
      <c r="K873" s="89"/>
      <c r="L873" s="106"/>
      <c r="M873" s="252"/>
      <c r="N873" s="138"/>
    </row>
    <row r="874" spans="1:14" s="76" customFormat="1" ht="15" customHeight="1">
      <c r="A874" s="90"/>
      <c r="B874" s="327"/>
      <c r="C874" s="274"/>
      <c r="D874" s="240"/>
      <c r="E874" s="334"/>
      <c r="F874" s="241"/>
      <c r="G874" s="188"/>
      <c r="H874" s="121"/>
      <c r="I874" s="222"/>
      <c r="J874" s="221"/>
      <c r="K874" s="89"/>
      <c r="L874" s="106"/>
      <c r="M874" s="252"/>
      <c r="N874" s="138"/>
    </row>
    <row r="875" spans="1:14" s="76" customFormat="1" ht="15" customHeight="1">
      <c r="A875" s="90"/>
      <c r="B875" s="327"/>
      <c r="C875" s="330"/>
      <c r="D875" s="240"/>
      <c r="E875" s="334"/>
      <c r="F875" s="241"/>
      <c r="G875" s="188"/>
      <c r="H875" s="121"/>
      <c r="I875" s="239"/>
      <c r="J875" s="221"/>
      <c r="K875" s="89"/>
      <c r="L875" s="106"/>
      <c r="M875" s="252"/>
      <c r="N875" s="138"/>
    </row>
    <row r="876" spans="1:14" s="76" customFormat="1" ht="15" customHeight="1">
      <c r="A876" s="90"/>
      <c r="B876" s="327"/>
      <c r="C876" s="330"/>
      <c r="D876" s="240"/>
      <c r="E876" s="334"/>
      <c r="F876" s="241"/>
      <c r="G876" s="188"/>
      <c r="H876" s="121"/>
      <c r="I876" s="239"/>
      <c r="J876" s="221"/>
      <c r="K876" s="89"/>
      <c r="L876" s="106"/>
      <c r="M876" s="252"/>
      <c r="N876" s="138"/>
    </row>
    <row r="877" spans="1:14" s="76" customFormat="1" ht="15" customHeight="1">
      <c r="A877" s="90"/>
      <c r="B877" s="327"/>
      <c r="C877" s="274"/>
      <c r="D877" s="240"/>
      <c r="E877" s="334"/>
      <c r="F877" s="241"/>
      <c r="G877" s="188"/>
      <c r="H877" s="121"/>
      <c r="I877" s="222"/>
      <c r="J877" s="221"/>
      <c r="K877" s="89"/>
      <c r="L877" s="106"/>
      <c r="M877" s="252"/>
      <c r="N877" s="138"/>
    </row>
    <row r="878" spans="1:14" s="76" customFormat="1" ht="15" customHeight="1">
      <c r="A878" s="90"/>
      <c r="B878" s="327"/>
      <c r="C878" s="330"/>
      <c r="D878" s="240"/>
      <c r="E878" s="334"/>
      <c r="F878" s="241"/>
      <c r="G878" s="188"/>
      <c r="H878" s="121"/>
      <c r="I878" s="239"/>
      <c r="J878" s="221"/>
      <c r="K878" s="89"/>
      <c r="L878" s="106"/>
      <c r="M878" s="252"/>
      <c r="N878" s="138"/>
    </row>
    <row r="879" spans="1:14" s="76" customFormat="1" ht="15" customHeight="1">
      <c r="A879" s="90"/>
      <c r="B879" s="327"/>
      <c r="C879" s="274"/>
      <c r="D879" s="240"/>
      <c r="E879" s="334"/>
      <c r="F879" s="241"/>
      <c r="G879" s="188"/>
      <c r="H879" s="121"/>
      <c r="I879" s="222"/>
      <c r="J879" s="221"/>
      <c r="K879" s="89"/>
      <c r="L879" s="106"/>
      <c r="M879" s="252"/>
      <c r="N879" s="138"/>
    </row>
    <row r="880" spans="1:14" s="76" customFormat="1" ht="15" customHeight="1">
      <c r="A880" s="90"/>
      <c r="B880" s="327"/>
      <c r="C880" s="330"/>
      <c r="D880" s="240"/>
      <c r="E880" s="334"/>
      <c r="F880" s="241"/>
      <c r="G880" s="188"/>
      <c r="H880" s="121"/>
      <c r="I880" s="239"/>
      <c r="J880" s="221"/>
      <c r="K880" s="89"/>
      <c r="L880" s="106"/>
      <c r="M880" s="252"/>
      <c r="N880" s="138"/>
    </row>
    <row r="881" spans="1:14" s="76" customFormat="1" ht="15" customHeight="1">
      <c r="A881" s="90"/>
      <c r="B881" s="327"/>
      <c r="C881" s="274"/>
      <c r="D881" s="240"/>
      <c r="E881" s="334"/>
      <c r="F881" s="241"/>
      <c r="G881" s="188"/>
      <c r="H881" s="121"/>
      <c r="I881" s="222"/>
      <c r="J881" s="221"/>
      <c r="K881" s="89"/>
      <c r="L881" s="106"/>
      <c r="M881" s="252"/>
      <c r="N881" s="138"/>
    </row>
    <row r="882" spans="1:14" s="76" customFormat="1" ht="15" customHeight="1">
      <c r="A882" s="90"/>
      <c r="B882" s="327"/>
      <c r="C882" s="330"/>
      <c r="D882" s="240"/>
      <c r="E882" s="334"/>
      <c r="F882" s="241"/>
      <c r="G882" s="188"/>
      <c r="H882" s="121"/>
      <c r="I882" s="239"/>
      <c r="J882" s="221"/>
      <c r="K882" s="89"/>
      <c r="L882" s="106"/>
      <c r="M882" s="252"/>
      <c r="N882" s="138"/>
    </row>
    <row r="883" spans="1:14" s="76" customFormat="1" ht="15" customHeight="1">
      <c r="A883" s="90"/>
      <c r="B883" s="327"/>
      <c r="C883" s="274"/>
      <c r="D883" s="240"/>
      <c r="E883" s="334"/>
      <c r="F883" s="241"/>
      <c r="G883" s="188"/>
      <c r="H883" s="121"/>
      <c r="I883" s="222"/>
      <c r="J883" s="221"/>
      <c r="K883" s="89"/>
      <c r="L883" s="106"/>
      <c r="M883" s="252"/>
      <c r="N883" s="138"/>
    </row>
    <row r="884" spans="1:14" s="76" customFormat="1" ht="15" customHeight="1">
      <c r="A884" s="90"/>
      <c r="B884" s="327"/>
      <c r="C884" s="330"/>
      <c r="D884" s="240"/>
      <c r="E884" s="334"/>
      <c r="F884" s="241"/>
      <c r="G884" s="188"/>
      <c r="H884" s="121"/>
      <c r="I884" s="239"/>
      <c r="J884" s="221"/>
      <c r="K884" s="89"/>
      <c r="L884" s="106"/>
      <c r="M884" s="252"/>
      <c r="N884" s="138"/>
    </row>
    <row r="885" spans="1:14" s="76" customFormat="1" ht="15" customHeight="1">
      <c r="A885" s="90"/>
      <c r="B885" s="327"/>
      <c r="C885" s="274"/>
      <c r="D885" s="240"/>
      <c r="E885" s="334"/>
      <c r="F885" s="241"/>
      <c r="G885" s="188"/>
      <c r="H885" s="121"/>
      <c r="I885" s="222"/>
      <c r="J885" s="221"/>
      <c r="K885" s="89"/>
      <c r="L885" s="106"/>
      <c r="M885" s="252"/>
      <c r="N885" s="138"/>
    </row>
    <row r="886" spans="1:14" s="76" customFormat="1" ht="15" customHeight="1">
      <c r="A886" s="90"/>
      <c r="B886" s="327"/>
      <c r="C886" s="330"/>
      <c r="D886" s="240"/>
      <c r="E886" s="334"/>
      <c r="F886" s="241"/>
      <c r="G886" s="188"/>
      <c r="H886" s="121"/>
      <c r="I886" s="239"/>
      <c r="J886" s="221"/>
      <c r="K886" s="89"/>
      <c r="L886" s="106"/>
      <c r="M886" s="252"/>
      <c r="N886" s="138"/>
    </row>
    <row r="887" spans="1:14" s="76" customFormat="1" ht="15" customHeight="1">
      <c r="A887" s="90"/>
      <c r="B887" s="327"/>
      <c r="C887" s="274"/>
      <c r="D887" s="240"/>
      <c r="E887" s="334"/>
      <c r="F887" s="241"/>
      <c r="G887" s="188"/>
      <c r="H887" s="121"/>
      <c r="I887" s="222"/>
      <c r="J887" s="221"/>
      <c r="K887" s="89"/>
      <c r="L887" s="106"/>
      <c r="M887" s="252"/>
      <c r="N887" s="138"/>
    </row>
    <row r="888" spans="1:14" s="76" customFormat="1" ht="15" customHeight="1">
      <c r="A888" s="90"/>
      <c r="B888" s="327"/>
      <c r="C888" s="330"/>
      <c r="D888" s="240"/>
      <c r="E888" s="334"/>
      <c r="F888" s="241"/>
      <c r="G888" s="188"/>
      <c r="H888" s="121"/>
      <c r="I888" s="239"/>
      <c r="J888" s="221"/>
      <c r="K888" s="89"/>
      <c r="L888" s="106"/>
      <c r="M888" s="252"/>
      <c r="N888" s="138"/>
    </row>
    <row r="889" spans="1:14" s="76" customFormat="1" ht="15" customHeight="1">
      <c r="A889" s="90"/>
      <c r="B889" s="327"/>
      <c r="C889" s="274"/>
      <c r="D889" s="240"/>
      <c r="E889" s="334"/>
      <c r="F889" s="241"/>
      <c r="G889" s="188"/>
      <c r="H889" s="121"/>
      <c r="I889" s="222"/>
      <c r="J889" s="221"/>
      <c r="K889" s="89"/>
      <c r="L889" s="106"/>
      <c r="M889" s="252"/>
      <c r="N889" s="138"/>
    </row>
    <row r="890" spans="1:14" s="76" customFormat="1" ht="15" customHeight="1">
      <c r="A890" s="90"/>
      <c r="B890" s="327"/>
      <c r="C890" s="330"/>
      <c r="D890" s="240"/>
      <c r="E890" s="334"/>
      <c r="F890" s="241"/>
      <c r="G890" s="188"/>
      <c r="H890" s="121"/>
      <c r="I890" s="239"/>
      <c r="J890" s="221"/>
      <c r="K890" s="89"/>
      <c r="L890" s="106"/>
      <c r="M890" s="252"/>
      <c r="N890" s="138"/>
    </row>
    <row r="891" spans="1:14" s="76" customFormat="1" ht="15" customHeight="1">
      <c r="A891" s="90"/>
      <c r="B891" s="327"/>
      <c r="C891" s="274"/>
      <c r="D891" s="240"/>
      <c r="E891" s="334"/>
      <c r="F891" s="241"/>
      <c r="G891" s="188"/>
      <c r="H891" s="121"/>
      <c r="I891" s="222"/>
      <c r="J891" s="221"/>
      <c r="K891" s="89"/>
      <c r="L891" s="106"/>
      <c r="M891" s="252"/>
      <c r="N891" s="138"/>
    </row>
    <row r="892" spans="1:14" s="76" customFormat="1" ht="15" customHeight="1">
      <c r="A892" s="90"/>
      <c r="B892" s="327"/>
      <c r="C892" s="330"/>
      <c r="D892" s="240"/>
      <c r="E892" s="334"/>
      <c r="F892" s="241"/>
      <c r="G892" s="188"/>
      <c r="H892" s="121"/>
      <c r="I892" s="239"/>
      <c r="J892" s="221"/>
      <c r="K892" s="89"/>
      <c r="L892" s="106"/>
      <c r="M892" s="252"/>
      <c r="N892" s="138"/>
    </row>
    <row r="893" spans="1:14" s="76" customFormat="1" ht="15" customHeight="1">
      <c r="A893" s="90"/>
      <c r="B893" s="327"/>
      <c r="C893" s="274"/>
      <c r="D893" s="240"/>
      <c r="E893" s="334"/>
      <c r="F893" s="241"/>
      <c r="G893" s="188"/>
      <c r="H893" s="121"/>
      <c r="I893" s="222"/>
      <c r="J893" s="221"/>
      <c r="K893" s="89"/>
      <c r="L893" s="106"/>
      <c r="M893" s="252"/>
      <c r="N893" s="138"/>
    </row>
    <row r="894" spans="1:14" s="76" customFormat="1" ht="15" customHeight="1">
      <c r="A894" s="90"/>
      <c r="B894" s="327"/>
      <c r="C894" s="330"/>
      <c r="D894" s="240"/>
      <c r="E894" s="334"/>
      <c r="F894" s="241"/>
      <c r="G894" s="188"/>
      <c r="H894" s="121"/>
      <c r="I894" s="239"/>
      <c r="J894" s="221"/>
      <c r="K894" s="89"/>
      <c r="L894" s="106"/>
      <c r="M894" s="252"/>
      <c r="N894" s="138"/>
    </row>
    <row r="895" spans="1:14" s="76" customFormat="1" ht="15" customHeight="1">
      <c r="A895" s="90"/>
      <c r="B895" s="327"/>
      <c r="C895" s="274"/>
      <c r="D895" s="240"/>
      <c r="E895" s="334"/>
      <c r="F895" s="241"/>
      <c r="G895" s="188"/>
      <c r="H895" s="121"/>
      <c r="I895" s="222"/>
      <c r="J895" s="221"/>
      <c r="K895" s="89"/>
      <c r="L895" s="106"/>
      <c r="M895" s="252"/>
      <c r="N895" s="138"/>
    </row>
    <row r="896" spans="1:14" s="76" customFormat="1" ht="15" customHeight="1">
      <c r="A896" s="90"/>
      <c r="B896" s="327"/>
      <c r="C896" s="274"/>
      <c r="D896" s="240"/>
      <c r="E896" s="334"/>
      <c r="F896" s="241"/>
      <c r="G896" s="188"/>
      <c r="H896" s="121"/>
      <c r="I896" s="222"/>
      <c r="J896" s="221"/>
      <c r="K896" s="89"/>
      <c r="L896" s="106"/>
      <c r="M896" s="252"/>
      <c r="N896" s="138"/>
    </row>
    <row r="897" spans="1:14" s="76" customFormat="1" ht="15" customHeight="1">
      <c r="A897" s="90"/>
      <c r="B897" s="327"/>
      <c r="C897" s="330"/>
      <c r="D897" s="240"/>
      <c r="E897" s="334"/>
      <c r="F897" s="241"/>
      <c r="G897" s="188"/>
      <c r="H897" s="121"/>
      <c r="I897" s="239"/>
      <c r="J897" s="221"/>
      <c r="K897" s="89"/>
      <c r="L897" s="106"/>
      <c r="M897" s="252"/>
      <c r="N897" s="138"/>
    </row>
    <row r="898" spans="1:14" s="76" customFormat="1" ht="15" customHeight="1">
      <c r="A898" s="90"/>
      <c r="B898" s="327"/>
      <c r="C898" s="274"/>
      <c r="D898" s="240"/>
      <c r="E898" s="334"/>
      <c r="F898" s="241"/>
      <c r="G898" s="188"/>
      <c r="H898" s="121"/>
      <c r="I898" s="222"/>
      <c r="J898" s="221"/>
      <c r="K898" s="89"/>
      <c r="L898" s="106"/>
      <c r="M898" s="252"/>
      <c r="N898" s="138"/>
    </row>
    <row r="899" spans="1:14" s="76" customFormat="1" ht="15" customHeight="1">
      <c r="A899" s="90"/>
      <c r="B899" s="327"/>
      <c r="C899" s="330"/>
      <c r="D899" s="240"/>
      <c r="E899" s="334"/>
      <c r="F899" s="241"/>
      <c r="G899" s="188"/>
      <c r="H899" s="121"/>
      <c r="I899" s="239"/>
      <c r="J899" s="221"/>
      <c r="K899" s="89"/>
      <c r="L899" s="106"/>
      <c r="M899" s="252"/>
      <c r="N899" s="138"/>
    </row>
    <row r="900" spans="1:14" s="76" customFormat="1" ht="15" customHeight="1">
      <c r="A900" s="90"/>
      <c r="B900" s="327"/>
      <c r="C900" s="274"/>
      <c r="D900" s="240"/>
      <c r="E900" s="334"/>
      <c r="F900" s="241"/>
      <c r="G900" s="188"/>
      <c r="H900" s="121"/>
      <c r="I900" s="222"/>
      <c r="J900" s="221"/>
      <c r="K900" s="89"/>
      <c r="L900" s="106"/>
      <c r="M900" s="252"/>
      <c r="N900" s="138"/>
    </row>
    <row r="901" spans="1:14" s="76" customFormat="1" ht="15" customHeight="1">
      <c r="A901" s="90"/>
      <c r="B901" s="327"/>
      <c r="C901" s="330"/>
      <c r="D901" s="240"/>
      <c r="E901" s="334"/>
      <c r="F901" s="241"/>
      <c r="G901" s="188"/>
      <c r="H901" s="121"/>
      <c r="I901" s="239"/>
      <c r="J901" s="221"/>
      <c r="K901" s="89"/>
      <c r="L901" s="106"/>
      <c r="M901" s="252"/>
      <c r="N901" s="138"/>
    </row>
    <row r="902" spans="1:14" s="76" customFormat="1" ht="15" customHeight="1">
      <c r="A902" s="90"/>
      <c r="B902" s="327"/>
      <c r="C902" s="274"/>
      <c r="D902" s="240"/>
      <c r="E902" s="334"/>
      <c r="F902" s="241"/>
      <c r="G902" s="188"/>
      <c r="H902" s="121"/>
      <c r="I902" s="222"/>
      <c r="J902" s="221"/>
      <c r="K902" s="89"/>
      <c r="L902" s="106"/>
      <c r="M902" s="252"/>
      <c r="N902" s="138"/>
    </row>
    <row r="903" spans="1:14" s="76" customFormat="1" ht="15" customHeight="1">
      <c r="A903" s="90"/>
      <c r="B903" s="327"/>
      <c r="C903" s="330"/>
      <c r="D903" s="240"/>
      <c r="E903" s="334"/>
      <c r="F903" s="241"/>
      <c r="G903" s="188"/>
      <c r="H903" s="121"/>
      <c r="I903" s="239"/>
      <c r="J903" s="221"/>
      <c r="K903" s="89"/>
      <c r="L903" s="106"/>
      <c r="M903" s="252"/>
      <c r="N903" s="138"/>
    </row>
    <row r="904" spans="1:14" s="76" customFormat="1" ht="15" customHeight="1">
      <c r="A904" s="90"/>
      <c r="B904" s="327"/>
      <c r="C904" s="274"/>
      <c r="D904" s="240"/>
      <c r="E904" s="334"/>
      <c r="F904" s="241"/>
      <c r="G904" s="188"/>
      <c r="H904" s="121"/>
      <c r="I904" s="222"/>
      <c r="J904" s="221"/>
      <c r="K904" s="89"/>
      <c r="L904" s="106"/>
      <c r="M904" s="252"/>
      <c r="N904" s="138"/>
    </row>
    <row r="905" spans="1:14" s="76" customFormat="1" ht="15" customHeight="1">
      <c r="A905" s="90"/>
      <c r="B905" s="327"/>
      <c r="C905" s="330"/>
      <c r="D905" s="240"/>
      <c r="E905" s="334"/>
      <c r="F905" s="241"/>
      <c r="G905" s="188"/>
      <c r="H905" s="121"/>
      <c r="I905" s="239"/>
      <c r="J905" s="221"/>
      <c r="K905" s="89"/>
      <c r="L905" s="106"/>
      <c r="M905" s="252"/>
      <c r="N905" s="138"/>
    </row>
    <row r="906" spans="1:14" s="76" customFormat="1" ht="15" customHeight="1">
      <c r="A906" s="90"/>
      <c r="B906" s="327"/>
      <c r="C906" s="274"/>
      <c r="D906" s="240"/>
      <c r="E906" s="334"/>
      <c r="F906" s="241"/>
      <c r="G906" s="188"/>
      <c r="H906" s="121"/>
      <c r="I906" s="222"/>
      <c r="J906" s="221"/>
      <c r="K906" s="89"/>
      <c r="L906" s="106"/>
      <c r="M906" s="252"/>
      <c r="N906" s="138"/>
    </row>
    <row r="907" spans="1:14" s="76" customFormat="1" ht="15" customHeight="1">
      <c r="A907" s="90"/>
      <c r="B907" s="327"/>
      <c r="C907" s="330"/>
      <c r="D907" s="240"/>
      <c r="E907" s="333"/>
      <c r="F907" s="241"/>
      <c r="G907" s="188"/>
      <c r="H907" s="121"/>
      <c r="I907" s="239"/>
      <c r="J907" s="221"/>
      <c r="K907" s="89"/>
      <c r="L907" s="106"/>
      <c r="M907" s="252"/>
      <c r="N907" s="138"/>
    </row>
    <row r="908" spans="1:14" s="76" customFormat="1" ht="15" customHeight="1">
      <c r="A908" s="90"/>
      <c r="B908" s="327"/>
      <c r="C908" s="274"/>
      <c r="D908" s="240"/>
      <c r="E908" s="333"/>
      <c r="F908" s="241"/>
      <c r="G908" s="188"/>
      <c r="H908" s="121"/>
      <c r="I908" s="222"/>
      <c r="J908" s="221"/>
      <c r="K908" s="89"/>
      <c r="L908" s="106"/>
      <c r="M908" s="252"/>
      <c r="N908" s="138"/>
    </row>
    <row r="909" spans="1:14" s="76" customFormat="1" ht="15" customHeight="1">
      <c r="A909" s="90"/>
      <c r="B909" s="327"/>
      <c r="C909" s="330"/>
      <c r="D909" s="240"/>
      <c r="E909" s="334"/>
      <c r="F909" s="241"/>
      <c r="G909" s="188"/>
      <c r="H909" s="121"/>
      <c r="I909" s="239"/>
      <c r="J909" s="221"/>
      <c r="K909" s="89"/>
      <c r="L909" s="106"/>
      <c r="M909" s="252"/>
      <c r="N909" s="138"/>
    </row>
    <row r="910" spans="1:14" s="76" customFormat="1" ht="15" customHeight="1">
      <c r="A910" s="90"/>
      <c r="B910" s="327"/>
      <c r="C910" s="274"/>
      <c r="D910" s="240"/>
      <c r="E910" s="334"/>
      <c r="F910" s="241"/>
      <c r="G910" s="188"/>
      <c r="H910" s="121"/>
      <c r="I910" s="222"/>
      <c r="J910" s="221"/>
      <c r="K910" s="89"/>
      <c r="L910" s="106"/>
      <c r="M910" s="252"/>
      <c r="N910" s="138"/>
    </row>
    <row r="911" spans="1:14" s="76" customFormat="1" ht="15" customHeight="1">
      <c r="A911" s="90"/>
      <c r="B911" s="327"/>
      <c r="C911" s="330"/>
      <c r="D911" s="240"/>
      <c r="E911" s="334"/>
      <c r="F911" s="241"/>
      <c r="G911" s="188"/>
      <c r="H911" s="222"/>
      <c r="I911" s="239"/>
      <c r="J911" s="221"/>
      <c r="K911" s="89"/>
      <c r="L911" s="106"/>
      <c r="M911" s="252"/>
      <c r="N911" s="138"/>
    </row>
    <row r="912" spans="1:14" s="76" customFormat="1" ht="15" customHeight="1">
      <c r="A912" s="90"/>
      <c r="B912" s="327"/>
      <c r="C912" s="274"/>
      <c r="D912" s="240"/>
      <c r="E912" s="334"/>
      <c r="F912" s="241"/>
      <c r="G912" s="188"/>
      <c r="H912" s="222"/>
      <c r="I912" s="222"/>
      <c r="J912" s="221"/>
      <c r="K912" s="89"/>
      <c r="L912" s="106"/>
      <c r="M912" s="252"/>
      <c r="N912" s="138"/>
    </row>
    <row r="913" spans="1:14" s="76" customFormat="1" ht="15" customHeight="1">
      <c r="A913" s="90"/>
      <c r="B913" s="327"/>
      <c r="C913" s="330"/>
      <c r="D913" s="240"/>
      <c r="E913" s="334"/>
      <c r="F913" s="241"/>
      <c r="G913" s="188"/>
      <c r="H913" s="121"/>
      <c r="I913" s="239"/>
      <c r="J913" s="221"/>
      <c r="K913" s="89"/>
      <c r="L913" s="106"/>
      <c r="M913" s="252"/>
      <c r="N913" s="138"/>
    </row>
    <row r="914" spans="1:14" s="76" customFormat="1" ht="15" customHeight="1">
      <c r="A914" s="90"/>
      <c r="B914" s="327"/>
      <c r="C914" s="274"/>
      <c r="D914" s="240"/>
      <c r="E914" s="334"/>
      <c r="F914" s="241"/>
      <c r="G914" s="188"/>
      <c r="H914" s="121"/>
      <c r="I914" s="222"/>
      <c r="J914" s="221"/>
      <c r="K914" s="89"/>
      <c r="L914" s="106"/>
      <c r="M914" s="252"/>
      <c r="N914" s="138"/>
    </row>
    <row r="915" spans="1:14" s="76" customFormat="1" ht="15" customHeight="1">
      <c r="A915" s="90"/>
      <c r="B915" s="327"/>
      <c r="C915" s="330"/>
      <c r="D915" s="240"/>
      <c r="E915" s="334"/>
      <c r="F915" s="241"/>
      <c r="G915" s="188"/>
      <c r="H915" s="121"/>
      <c r="I915" s="239"/>
      <c r="J915" s="221"/>
      <c r="K915" s="89"/>
      <c r="L915" s="106"/>
      <c r="M915" s="252"/>
      <c r="N915" s="138"/>
    </row>
    <row r="916" spans="1:14" s="76" customFormat="1" ht="15" customHeight="1">
      <c r="A916" s="90"/>
      <c r="B916" s="327"/>
      <c r="C916" s="274"/>
      <c r="D916" s="240"/>
      <c r="E916" s="334"/>
      <c r="F916" s="241"/>
      <c r="G916" s="188"/>
      <c r="H916" s="121"/>
      <c r="I916" s="222"/>
      <c r="J916" s="221"/>
      <c r="K916" s="89"/>
      <c r="L916" s="106"/>
      <c r="M916" s="252"/>
      <c r="N916" s="138"/>
    </row>
    <row r="917" spans="1:14" s="76" customFormat="1" ht="15" customHeight="1">
      <c r="A917" s="90"/>
      <c r="B917" s="327"/>
      <c r="C917" s="330"/>
      <c r="D917" s="240"/>
      <c r="E917" s="334"/>
      <c r="F917" s="241"/>
      <c r="G917" s="188"/>
      <c r="H917" s="121"/>
      <c r="I917" s="239"/>
      <c r="J917" s="221"/>
      <c r="K917" s="89"/>
      <c r="L917" s="106"/>
      <c r="M917" s="252"/>
      <c r="N917" s="138"/>
    </row>
    <row r="918" spans="1:14" s="76" customFormat="1" ht="15" customHeight="1">
      <c r="A918" s="90"/>
      <c r="B918" s="327"/>
      <c r="C918" s="274"/>
      <c r="D918" s="240"/>
      <c r="E918" s="334"/>
      <c r="F918" s="241"/>
      <c r="G918" s="188"/>
      <c r="H918" s="121"/>
      <c r="I918" s="222"/>
      <c r="J918" s="221"/>
      <c r="K918" s="89"/>
      <c r="L918" s="106"/>
      <c r="M918" s="252"/>
      <c r="N918" s="138"/>
    </row>
    <row r="919" spans="1:14" s="76" customFormat="1" ht="15" customHeight="1">
      <c r="A919" s="90"/>
      <c r="B919" s="327"/>
      <c r="C919" s="330"/>
      <c r="D919" s="240"/>
      <c r="E919" s="334"/>
      <c r="F919" s="241"/>
      <c r="G919" s="188"/>
      <c r="H919" s="121"/>
      <c r="I919" s="239"/>
      <c r="J919" s="221"/>
      <c r="K919" s="89"/>
      <c r="L919" s="106"/>
      <c r="M919" s="252"/>
      <c r="N919" s="138"/>
    </row>
    <row r="920" spans="1:14" s="76" customFormat="1" ht="15" customHeight="1">
      <c r="A920" s="90"/>
      <c r="B920" s="327"/>
      <c r="C920" s="274"/>
      <c r="D920" s="240"/>
      <c r="E920" s="334"/>
      <c r="F920" s="241"/>
      <c r="G920" s="188"/>
      <c r="H920" s="121"/>
      <c r="I920" s="222"/>
      <c r="J920" s="221"/>
      <c r="K920" s="89"/>
      <c r="L920" s="106"/>
      <c r="M920" s="252"/>
      <c r="N920" s="138"/>
    </row>
    <row r="921" spans="1:14" s="76" customFormat="1" ht="15" customHeight="1">
      <c r="A921" s="90"/>
      <c r="B921" s="327"/>
      <c r="C921" s="330"/>
      <c r="D921" s="240"/>
      <c r="E921" s="334"/>
      <c r="F921" s="241"/>
      <c r="G921" s="188"/>
      <c r="H921" s="121"/>
      <c r="I921" s="239"/>
      <c r="J921" s="221"/>
      <c r="K921" s="89"/>
      <c r="L921" s="106"/>
      <c r="M921" s="252"/>
      <c r="N921" s="138"/>
    </row>
    <row r="922" spans="1:14" s="76" customFormat="1" ht="15" customHeight="1">
      <c r="A922" s="90"/>
      <c r="B922" s="327"/>
      <c r="C922" s="274"/>
      <c r="D922" s="240"/>
      <c r="E922" s="334"/>
      <c r="F922" s="241"/>
      <c r="G922" s="188"/>
      <c r="H922" s="121"/>
      <c r="I922" s="222"/>
      <c r="J922" s="221"/>
      <c r="K922" s="89"/>
      <c r="L922" s="106"/>
      <c r="M922" s="252"/>
      <c r="N922" s="138"/>
    </row>
    <row r="923" spans="1:14" s="76" customFormat="1" ht="15" customHeight="1">
      <c r="A923" s="90"/>
      <c r="B923" s="327"/>
      <c r="C923" s="330"/>
      <c r="D923" s="240"/>
      <c r="E923" s="334"/>
      <c r="F923" s="241"/>
      <c r="G923" s="188"/>
      <c r="H923" s="121"/>
      <c r="I923" s="239"/>
      <c r="J923" s="221"/>
      <c r="K923" s="89"/>
      <c r="L923" s="106"/>
      <c r="M923" s="252"/>
      <c r="N923" s="138"/>
    </row>
    <row r="924" spans="1:14" s="76" customFormat="1" ht="15" customHeight="1">
      <c r="A924" s="90"/>
      <c r="B924" s="327"/>
      <c r="C924" s="274"/>
      <c r="D924" s="240"/>
      <c r="E924" s="334"/>
      <c r="F924" s="241"/>
      <c r="G924" s="188"/>
      <c r="H924" s="121"/>
      <c r="I924" s="222"/>
      <c r="J924" s="221"/>
      <c r="K924" s="89"/>
      <c r="L924" s="106"/>
      <c r="M924" s="252"/>
      <c r="N924" s="138"/>
    </row>
    <row r="925" spans="1:14" s="76" customFormat="1" ht="15" customHeight="1">
      <c r="A925" s="90"/>
      <c r="B925" s="327"/>
      <c r="C925" s="330"/>
      <c r="D925" s="240"/>
      <c r="E925" s="334"/>
      <c r="F925" s="241"/>
      <c r="G925" s="188"/>
      <c r="H925" s="121"/>
      <c r="I925" s="239"/>
      <c r="J925" s="221"/>
      <c r="K925" s="89"/>
      <c r="L925" s="106"/>
      <c r="M925" s="252"/>
      <c r="N925" s="138"/>
    </row>
    <row r="926" spans="1:14" s="76" customFormat="1" ht="15" customHeight="1">
      <c r="A926" s="90"/>
      <c r="B926" s="327"/>
      <c r="C926" s="274"/>
      <c r="D926" s="240"/>
      <c r="E926" s="334"/>
      <c r="F926" s="241"/>
      <c r="G926" s="188"/>
      <c r="H926" s="121"/>
      <c r="I926" s="222"/>
      <c r="J926" s="221"/>
      <c r="K926" s="89"/>
      <c r="L926" s="106"/>
      <c r="M926" s="252"/>
      <c r="N926" s="138"/>
    </row>
    <row r="927" spans="1:14" s="76" customFormat="1" ht="15" customHeight="1">
      <c r="A927" s="90"/>
      <c r="B927" s="327"/>
      <c r="C927" s="330"/>
      <c r="D927" s="240"/>
      <c r="E927" s="334"/>
      <c r="F927" s="241"/>
      <c r="G927" s="188"/>
      <c r="H927" s="121"/>
      <c r="I927" s="239"/>
      <c r="J927" s="221"/>
      <c r="K927" s="89"/>
      <c r="L927" s="106"/>
      <c r="M927" s="252"/>
      <c r="N927" s="138"/>
    </row>
    <row r="928" spans="1:14" s="76" customFormat="1" ht="15" customHeight="1">
      <c r="A928" s="90"/>
      <c r="B928" s="327"/>
      <c r="C928" s="274"/>
      <c r="D928" s="240"/>
      <c r="E928" s="334"/>
      <c r="F928" s="241"/>
      <c r="G928" s="188"/>
      <c r="H928" s="121"/>
      <c r="I928" s="222"/>
      <c r="J928" s="221"/>
      <c r="K928" s="89"/>
      <c r="L928" s="106"/>
      <c r="M928" s="252"/>
      <c r="N928" s="138"/>
    </row>
    <row r="929" spans="1:14" s="76" customFormat="1" ht="15" customHeight="1">
      <c r="A929" s="90"/>
      <c r="B929" s="327"/>
      <c r="C929" s="330"/>
      <c r="D929" s="240"/>
      <c r="E929" s="334"/>
      <c r="F929" s="241"/>
      <c r="G929" s="188"/>
      <c r="H929" s="121"/>
      <c r="I929" s="239"/>
      <c r="J929" s="221"/>
      <c r="K929" s="89"/>
      <c r="L929" s="106"/>
      <c r="M929" s="252"/>
      <c r="N929" s="138"/>
    </row>
    <row r="930" spans="1:14" s="76" customFormat="1" ht="15" customHeight="1">
      <c r="A930" s="90"/>
      <c r="B930" s="327"/>
      <c r="C930" s="274"/>
      <c r="D930" s="240"/>
      <c r="E930" s="334"/>
      <c r="F930" s="241"/>
      <c r="G930" s="188"/>
      <c r="H930" s="121"/>
      <c r="I930" s="222"/>
      <c r="J930" s="221"/>
      <c r="K930" s="89"/>
      <c r="L930" s="106"/>
      <c r="M930" s="252"/>
      <c r="N930" s="138"/>
    </row>
    <row r="931" spans="1:14" s="76" customFormat="1" ht="15" customHeight="1">
      <c r="A931" s="90"/>
      <c r="B931" s="327"/>
      <c r="C931" s="330"/>
      <c r="D931" s="240"/>
      <c r="E931" s="334"/>
      <c r="F931" s="241"/>
      <c r="G931" s="188"/>
      <c r="H931" s="121"/>
      <c r="I931" s="239"/>
      <c r="J931" s="221"/>
      <c r="K931" s="89"/>
      <c r="L931" s="106"/>
      <c r="M931" s="252"/>
      <c r="N931" s="138"/>
    </row>
    <row r="932" spans="1:14" s="76" customFormat="1" ht="15" customHeight="1">
      <c r="A932" s="90"/>
      <c r="B932" s="327"/>
      <c r="C932" s="274"/>
      <c r="D932" s="240"/>
      <c r="E932" s="334"/>
      <c r="F932" s="241"/>
      <c r="G932" s="188"/>
      <c r="H932" s="121"/>
      <c r="I932" s="222"/>
      <c r="J932" s="221"/>
      <c r="K932" s="89"/>
      <c r="L932" s="106"/>
      <c r="M932" s="252"/>
      <c r="N932" s="138"/>
    </row>
    <row r="933" spans="1:14" s="76" customFormat="1" ht="15" customHeight="1">
      <c r="A933" s="90"/>
      <c r="B933" s="327"/>
      <c r="C933" s="330"/>
      <c r="D933" s="240"/>
      <c r="E933" s="334"/>
      <c r="F933" s="241"/>
      <c r="G933" s="321"/>
      <c r="H933" s="121"/>
      <c r="I933" s="239"/>
      <c r="J933" s="221"/>
      <c r="K933" s="89"/>
      <c r="L933" s="106"/>
      <c r="M933" s="252"/>
      <c r="N933" s="138"/>
    </row>
    <row r="934" spans="1:14" s="76" customFormat="1" ht="15" customHeight="1">
      <c r="A934" s="90"/>
      <c r="B934" s="327"/>
      <c r="C934" s="274"/>
      <c r="D934" s="240"/>
      <c r="E934" s="334"/>
      <c r="F934" s="241"/>
      <c r="G934" s="188"/>
      <c r="H934" s="121"/>
      <c r="I934" s="222"/>
      <c r="J934" s="221"/>
      <c r="K934" s="89"/>
      <c r="L934" s="106"/>
      <c r="M934" s="252"/>
      <c r="N934" s="138"/>
    </row>
    <row r="935" spans="1:14" s="76" customFormat="1" ht="15" customHeight="1">
      <c r="A935" s="90"/>
      <c r="B935" s="327"/>
      <c r="C935" s="330"/>
      <c r="D935" s="240"/>
      <c r="E935" s="334"/>
      <c r="F935" s="241"/>
      <c r="G935" s="322"/>
      <c r="H935" s="121"/>
      <c r="I935" s="239"/>
      <c r="J935" s="221"/>
      <c r="K935" s="89"/>
      <c r="L935" s="106"/>
      <c r="M935" s="252"/>
      <c r="N935" s="138"/>
    </row>
    <row r="936" spans="1:14" s="76" customFormat="1" ht="15" customHeight="1">
      <c r="A936" s="90"/>
      <c r="B936" s="327"/>
      <c r="C936" s="274"/>
      <c r="D936" s="240"/>
      <c r="E936" s="334"/>
      <c r="F936" s="241"/>
      <c r="G936" s="195"/>
      <c r="H936" s="121"/>
      <c r="I936" s="222"/>
      <c r="J936" s="221"/>
      <c r="K936" s="89"/>
      <c r="L936" s="106"/>
      <c r="M936" s="252"/>
      <c r="N936" s="138"/>
    </row>
    <row r="937" spans="1:14" s="76" customFormat="1" ht="15" customHeight="1">
      <c r="A937" s="90"/>
      <c r="B937" s="327"/>
      <c r="C937" s="274"/>
      <c r="D937" s="240"/>
      <c r="E937" s="334"/>
      <c r="F937" s="241"/>
      <c r="G937" s="195"/>
      <c r="H937" s="121"/>
      <c r="I937" s="222"/>
      <c r="J937" s="221"/>
      <c r="K937" s="89"/>
      <c r="L937" s="106"/>
      <c r="M937" s="252"/>
      <c r="N937" s="138"/>
    </row>
    <row r="938" spans="1:14" s="76" customFormat="1" ht="15" customHeight="1">
      <c r="A938" s="90"/>
      <c r="B938" s="327"/>
      <c r="C938" s="330"/>
      <c r="D938" s="240"/>
      <c r="E938" s="334"/>
      <c r="F938" s="241"/>
      <c r="G938" s="188"/>
      <c r="H938" s="121"/>
      <c r="I938" s="239"/>
      <c r="J938" s="221"/>
      <c r="K938" s="89"/>
      <c r="L938" s="106"/>
      <c r="M938" s="252"/>
      <c r="N938" s="138"/>
    </row>
    <row r="939" spans="1:14" s="76" customFormat="1" ht="15" customHeight="1">
      <c r="A939" s="90"/>
      <c r="B939" s="327"/>
      <c r="C939" s="274"/>
      <c r="D939" s="240"/>
      <c r="E939" s="334"/>
      <c r="F939" s="241"/>
      <c r="G939" s="188"/>
      <c r="H939" s="121"/>
      <c r="I939" s="222"/>
      <c r="J939" s="221"/>
      <c r="K939" s="89"/>
      <c r="L939" s="106"/>
      <c r="M939" s="252"/>
      <c r="N939" s="138"/>
    </row>
    <row r="940" spans="1:14" s="76" customFormat="1" ht="15" customHeight="1">
      <c r="A940" s="90"/>
      <c r="B940" s="327"/>
      <c r="C940" s="274"/>
      <c r="D940" s="240"/>
      <c r="E940" s="334"/>
      <c r="F940" s="241"/>
      <c r="G940" s="188"/>
      <c r="H940" s="121"/>
      <c r="I940" s="222"/>
      <c r="J940" s="221"/>
      <c r="K940" s="89"/>
      <c r="L940" s="106"/>
      <c r="M940" s="252"/>
      <c r="N940" s="138"/>
    </row>
    <row r="941" spans="1:14" s="76" customFormat="1" ht="15" customHeight="1">
      <c r="A941" s="90"/>
      <c r="B941" s="327"/>
      <c r="C941" s="330"/>
      <c r="D941" s="240"/>
      <c r="E941" s="334"/>
      <c r="F941" s="241"/>
      <c r="G941" s="188"/>
      <c r="H941" s="222"/>
      <c r="I941" s="239"/>
      <c r="J941" s="221"/>
      <c r="K941" s="89"/>
      <c r="L941" s="106"/>
      <c r="M941" s="252"/>
      <c r="N941" s="138"/>
    </row>
    <row r="942" spans="1:14" s="76" customFormat="1" ht="15" customHeight="1">
      <c r="A942" s="90"/>
      <c r="B942" s="327"/>
      <c r="C942" s="274"/>
      <c r="D942" s="240"/>
      <c r="E942" s="334"/>
      <c r="F942" s="241"/>
      <c r="G942" s="188"/>
      <c r="H942" s="222"/>
      <c r="I942" s="222"/>
      <c r="J942" s="221"/>
      <c r="K942" s="89"/>
      <c r="L942" s="106"/>
      <c r="M942" s="252"/>
      <c r="N942" s="138"/>
    </row>
    <row r="943" spans="1:14" s="76" customFormat="1" ht="15" customHeight="1">
      <c r="A943" s="90"/>
      <c r="B943" s="327"/>
      <c r="C943" s="330"/>
      <c r="D943" s="240"/>
      <c r="E943" s="334"/>
      <c r="F943" s="241"/>
      <c r="G943" s="188"/>
      <c r="H943" s="121"/>
      <c r="I943" s="239"/>
      <c r="J943" s="221"/>
      <c r="K943" s="89"/>
      <c r="L943" s="106"/>
      <c r="M943" s="252"/>
      <c r="N943" s="138"/>
    </row>
    <row r="944" spans="1:14" s="76" customFormat="1" ht="15" customHeight="1">
      <c r="A944" s="90"/>
      <c r="B944" s="327"/>
      <c r="C944" s="274"/>
      <c r="D944" s="240"/>
      <c r="E944" s="334"/>
      <c r="F944" s="241"/>
      <c r="G944" s="188"/>
      <c r="H944" s="121"/>
      <c r="I944" s="222"/>
      <c r="J944" s="221"/>
      <c r="K944" s="89"/>
      <c r="L944" s="106"/>
      <c r="M944" s="252"/>
      <c r="N944" s="138"/>
    </row>
    <row r="945" spans="1:15" s="76" customFormat="1" ht="15" customHeight="1">
      <c r="A945" s="90"/>
      <c r="B945" s="327"/>
      <c r="C945" s="330"/>
      <c r="D945" s="240"/>
      <c r="E945" s="334"/>
      <c r="F945" s="241"/>
      <c r="G945" s="188"/>
      <c r="H945" s="275"/>
      <c r="I945" s="276"/>
      <c r="J945" s="221"/>
      <c r="K945" s="89"/>
      <c r="L945" s="106"/>
      <c r="M945" s="252"/>
      <c r="N945" s="138"/>
    </row>
    <row r="946" spans="1:15" s="76" customFormat="1" ht="15" customHeight="1">
      <c r="A946" s="90"/>
      <c r="B946" s="327"/>
      <c r="C946" s="274"/>
      <c r="D946" s="240"/>
      <c r="E946" s="334"/>
      <c r="F946" s="241"/>
      <c r="G946" s="188"/>
      <c r="H946" s="275"/>
      <c r="I946" s="275"/>
      <c r="J946" s="221"/>
      <c r="K946" s="89"/>
      <c r="L946" s="106"/>
      <c r="M946" s="252"/>
      <c r="N946" s="138"/>
    </row>
    <row r="947" spans="1:15" s="76" customFormat="1" ht="15" customHeight="1">
      <c r="A947" s="90"/>
      <c r="B947" s="327"/>
      <c r="C947" s="330"/>
      <c r="D947" s="240"/>
      <c r="E947" s="334"/>
      <c r="F947" s="241"/>
      <c r="G947" s="188"/>
      <c r="H947" s="121"/>
      <c r="I947" s="239"/>
      <c r="J947" s="221"/>
      <c r="K947" s="89"/>
      <c r="L947" s="106"/>
      <c r="M947" s="252"/>
      <c r="N947" s="138"/>
    </row>
    <row r="948" spans="1:15" s="76" customFormat="1" ht="15" customHeight="1">
      <c r="A948" s="90"/>
      <c r="B948" s="327"/>
      <c r="C948" s="274"/>
      <c r="D948" s="240"/>
      <c r="E948" s="334"/>
      <c r="F948" s="241"/>
      <c r="G948" s="188"/>
      <c r="H948" s="121"/>
      <c r="I948" s="222"/>
      <c r="J948" s="221"/>
      <c r="K948" s="89"/>
      <c r="L948" s="106"/>
      <c r="M948" s="252"/>
      <c r="N948" s="138"/>
      <c r="O948" s="255"/>
    </row>
    <row r="949" spans="1:15" s="76" customFormat="1" ht="15" customHeight="1">
      <c r="A949" s="90"/>
      <c r="B949" s="327"/>
      <c r="C949" s="274"/>
      <c r="D949" s="240"/>
      <c r="E949" s="334"/>
      <c r="F949" s="241"/>
      <c r="G949" s="188"/>
      <c r="H949" s="121"/>
      <c r="I949" s="222"/>
      <c r="J949" s="221"/>
      <c r="K949" s="89"/>
      <c r="L949" s="106"/>
      <c r="M949" s="252"/>
      <c r="N949" s="138"/>
    </row>
    <row r="950" spans="1:15" s="76" customFormat="1" ht="15" customHeight="1">
      <c r="A950" s="90"/>
      <c r="B950" s="327"/>
      <c r="C950" s="330"/>
      <c r="D950" s="240"/>
      <c r="E950" s="334"/>
      <c r="F950" s="241"/>
      <c r="G950" s="195"/>
      <c r="H950" s="121"/>
      <c r="I950" s="239"/>
      <c r="J950" s="221"/>
      <c r="K950" s="89"/>
      <c r="L950" s="106"/>
      <c r="M950" s="252"/>
      <c r="N950" s="138"/>
    </row>
    <row r="951" spans="1:15" s="76" customFormat="1" ht="15" customHeight="1">
      <c r="A951" s="90"/>
      <c r="B951" s="327"/>
      <c r="C951" s="274"/>
      <c r="D951" s="240"/>
      <c r="E951" s="334"/>
      <c r="F951" s="241"/>
      <c r="G951" s="195"/>
      <c r="H951" s="121"/>
      <c r="I951" s="222"/>
      <c r="J951" s="221"/>
      <c r="K951" s="89"/>
      <c r="L951" s="106"/>
      <c r="M951" s="252"/>
      <c r="N951" s="138"/>
    </row>
    <row r="952" spans="1:15" s="76" customFormat="1" ht="15" customHeight="1">
      <c r="A952" s="90"/>
      <c r="B952" s="327"/>
      <c r="C952" s="330"/>
      <c r="D952" s="240"/>
      <c r="E952" s="334"/>
      <c r="F952" s="241"/>
      <c r="G952" s="188"/>
      <c r="H952" s="121"/>
      <c r="I952" s="132"/>
      <c r="J952" s="221"/>
      <c r="K952" s="89"/>
      <c r="L952" s="106"/>
      <c r="M952" s="252"/>
      <c r="N952" s="138"/>
    </row>
    <row r="953" spans="1:15" s="76" customFormat="1" ht="15" customHeight="1">
      <c r="A953" s="90"/>
      <c r="B953" s="328"/>
      <c r="C953" s="274"/>
      <c r="D953" s="240"/>
      <c r="E953" s="334"/>
      <c r="F953" s="241"/>
      <c r="G953" s="188"/>
      <c r="H953" s="121"/>
      <c r="I953" s="121"/>
      <c r="J953" s="221"/>
      <c r="K953" s="89"/>
      <c r="L953" s="106"/>
      <c r="M953" s="252"/>
      <c r="N953" s="138"/>
    </row>
    <row r="954" spans="1:15" s="76" customFormat="1" ht="15" customHeight="1">
      <c r="A954" s="90"/>
      <c r="B954" s="325"/>
      <c r="C954" s="280"/>
      <c r="D954" s="267"/>
      <c r="E954" s="323"/>
      <c r="F954" s="269"/>
      <c r="G954" s="266"/>
      <c r="H954" s="267"/>
      <c r="I954" s="267"/>
      <c r="J954" s="279"/>
      <c r="K954" s="337"/>
      <c r="L954" s="106"/>
      <c r="M954" s="284"/>
      <c r="N954" s="257"/>
      <c r="O954" s="258"/>
    </row>
    <row r="955" spans="1:15" s="76" customFormat="1" ht="15" customHeight="1">
      <c r="A955" s="90"/>
      <c r="B955" s="326"/>
      <c r="C955" s="280"/>
      <c r="D955" s="267"/>
      <c r="E955" s="323"/>
      <c r="F955" s="267"/>
      <c r="G955" s="266"/>
      <c r="H955" s="267"/>
      <c r="I955" s="267"/>
      <c r="J955" s="279"/>
      <c r="K955" s="337"/>
      <c r="L955" s="106"/>
      <c r="M955" s="285"/>
      <c r="N955" s="260"/>
      <c r="O955" s="258"/>
    </row>
    <row r="956" spans="1:15" s="76" customFormat="1" ht="15" customHeight="1">
      <c r="A956" s="90"/>
      <c r="B956" s="325"/>
      <c r="C956" s="280"/>
      <c r="D956" s="267"/>
      <c r="E956" s="323"/>
      <c r="F956" s="267"/>
      <c r="G956" s="266"/>
      <c r="H956" s="267"/>
      <c r="I956" s="267"/>
      <c r="J956" s="279"/>
      <c r="K956" s="337"/>
      <c r="L956" s="106"/>
      <c r="M956" s="284"/>
      <c r="N956" s="259"/>
      <c r="O956" s="258"/>
    </row>
    <row r="957" spans="1:15" s="76" customFormat="1" ht="15" customHeight="1">
      <c r="A957" s="90"/>
      <c r="B957" s="326"/>
      <c r="C957" s="280"/>
      <c r="D957" s="267"/>
      <c r="E957" s="323"/>
      <c r="F957" s="267"/>
      <c r="G957" s="266"/>
      <c r="H957" s="267"/>
      <c r="I957" s="267"/>
      <c r="J957" s="279"/>
      <c r="K957" s="337"/>
      <c r="L957" s="106"/>
      <c r="M957" s="285"/>
      <c r="N957" s="260"/>
      <c r="O957" s="258"/>
    </row>
    <row r="958" spans="1:15" s="76" customFormat="1" ht="15" customHeight="1">
      <c r="A958" s="90"/>
      <c r="B958" s="325"/>
      <c r="C958" s="280"/>
      <c r="D958" s="267"/>
      <c r="E958" s="323"/>
      <c r="F958" s="267"/>
      <c r="G958" s="266"/>
      <c r="H958" s="267"/>
      <c r="I958" s="267"/>
      <c r="J958" s="279"/>
      <c r="K958" s="337"/>
      <c r="L958" s="106"/>
      <c r="M958" s="284"/>
      <c r="N958" s="259"/>
      <c r="O958" s="258"/>
    </row>
    <row r="959" spans="1:15" s="76" customFormat="1" ht="15" customHeight="1">
      <c r="A959" s="90"/>
      <c r="B959" s="326"/>
      <c r="C959" s="280"/>
      <c r="D959" s="267"/>
      <c r="E959" s="323"/>
      <c r="F959" s="267"/>
      <c r="G959" s="266"/>
      <c r="H959" s="267"/>
      <c r="I959" s="267"/>
      <c r="J959" s="279"/>
      <c r="K959" s="337"/>
      <c r="L959" s="106"/>
      <c r="M959" s="285"/>
      <c r="N959" s="260"/>
      <c r="O959" s="258"/>
    </row>
    <row r="960" spans="1:15" s="76" customFormat="1" ht="15" customHeight="1">
      <c r="A960" s="90"/>
      <c r="B960" s="325"/>
      <c r="C960" s="280"/>
      <c r="D960" s="267"/>
      <c r="E960" s="323"/>
      <c r="F960" s="267"/>
      <c r="G960" s="266"/>
      <c r="H960" s="267"/>
      <c r="I960" s="267"/>
      <c r="J960" s="279"/>
      <c r="K960" s="337"/>
      <c r="L960" s="106"/>
      <c r="M960" s="284"/>
      <c r="N960" s="259"/>
      <c r="O960" s="258"/>
    </row>
    <row r="961" spans="1:15" s="76" customFormat="1" ht="15" customHeight="1">
      <c r="A961" s="90"/>
      <c r="B961" s="326"/>
      <c r="C961" s="280"/>
      <c r="D961" s="267"/>
      <c r="E961" s="323"/>
      <c r="F961" s="267"/>
      <c r="G961" s="279"/>
      <c r="H961" s="267"/>
      <c r="I961" s="267"/>
      <c r="J961" s="279"/>
      <c r="K961" s="337"/>
      <c r="L961" s="106"/>
      <c r="M961" s="285"/>
      <c r="N961" s="260"/>
      <c r="O961" s="258"/>
    </row>
    <row r="962" spans="1:15" s="76" customFormat="1" ht="15" customHeight="1">
      <c r="A962" s="90"/>
      <c r="B962" s="325"/>
      <c r="C962" s="280"/>
      <c r="D962" s="267"/>
      <c r="E962" s="323"/>
      <c r="F962" s="267"/>
      <c r="G962" s="266"/>
      <c r="H962" s="267"/>
      <c r="I962" s="267"/>
      <c r="J962" s="279"/>
      <c r="K962" s="337"/>
      <c r="L962" s="106"/>
      <c r="M962" s="286"/>
      <c r="N962" s="259"/>
      <c r="O962" s="258"/>
    </row>
    <row r="963" spans="1:15" s="76" customFormat="1" ht="15" customHeight="1">
      <c r="A963" s="90"/>
      <c r="B963" s="326"/>
      <c r="C963" s="280"/>
      <c r="D963" s="267"/>
      <c r="E963" s="323"/>
      <c r="F963" s="267"/>
      <c r="G963" s="266"/>
      <c r="H963" s="267"/>
      <c r="I963" s="267"/>
      <c r="J963" s="279"/>
      <c r="K963" s="337"/>
      <c r="L963" s="106"/>
      <c r="M963" s="287"/>
      <c r="N963" s="260"/>
      <c r="O963" s="258"/>
    </row>
    <row r="964" spans="1:15" s="76" customFormat="1" ht="15" customHeight="1">
      <c r="A964" s="90"/>
      <c r="B964" s="325"/>
      <c r="C964" s="280"/>
      <c r="D964" s="267"/>
      <c r="E964" s="323"/>
      <c r="F964" s="267"/>
      <c r="G964" s="266"/>
      <c r="H964" s="267"/>
      <c r="I964" s="267"/>
      <c r="J964" s="279"/>
      <c r="K964" s="337"/>
      <c r="L964" s="106"/>
      <c r="M964" s="288"/>
      <c r="N964" s="259"/>
      <c r="O964" s="258"/>
    </row>
    <row r="965" spans="1:15" s="76" customFormat="1" ht="15" customHeight="1">
      <c r="A965" s="90"/>
      <c r="B965" s="326"/>
      <c r="C965" s="280"/>
      <c r="D965" s="267"/>
      <c r="E965" s="323"/>
      <c r="F965" s="267"/>
      <c r="G965" s="279"/>
      <c r="H965" s="267"/>
      <c r="I965" s="267"/>
      <c r="J965" s="279"/>
      <c r="K965" s="337"/>
      <c r="L965" s="106"/>
      <c r="M965" s="287"/>
      <c r="N965" s="260"/>
      <c r="O965" s="258"/>
    </row>
    <row r="966" spans="1:15" s="76" customFormat="1" ht="15" customHeight="1">
      <c r="A966" s="90"/>
      <c r="B966" s="325"/>
      <c r="C966" s="280"/>
      <c r="D966" s="267"/>
      <c r="E966" s="323"/>
      <c r="F966" s="267"/>
      <c r="G966" s="266"/>
      <c r="H966" s="267"/>
      <c r="I966" s="267"/>
      <c r="J966" s="279"/>
      <c r="K966" s="337"/>
      <c r="L966" s="106"/>
      <c r="M966" s="289"/>
      <c r="N966" s="259"/>
      <c r="O966" s="258"/>
    </row>
    <row r="967" spans="1:15" s="76" customFormat="1" ht="15" customHeight="1">
      <c r="A967" s="90"/>
      <c r="B967" s="326"/>
      <c r="C967" s="280"/>
      <c r="D967" s="267"/>
      <c r="E967" s="323"/>
      <c r="F967" s="267"/>
      <c r="G967" s="266"/>
      <c r="H967" s="267"/>
      <c r="I967" s="267"/>
      <c r="J967" s="279"/>
      <c r="K967" s="337"/>
      <c r="L967" s="106"/>
      <c r="M967" s="287"/>
      <c r="N967" s="260"/>
      <c r="O967" s="258"/>
    </row>
    <row r="968" spans="1:15" s="76" customFormat="1" ht="15" customHeight="1">
      <c r="A968" s="90"/>
      <c r="B968" s="325"/>
      <c r="C968" s="280"/>
      <c r="D968" s="267"/>
      <c r="E968" s="323"/>
      <c r="F968" s="267"/>
      <c r="G968" s="266"/>
      <c r="H968" s="267"/>
      <c r="I968" s="267"/>
      <c r="J968" s="279"/>
      <c r="K968" s="337"/>
      <c r="L968" s="106"/>
      <c r="M968" s="289"/>
      <c r="N968" s="259"/>
      <c r="O968" s="258"/>
    </row>
    <row r="969" spans="1:15" s="76" customFormat="1" ht="15" customHeight="1">
      <c r="A969" s="90"/>
      <c r="B969" s="326"/>
      <c r="C969" s="280"/>
      <c r="D969" s="267"/>
      <c r="E969" s="323"/>
      <c r="F969" s="267"/>
      <c r="G969" s="266"/>
      <c r="H969" s="267"/>
      <c r="I969" s="267"/>
      <c r="J969" s="279"/>
      <c r="K969" s="337"/>
      <c r="L969" s="106"/>
      <c r="M969" s="287"/>
      <c r="N969" s="260"/>
      <c r="O969" s="258"/>
    </row>
    <row r="970" spans="1:15" s="76" customFormat="1" ht="15" customHeight="1">
      <c r="A970" s="90"/>
      <c r="B970" s="325"/>
      <c r="C970" s="280"/>
      <c r="D970" s="267"/>
      <c r="E970" s="323"/>
      <c r="F970" s="267"/>
      <c r="G970" s="266"/>
      <c r="H970" s="267"/>
      <c r="I970" s="267"/>
      <c r="J970" s="279"/>
      <c r="K970" s="337"/>
      <c r="L970" s="106"/>
      <c r="M970" s="289"/>
      <c r="N970" s="259"/>
      <c r="O970" s="258"/>
    </row>
    <row r="971" spans="1:15" s="76" customFormat="1" ht="15" customHeight="1">
      <c r="A971" s="90"/>
      <c r="B971" s="326"/>
      <c r="C971" s="280"/>
      <c r="D971" s="267"/>
      <c r="E971" s="323"/>
      <c r="F971" s="267"/>
      <c r="G971" s="279"/>
      <c r="H971" s="267"/>
      <c r="I971" s="267"/>
      <c r="J971" s="279"/>
      <c r="K971" s="337"/>
      <c r="L971" s="106"/>
      <c r="M971" s="287"/>
      <c r="N971" s="260"/>
      <c r="O971" s="258"/>
    </row>
    <row r="972" spans="1:15" s="76" customFormat="1" ht="15" customHeight="1">
      <c r="A972" s="90"/>
      <c r="B972" s="325"/>
      <c r="C972" s="280"/>
      <c r="D972" s="267"/>
      <c r="E972" s="323"/>
      <c r="F972" s="267"/>
      <c r="G972" s="266"/>
      <c r="H972" s="267"/>
      <c r="I972" s="267"/>
      <c r="J972" s="279"/>
      <c r="K972" s="337"/>
      <c r="L972" s="106"/>
      <c r="M972" s="290"/>
      <c r="N972" s="259"/>
      <c r="O972" s="258"/>
    </row>
    <row r="973" spans="1:15" s="76" customFormat="1" ht="15" customHeight="1">
      <c r="A973" s="90"/>
      <c r="B973" s="326"/>
      <c r="C973" s="280"/>
      <c r="D973" s="267"/>
      <c r="E973" s="323"/>
      <c r="F973" s="267"/>
      <c r="G973" s="266"/>
      <c r="H973" s="267"/>
      <c r="I973" s="267"/>
      <c r="J973" s="279"/>
      <c r="K973" s="337"/>
      <c r="L973" s="106"/>
      <c r="M973" s="256"/>
      <c r="N973" s="260"/>
      <c r="O973" s="258"/>
    </row>
    <row r="974" spans="1:15" s="76" customFormat="1" ht="15" customHeight="1">
      <c r="A974" s="90"/>
      <c r="B974" s="325"/>
      <c r="C974" s="280"/>
      <c r="D974" s="267"/>
      <c r="E974" s="323"/>
      <c r="F974" s="267"/>
      <c r="G974" s="266"/>
      <c r="H974" s="267"/>
      <c r="I974" s="267"/>
      <c r="J974" s="279"/>
      <c r="K974" s="337"/>
      <c r="L974" s="106"/>
      <c r="M974" s="290"/>
      <c r="N974" s="259"/>
      <c r="O974" s="258"/>
    </row>
    <row r="975" spans="1:15" s="76" customFormat="1" ht="15" customHeight="1">
      <c r="A975" s="90"/>
      <c r="B975" s="326"/>
      <c r="C975" s="280"/>
      <c r="D975" s="267"/>
      <c r="E975" s="323"/>
      <c r="F975" s="267"/>
      <c r="G975" s="266"/>
      <c r="H975" s="267"/>
      <c r="I975" s="267"/>
      <c r="J975" s="279"/>
      <c r="K975" s="337"/>
      <c r="L975" s="106"/>
      <c r="M975" s="256"/>
      <c r="N975" s="260"/>
      <c r="O975" s="258"/>
    </row>
    <row r="976" spans="1:15" s="76" customFormat="1" ht="15" customHeight="1">
      <c r="A976" s="90"/>
      <c r="B976" s="325"/>
      <c r="C976" s="280"/>
      <c r="D976" s="267"/>
      <c r="E976" s="323"/>
      <c r="F976" s="267"/>
      <c r="G976" s="266"/>
      <c r="H976" s="267"/>
      <c r="I976" s="267"/>
      <c r="J976" s="279"/>
      <c r="K976" s="337"/>
      <c r="L976" s="106"/>
      <c r="M976" s="290"/>
      <c r="N976" s="259"/>
      <c r="O976" s="258"/>
    </row>
    <row r="977" spans="1:15" s="76" customFormat="1" ht="15" customHeight="1">
      <c r="A977" s="90"/>
      <c r="B977" s="326"/>
      <c r="C977" s="280"/>
      <c r="D977" s="267"/>
      <c r="E977" s="323"/>
      <c r="F977" s="267"/>
      <c r="G977" s="266"/>
      <c r="H977" s="267"/>
      <c r="I977" s="267"/>
      <c r="J977" s="279"/>
      <c r="K977" s="337"/>
      <c r="L977" s="106"/>
      <c r="M977" s="256"/>
      <c r="N977" s="260"/>
      <c r="O977" s="258"/>
    </row>
    <row r="978" spans="1:15" s="76" customFormat="1" ht="15" customHeight="1">
      <c r="A978" s="90"/>
      <c r="B978" s="325"/>
      <c r="C978" s="280"/>
      <c r="D978" s="267"/>
      <c r="E978" s="323"/>
      <c r="F978" s="267"/>
      <c r="G978" s="266"/>
      <c r="H978" s="267"/>
      <c r="I978" s="267"/>
      <c r="J978" s="279"/>
      <c r="K978" s="337"/>
      <c r="L978" s="106"/>
      <c r="M978" s="291"/>
      <c r="N978" s="259"/>
      <c r="O978" s="258"/>
    </row>
    <row r="979" spans="1:15" s="76" customFormat="1" ht="15" customHeight="1">
      <c r="A979" s="90"/>
      <c r="B979" s="326"/>
      <c r="C979" s="280"/>
      <c r="D979" s="267"/>
      <c r="E979" s="323"/>
      <c r="F979" s="267"/>
      <c r="G979" s="266"/>
      <c r="H979" s="267"/>
      <c r="I979" s="267"/>
      <c r="J979" s="279"/>
      <c r="K979" s="337"/>
      <c r="L979" s="106"/>
      <c r="M979" s="256"/>
      <c r="N979" s="260"/>
      <c r="O979" s="258"/>
    </row>
    <row r="980" spans="1:15" s="76" customFormat="1" ht="15" customHeight="1">
      <c r="A980" s="90"/>
      <c r="B980" s="325"/>
      <c r="C980" s="280"/>
      <c r="D980" s="267"/>
      <c r="E980" s="323"/>
      <c r="F980" s="267"/>
      <c r="G980" s="266"/>
      <c r="H980" s="267"/>
      <c r="I980" s="267"/>
      <c r="J980" s="279"/>
      <c r="K980" s="337"/>
      <c r="L980" s="106"/>
      <c r="M980" s="290"/>
      <c r="N980" s="259"/>
      <c r="O980" s="258"/>
    </row>
    <row r="981" spans="1:15" s="76" customFormat="1" ht="15" customHeight="1">
      <c r="A981" s="90"/>
      <c r="B981" s="326"/>
      <c r="C981" s="280"/>
      <c r="D981" s="267"/>
      <c r="E981" s="323"/>
      <c r="F981" s="267"/>
      <c r="G981" s="266"/>
      <c r="H981" s="267"/>
      <c r="I981" s="267"/>
      <c r="J981" s="279"/>
      <c r="K981" s="337"/>
      <c r="L981" s="106"/>
      <c r="M981" s="256"/>
      <c r="N981" s="260"/>
      <c r="O981" s="258"/>
    </row>
    <row r="982" spans="1:15" s="76" customFormat="1" ht="15" customHeight="1">
      <c r="A982" s="90"/>
      <c r="B982" s="325"/>
      <c r="C982" s="280"/>
      <c r="D982" s="267"/>
      <c r="E982" s="323"/>
      <c r="F982" s="267"/>
      <c r="G982" s="266"/>
      <c r="H982" s="267"/>
      <c r="I982" s="267"/>
      <c r="J982" s="279"/>
      <c r="K982" s="337"/>
      <c r="L982" s="106"/>
      <c r="M982" s="290"/>
      <c r="N982" s="259"/>
      <c r="O982" s="258"/>
    </row>
    <row r="983" spans="1:15" s="76" customFormat="1" ht="15" customHeight="1">
      <c r="A983" s="90"/>
      <c r="B983" s="326"/>
      <c r="C983" s="280"/>
      <c r="D983" s="267"/>
      <c r="E983" s="323"/>
      <c r="F983" s="267"/>
      <c r="G983" s="266"/>
      <c r="H983" s="267"/>
      <c r="I983" s="267"/>
      <c r="J983" s="279"/>
      <c r="K983" s="337"/>
      <c r="L983" s="106"/>
      <c r="M983" s="290"/>
      <c r="N983" s="259"/>
      <c r="O983" s="258"/>
    </row>
    <row r="984" spans="1:15" s="76" customFormat="1" ht="15" customHeight="1">
      <c r="A984" s="90"/>
      <c r="B984" s="326"/>
      <c r="C984" s="280"/>
      <c r="D984" s="267"/>
      <c r="E984" s="323"/>
      <c r="F984" s="267"/>
      <c r="G984" s="266"/>
      <c r="H984" s="267"/>
      <c r="I984" s="267"/>
      <c r="J984" s="279"/>
      <c r="K984" s="337"/>
      <c r="L984" s="106"/>
      <c r="M984" s="256"/>
      <c r="N984" s="260"/>
      <c r="O984" s="258"/>
    </row>
    <row r="985" spans="1:15" s="76" customFormat="1" ht="15" customHeight="1">
      <c r="A985" s="90"/>
      <c r="B985" s="325"/>
      <c r="C985" s="280"/>
      <c r="D985" s="267"/>
      <c r="E985" s="323"/>
      <c r="F985" s="267"/>
      <c r="G985" s="266"/>
      <c r="H985" s="267"/>
      <c r="I985" s="267"/>
      <c r="J985" s="279"/>
      <c r="K985" s="337"/>
      <c r="L985" s="106"/>
      <c r="M985" s="290"/>
      <c r="N985" s="259"/>
      <c r="O985" s="258"/>
    </row>
    <row r="986" spans="1:15" s="76" customFormat="1" ht="15" customHeight="1">
      <c r="A986" s="90"/>
      <c r="B986" s="326"/>
      <c r="C986" s="280"/>
      <c r="D986" s="267"/>
      <c r="E986" s="323"/>
      <c r="F986" s="267"/>
      <c r="G986" s="279"/>
      <c r="H986" s="267"/>
      <c r="I986" s="267"/>
      <c r="J986" s="279"/>
      <c r="K986" s="337"/>
      <c r="L986" s="106"/>
      <c r="M986" s="256"/>
      <c r="N986" s="260"/>
      <c r="O986" s="258"/>
    </row>
    <row r="987" spans="1:15" s="76" customFormat="1" ht="15" customHeight="1">
      <c r="A987" s="90"/>
      <c r="B987" s="325"/>
      <c r="C987" s="280"/>
      <c r="D987" s="267"/>
      <c r="E987" s="323"/>
      <c r="F987" s="267"/>
      <c r="G987" s="266"/>
      <c r="H987" s="267"/>
      <c r="I987" s="267"/>
      <c r="J987" s="279"/>
      <c r="K987" s="337"/>
      <c r="L987" s="106"/>
      <c r="M987" s="292"/>
      <c r="N987" s="259"/>
      <c r="O987" s="258"/>
    </row>
    <row r="988" spans="1:15" s="76" customFormat="1" ht="15" customHeight="1">
      <c r="A988" s="90"/>
      <c r="B988" s="326"/>
      <c r="C988" s="280"/>
      <c r="D988" s="267"/>
      <c r="E988" s="323"/>
      <c r="F988" s="267"/>
      <c r="G988" s="266"/>
      <c r="H988" s="267"/>
      <c r="I988" s="267"/>
      <c r="J988" s="279"/>
      <c r="K988" s="337"/>
      <c r="L988" s="106"/>
      <c r="M988" s="285"/>
      <c r="N988" s="260"/>
      <c r="O988" s="258"/>
    </row>
    <row r="989" spans="1:15" s="76" customFormat="1" ht="15" customHeight="1">
      <c r="A989" s="90"/>
      <c r="B989" s="325"/>
      <c r="C989" s="280"/>
      <c r="D989" s="267"/>
      <c r="E989" s="323"/>
      <c r="F989" s="267"/>
      <c r="G989" s="266"/>
      <c r="H989" s="267"/>
      <c r="I989" s="267"/>
      <c r="J989" s="279"/>
      <c r="K989" s="337"/>
      <c r="L989" s="106"/>
      <c r="M989" s="284"/>
      <c r="N989" s="259"/>
      <c r="O989" s="258"/>
    </row>
    <row r="990" spans="1:15" s="76" customFormat="1" ht="15" customHeight="1">
      <c r="A990" s="90"/>
      <c r="B990" s="326"/>
      <c r="C990" s="280"/>
      <c r="D990" s="267"/>
      <c r="E990" s="323"/>
      <c r="F990" s="267"/>
      <c r="G990" s="266"/>
      <c r="H990" s="267"/>
      <c r="I990" s="267"/>
      <c r="J990" s="279"/>
      <c r="K990" s="337"/>
      <c r="L990" s="106"/>
      <c r="M990" s="285"/>
      <c r="N990" s="260"/>
      <c r="O990" s="258"/>
    </row>
    <row r="991" spans="1:15" s="76" customFormat="1" ht="15" customHeight="1">
      <c r="A991" s="90"/>
      <c r="B991" s="325"/>
      <c r="C991" s="280"/>
      <c r="D991" s="267"/>
      <c r="E991" s="323"/>
      <c r="F991" s="267"/>
      <c r="G991" s="266"/>
      <c r="H991" s="267"/>
      <c r="I991" s="267"/>
      <c r="J991" s="279"/>
      <c r="K991" s="337"/>
      <c r="L991" s="106"/>
      <c r="M991" s="284"/>
      <c r="N991" s="259"/>
      <c r="O991" s="258"/>
    </row>
    <row r="992" spans="1:15" s="76" customFormat="1" ht="15" customHeight="1">
      <c r="A992" s="90"/>
      <c r="B992" s="326"/>
      <c r="C992" s="280"/>
      <c r="D992" s="267"/>
      <c r="E992" s="323"/>
      <c r="F992" s="267"/>
      <c r="G992" s="266"/>
      <c r="H992" s="267"/>
      <c r="I992" s="267"/>
      <c r="J992" s="279"/>
      <c r="K992" s="337"/>
      <c r="L992" s="106"/>
      <c r="M992" s="285"/>
      <c r="N992" s="260"/>
      <c r="O992" s="258"/>
    </row>
    <row r="993" spans="1:15" s="76" customFormat="1" ht="15" customHeight="1">
      <c r="A993" s="90"/>
      <c r="B993" s="325"/>
      <c r="C993" s="280"/>
      <c r="D993" s="267"/>
      <c r="E993" s="323"/>
      <c r="F993" s="267"/>
      <c r="G993" s="266"/>
      <c r="H993" s="267"/>
      <c r="I993" s="267"/>
      <c r="J993" s="279"/>
      <c r="K993" s="337"/>
      <c r="L993" s="106"/>
      <c r="M993" s="284"/>
      <c r="N993" s="259"/>
      <c r="O993" s="258"/>
    </row>
    <row r="994" spans="1:15" s="76" customFormat="1" ht="15" customHeight="1">
      <c r="A994" s="90"/>
      <c r="B994" s="326"/>
      <c r="C994" s="280"/>
      <c r="D994" s="267"/>
      <c r="E994" s="323"/>
      <c r="F994" s="267"/>
      <c r="G994" s="266"/>
      <c r="H994" s="267"/>
      <c r="I994" s="267"/>
      <c r="J994" s="279"/>
      <c r="K994" s="337"/>
      <c r="L994" s="106"/>
      <c r="M994" s="285"/>
      <c r="N994" s="261"/>
      <c r="O994" s="258"/>
    </row>
    <row r="995" spans="1:15" s="76" customFormat="1" ht="15" customHeight="1">
      <c r="A995" s="90"/>
      <c r="B995" s="325"/>
      <c r="C995" s="280"/>
      <c r="D995" s="268"/>
      <c r="E995" s="323"/>
      <c r="F995" s="273"/>
      <c r="G995" s="266"/>
      <c r="H995" s="270"/>
      <c r="I995" s="270"/>
      <c r="J995" s="266"/>
      <c r="K995" s="338"/>
      <c r="L995" s="106"/>
      <c r="M995" s="293"/>
      <c r="N995" s="262"/>
      <c r="O995" s="263"/>
    </row>
    <row r="996" spans="1:15" s="76" customFormat="1" ht="15" customHeight="1">
      <c r="A996" s="90"/>
      <c r="B996" s="326"/>
      <c r="C996" s="280"/>
      <c r="D996" s="267"/>
      <c r="E996" s="323"/>
      <c r="F996" s="267"/>
      <c r="G996" s="279"/>
      <c r="H996" s="267"/>
      <c r="I996" s="267"/>
      <c r="J996" s="279"/>
      <c r="K996" s="337"/>
      <c r="L996" s="106"/>
      <c r="M996" s="294"/>
      <c r="N996" s="260"/>
      <c r="O996" s="258"/>
    </row>
    <row r="997" spans="1:15" s="76" customFormat="1" ht="15" customHeight="1">
      <c r="A997" s="90"/>
      <c r="B997" s="325"/>
      <c r="C997" s="280"/>
      <c r="D997" s="267"/>
      <c r="E997" s="323"/>
      <c r="F997" s="267"/>
      <c r="G997" s="266"/>
      <c r="H997" s="267"/>
      <c r="I997" s="267"/>
      <c r="J997" s="279"/>
      <c r="K997" s="337"/>
      <c r="L997" s="106"/>
      <c r="M997" s="295"/>
      <c r="N997" s="259"/>
      <c r="O997" s="258"/>
    </row>
    <row r="998" spans="1:15" s="76" customFormat="1" ht="15" customHeight="1">
      <c r="A998" s="90"/>
      <c r="B998" s="326"/>
      <c r="C998" s="280"/>
      <c r="D998" s="267"/>
      <c r="E998" s="323"/>
      <c r="F998" s="267"/>
      <c r="G998" s="279"/>
      <c r="H998" s="267"/>
      <c r="I998" s="267"/>
      <c r="J998" s="279"/>
      <c r="K998" s="337"/>
      <c r="L998" s="106"/>
      <c r="M998" s="296"/>
      <c r="N998" s="260"/>
      <c r="O998" s="258"/>
    </row>
    <row r="999" spans="1:15" s="76" customFormat="1" ht="15" customHeight="1">
      <c r="A999" s="90"/>
      <c r="B999" s="325"/>
      <c r="C999" s="280"/>
      <c r="D999" s="267"/>
      <c r="E999" s="323"/>
      <c r="F999" s="267"/>
      <c r="G999" s="266"/>
      <c r="H999" s="267"/>
      <c r="I999" s="267"/>
      <c r="J999" s="279"/>
      <c r="K999" s="337"/>
      <c r="L999" s="106"/>
      <c r="M999" s="284"/>
      <c r="N999" s="259"/>
      <c r="O999" s="258"/>
    </row>
    <row r="1000" spans="1:15" s="76" customFormat="1" ht="15" customHeight="1">
      <c r="A1000" s="90"/>
      <c r="B1000" s="326"/>
      <c r="C1000" s="280"/>
      <c r="D1000" s="267"/>
      <c r="E1000" s="323"/>
      <c r="F1000" s="267"/>
      <c r="G1000" s="266"/>
      <c r="H1000" s="267"/>
      <c r="I1000" s="267"/>
      <c r="J1000" s="279"/>
      <c r="K1000" s="337"/>
      <c r="L1000" s="106"/>
      <c r="M1000" s="285"/>
      <c r="N1000" s="260"/>
      <c r="O1000" s="258"/>
    </row>
    <row r="1001" spans="1:15" s="76" customFormat="1" ht="15" customHeight="1">
      <c r="A1001" s="90"/>
      <c r="B1001" s="325"/>
      <c r="C1001" s="280"/>
      <c r="D1001" s="267"/>
      <c r="E1001" s="323"/>
      <c r="F1001" s="267"/>
      <c r="G1001" s="266"/>
      <c r="H1001" s="267"/>
      <c r="I1001" s="267"/>
      <c r="J1001" s="279"/>
      <c r="K1001" s="337"/>
      <c r="L1001" s="106"/>
      <c r="M1001" s="284"/>
      <c r="N1001" s="259"/>
      <c r="O1001" s="258"/>
    </row>
    <row r="1002" spans="1:15" s="76" customFormat="1" ht="15" customHeight="1">
      <c r="A1002" s="90"/>
      <c r="B1002" s="326"/>
      <c r="C1002" s="280"/>
      <c r="D1002" s="267"/>
      <c r="E1002" s="323"/>
      <c r="F1002" s="267"/>
      <c r="G1002" s="279"/>
      <c r="H1002" s="267"/>
      <c r="I1002" s="267"/>
      <c r="J1002" s="279"/>
      <c r="K1002" s="337"/>
      <c r="L1002" s="106"/>
      <c r="M1002" s="285"/>
      <c r="N1002" s="260"/>
      <c r="O1002" s="258"/>
    </row>
    <row r="1003" spans="1:15" s="76" customFormat="1" ht="15" customHeight="1">
      <c r="A1003" s="90"/>
      <c r="B1003" s="325"/>
      <c r="C1003" s="280"/>
      <c r="D1003" s="267"/>
      <c r="E1003" s="323"/>
      <c r="F1003" s="267"/>
      <c r="G1003" s="266"/>
      <c r="H1003" s="267"/>
      <c r="I1003" s="267"/>
      <c r="J1003" s="279"/>
      <c r="K1003" s="337"/>
      <c r="L1003" s="106"/>
      <c r="M1003" s="284"/>
      <c r="N1003" s="259"/>
      <c r="O1003" s="258"/>
    </row>
    <row r="1004" spans="1:15" s="76" customFormat="1" ht="15" customHeight="1">
      <c r="A1004" s="90"/>
      <c r="B1004" s="326"/>
      <c r="C1004" s="280"/>
      <c r="D1004" s="267"/>
      <c r="E1004" s="323"/>
      <c r="F1004" s="267"/>
      <c r="G1004" s="266"/>
      <c r="H1004" s="267"/>
      <c r="I1004" s="267"/>
      <c r="J1004" s="279"/>
      <c r="K1004" s="337"/>
      <c r="L1004" s="106"/>
      <c r="M1004" s="285"/>
      <c r="N1004" s="260"/>
      <c r="O1004" s="258"/>
    </row>
    <row r="1005" spans="1:15" s="76" customFormat="1" ht="15" customHeight="1">
      <c r="A1005" s="90"/>
      <c r="B1005" s="325"/>
      <c r="C1005" s="280"/>
      <c r="D1005" s="267"/>
      <c r="E1005" s="323"/>
      <c r="F1005" s="267"/>
      <c r="G1005" s="266"/>
      <c r="H1005" s="267"/>
      <c r="I1005" s="267"/>
      <c r="J1005" s="279"/>
      <c r="K1005" s="337"/>
      <c r="L1005" s="106"/>
      <c r="M1005" s="284"/>
      <c r="N1005" s="259"/>
      <c r="O1005" s="258"/>
    </row>
    <row r="1006" spans="1:15" s="76" customFormat="1" ht="15" customHeight="1">
      <c r="A1006" s="90"/>
      <c r="B1006" s="326"/>
      <c r="C1006" s="280"/>
      <c r="D1006" s="267"/>
      <c r="E1006" s="323"/>
      <c r="F1006" s="267"/>
      <c r="G1006" s="266"/>
      <c r="H1006" s="267"/>
      <c r="I1006" s="267"/>
      <c r="J1006" s="279"/>
      <c r="K1006" s="337"/>
      <c r="L1006" s="106"/>
      <c r="M1006" s="285"/>
      <c r="N1006" s="260"/>
      <c r="O1006" s="258"/>
    </row>
    <row r="1007" spans="1:15" s="76" customFormat="1" ht="15" customHeight="1">
      <c r="A1007" s="90"/>
      <c r="B1007" s="325"/>
      <c r="C1007" s="280"/>
      <c r="D1007" s="267"/>
      <c r="E1007" s="323"/>
      <c r="F1007" s="267"/>
      <c r="G1007" s="266"/>
      <c r="H1007" s="267"/>
      <c r="I1007" s="267"/>
      <c r="J1007" s="279"/>
      <c r="K1007" s="337"/>
      <c r="L1007" s="106"/>
      <c r="M1007" s="284"/>
      <c r="N1007" s="259"/>
      <c r="O1007" s="258"/>
    </row>
    <row r="1008" spans="1:15" s="76" customFormat="1" ht="15" customHeight="1">
      <c r="A1008" s="90"/>
      <c r="B1008" s="326"/>
      <c r="C1008" s="280"/>
      <c r="D1008" s="267"/>
      <c r="E1008" s="323"/>
      <c r="F1008" s="267"/>
      <c r="G1008" s="266"/>
      <c r="H1008" s="267"/>
      <c r="I1008" s="267"/>
      <c r="J1008" s="279"/>
      <c r="K1008" s="337"/>
      <c r="L1008" s="106"/>
      <c r="M1008" s="285"/>
      <c r="N1008" s="260"/>
      <c r="O1008" s="258"/>
    </row>
    <row r="1009" spans="1:15" s="76" customFormat="1" ht="15" customHeight="1">
      <c r="A1009" s="90"/>
      <c r="B1009" s="325"/>
      <c r="C1009" s="280"/>
      <c r="D1009" s="268"/>
      <c r="E1009" s="323"/>
      <c r="F1009" s="272"/>
      <c r="G1009" s="280"/>
      <c r="H1009" s="270"/>
      <c r="I1009" s="270"/>
      <c r="J1009" s="266"/>
      <c r="K1009" s="338"/>
      <c r="L1009" s="106"/>
      <c r="M1009" s="297"/>
      <c r="N1009" s="262"/>
      <c r="O1009" s="263"/>
    </row>
    <row r="1010" spans="1:15" s="76" customFormat="1" ht="15" customHeight="1">
      <c r="A1010" s="90"/>
      <c r="B1010" s="326"/>
      <c r="C1010" s="280"/>
      <c r="D1010" s="268"/>
      <c r="E1010" s="323"/>
      <c r="F1010" s="268"/>
      <c r="G1010" s="266"/>
      <c r="H1010" s="270"/>
      <c r="I1010" s="270"/>
      <c r="J1010" s="266"/>
      <c r="K1010" s="338"/>
      <c r="L1010" s="106"/>
      <c r="M1010" s="298"/>
      <c r="N1010" s="264"/>
      <c r="O1010" s="263"/>
    </row>
    <row r="1011" spans="1:15" s="76" customFormat="1" ht="15" customHeight="1">
      <c r="A1011" s="90"/>
      <c r="B1011" s="325"/>
      <c r="C1011" s="280"/>
      <c r="D1011" s="267"/>
      <c r="E1011" s="323"/>
      <c r="F1011" s="267"/>
      <c r="G1011" s="266"/>
      <c r="H1011" s="267"/>
      <c r="I1011" s="267"/>
      <c r="J1011" s="279"/>
      <c r="K1011" s="337"/>
      <c r="L1011" s="106"/>
      <c r="M1011" s="289"/>
      <c r="N1011" s="259"/>
      <c r="O1011" s="258"/>
    </row>
    <row r="1012" spans="1:15" s="76" customFormat="1" ht="15" customHeight="1">
      <c r="A1012" s="90"/>
      <c r="B1012" s="326"/>
      <c r="C1012" s="280"/>
      <c r="D1012" s="267"/>
      <c r="E1012" s="323"/>
      <c r="F1012" s="267"/>
      <c r="G1012" s="266"/>
      <c r="H1012" s="267"/>
      <c r="I1012" s="267"/>
      <c r="J1012" s="279"/>
      <c r="K1012" s="337"/>
      <c r="L1012" s="106"/>
      <c r="M1012" s="287"/>
      <c r="N1012" s="260"/>
      <c r="O1012" s="258"/>
    </row>
    <row r="1013" spans="1:15" s="76" customFormat="1" ht="15" customHeight="1">
      <c r="A1013" s="90"/>
      <c r="B1013" s="325"/>
      <c r="C1013" s="280"/>
      <c r="D1013" s="267"/>
      <c r="E1013" s="323"/>
      <c r="F1013" s="267"/>
      <c r="G1013" s="266"/>
      <c r="H1013" s="267"/>
      <c r="I1013" s="267"/>
      <c r="J1013" s="279"/>
      <c r="K1013" s="337"/>
      <c r="L1013" s="106"/>
      <c r="M1013" s="286"/>
      <c r="N1013" s="259"/>
      <c r="O1013" s="258"/>
    </row>
    <row r="1014" spans="1:15" s="76" customFormat="1" ht="15" customHeight="1">
      <c r="A1014" s="90"/>
      <c r="B1014" s="326"/>
      <c r="C1014" s="280"/>
      <c r="D1014" s="267"/>
      <c r="E1014" s="323"/>
      <c r="F1014" s="267"/>
      <c r="G1014" s="279"/>
      <c r="H1014" s="267"/>
      <c r="I1014" s="267"/>
      <c r="J1014" s="279"/>
      <c r="K1014" s="337"/>
      <c r="L1014" s="106"/>
      <c r="M1014" s="287"/>
      <c r="N1014" s="260"/>
      <c r="O1014" s="258"/>
    </row>
    <row r="1015" spans="1:15" s="76" customFormat="1" ht="15" customHeight="1">
      <c r="A1015" s="90"/>
      <c r="B1015" s="325"/>
      <c r="C1015" s="280"/>
      <c r="D1015" s="267"/>
      <c r="E1015" s="323"/>
      <c r="F1015" s="267"/>
      <c r="G1015" s="266"/>
      <c r="H1015" s="267"/>
      <c r="I1015" s="267"/>
      <c r="J1015" s="279"/>
      <c r="K1015" s="337"/>
      <c r="L1015" s="106"/>
      <c r="M1015" s="299"/>
      <c r="N1015" s="259"/>
      <c r="O1015" s="258"/>
    </row>
    <row r="1016" spans="1:15" s="76" customFormat="1" ht="15" customHeight="1">
      <c r="A1016" s="90"/>
      <c r="B1016" s="326"/>
      <c r="C1016" s="280"/>
      <c r="D1016" s="267"/>
      <c r="E1016" s="323"/>
      <c r="F1016" s="267"/>
      <c r="G1016" s="266"/>
      <c r="H1016" s="267"/>
      <c r="I1016" s="267"/>
      <c r="J1016" s="279"/>
      <c r="K1016" s="337"/>
      <c r="L1016" s="106"/>
      <c r="M1016" s="299"/>
      <c r="N1016" s="259"/>
      <c r="O1016" s="258"/>
    </row>
    <row r="1017" spans="1:15" s="76" customFormat="1" ht="15" customHeight="1">
      <c r="A1017" s="90"/>
      <c r="B1017" s="326"/>
      <c r="C1017" s="280"/>
      <c r="D1017" s="267"/>
      <c r="E1017" s="323"/>
      <c r="F1017" s="267"/>
      <c r="G1017" s="266"/>
      <c r="H1017" s="267"/>
      <c r="I1017" s="267"/>
      <c r="J1017" s="279"/>
      <c r="K1017" s="337"/>
      <c r="L1017" s="106"/>
      <c r="M1017" s="287"/>
      <c r="N1017" s="260"/>
      <c r="O1017" s="258"/>
    </row>
    <row r="1018" spans="1:15" s="76" customFormat="1" ht="15" customHeight="1">
      <c r="A1018" s="90"/>
      <c r="B1018" s="325"/>
      <c r="C1018" s="280"/>
      <c r="D1018" s="267"/>
      <c r="E1018" s="323"/>
      <c r="F1018" s="267"/>
      <c r="G1018" s="266"/>
      <c r="H1018" s="267"/>
      <c r="I1018" s="267"/>
      <c r="J1018" s="279"/>
      <c r="K1018" s="337"/>
      <c r="L1018" s="106"/>
      <c r="M1018" s="289"/>
      <c r="N1018" s="259"/>
      <c r="O1018" s="258"/>
    </row>
    <row r="1019" spans="1:15" s="76" customFormat="1" ht="15" customHeight="1">
      <c r="A1019" s="90"/>
      <c r="B1019" s="326"/>
      <c r="C1019" s="280"/>
      <c r="D1019" s="267"/>
      <c r="E1019" s="323"/>
      <c r="F1019" s="267"/>
      <c r="G1019" s="266"/>
      <c r="H1019" s="267"/>
      <c r="I1019" s="267"/>
      <c r="J1019" s="279"/>
      <c r="K1019" s="337"/>
      <c r="L1019" s="106"/>
      <c r="M1019" s="287"/>
      <c r="N1019" s="260"/>
      <c r="O1019" s="258"/>
    </row>
    <row r="1020" spans="1:15" s="76" customFormat="1" ht="15" customHeight="1">
      <c r="A1020" s="90"/>
      <c r="B1020" s="325"/>
      <c r="C1020" s="280"/>
      <c r="D1020" s="267"/>
      <c r="E1020" s="323"/>
      <c r="F1020" s="267"/>
      <c r="G1020" s="266"/>
      <c r="H1020" s="267"/>
      <c r="I1020" s="267"/>
      <c r="J1020" s="279"/>
      <c r="K1020" s="337"/>
      <c r="L1020" s="106"/>
      <c r="M1020" s="286"/>
      <c r="N1020" s="259"/>
      <c r="O1020" s="258"/>
    </row>
    <row r="1021" spans="1:15" s="76" customFormat="1" ht="15" customHeight="1">
      <c r="A1021" s="90"/>
      <c r="B1021" s="326"/>
      <c r="C1021" s="280"/>
      <c r="D1021" s="267"/>
      <c r="E1021" s="323"/>
      <c r="F1021" s="267"/>
      <c r="G1021" s="266"/>
      <c r="H1021" s="267"/>
      <c r="I1021" s="267"/>
      <c r="J1021" s="279"/>
      <c r="K1021" s="337"/>
      <c r="L1021" s="106"/>
      <c r="M1021" s="287"/>
      <c r="N1021" s="260"/>
      <c r="O1021" s="258"/>
    </row>
    <row r="1022" spans="1:15" s="76" customFormat="1" ht="15" customHeight="1">
      <c r="A1022" s="90"/>
      <c r="B1022" s="325"/>
      <c r="C1022" s="280"/>
      <c r="D1022" s="267"/>
      <c r="E1022" s="323"/>
      <c r="F1022" s="267"/>
      <c r="G1022" s="266"/>
      <c r="H1022" s="267"/>
      <c r="I1022" s="267"/>
      <c r="J1022" s="279"/>
      <c r="K1022" s="337"/>
      <c r="L1022" s="106"/>
      <c r="M1022" s="286"/>
      <c r="N1022" s="259"/>
      <c r="O1022" s="258"/>
    </row>
    <row r="1023" spans="1:15" s="76" customFormat="1" ht="15" customHeight="1">
      <c r="A1023" s="90"/>
      <c r="B1023" s="326"/>
      <c r="C1023" s="280"/>
      <c r="D1023" s="267"/>
      <c r="E1023" s="323"/>
      <c r="F1023" s="267"/>
      <c r="G1023" s="279"/>
      <c r="H1023" s="267"/>
      <c r="I1023" s="267"/>
      <c r="J1023" s="279"/>
      <c r="K1023" s="337"/>
      <c r="L1023" s="106"/>
      <c r="M1023" s="287"/>
      <c r="N1023" s="260"/>
      <c r="O1023" s="258"/>
    </row>
    <row r="1024" spans="1:15" s="76" customFormat="1" ht="15" customHeight="1">
      <c r="A1024" s="90"/>
      <c r="B1024" s="325"/>
      <c r="C1024" s="280"/>
      <c r="D1024" s="268"/>
      <c r="E1024" s="323"/>
      <c r="F1024" s="272"/>
      <c r="G1024" s="280"/>
      <c r="H1024" s="270"/>
      <c r="I1024" s="270"/>
      <c r="J1024" s="266"/>
      <c r="K1024" s="338"/>
      <c r="L1024" s="106"/>
      <c r="M1024" s="300"/>
      <c r="N1024" s="262"/>
      <c r="O1024" s="263"/>
    </row>
    <row r="1025" spans="1:15" s="76" customFormat="1" ht="15" customHeight="1">
      <c r="A1025" s="90"/>
      <c r="B1025" s="326"/>
      <c r="C1025" s="280"/>
      <c r="D1025" s="268"/>
      <c r="E1025" s="323"/>
      <c r="F1025" s="268"/>
      <c r="G1025" s="266"/>
      <c r="H1025" s="270"/>
      <c r="I1025" s="270"/>
      <c r="J1025" s="266"/>
      <c r="K1025" s="338"/>
      <c r="L1025" s="106"/>
      <c r="M1025" s="300"/>
      <c r="N1025" s="262"/>
      <c r="O1025" s="263"/>
    </row>
    <row r="1026" spans="1:15" s="76" customFormat="1" ht="15" customHeight="1">
      <c r="A1026" s="90"/>
      <c r="B1026" s="326"/>
      <c r="C1026" s="280"/>
      <c r="D1026" s="268"/>
      <c r="E1026" s="323"/>
      <c r="F1026" s="268"/>
      <c r="G1026" s="266"/>
      <c r="H1026" s="270"/>
      <c r="I1026" s="270"/>
      <c r="J1026" s="266"/>
      <c r="K1026" s="338"/>
      <c r="L1026" s="106"/>
      <c r="M1026" s="301"/>
      <c r="N1026" s="264"/>
      <c r="O1026" s="263"/>
    </row>
    <row r="1027" spans="1:15" s="76" customFormat="1" ht="15" customHeight="1">
      <c r="A1027" s="90"/>
      <c r="B1027" s="325"/>
      <c r="C1027" s="280"/>
      <c r="D1027" s="267"/>
      <c r="E1027" s="323"/>
      <c r="F1027" s="267"/>
      <c r="G1027" s="266"/>
      <c r="H1027" s="267"/>
      <c r="I1027" s="267"/>
      <c r="J1027" s="279"/>
      <c r="K1027" s="337"/>
      <c r="L1027" s="106"/>
      <c r="M1027" s="290"/>
      <c r="N1027" s="259"/>
      <c r="O1027" s="258"/>
    </row>
    <row r="1028" spans="1:15" s="76" customFormat="1" ht="15" customHeight="1">
      <c r="A1028" s="90"/>
      <c r="B1028" s="326"/>
      <c r="C1028" s="280"/>
      <c r="D1028" s="268"/>
      <c r="E1028" s="323"/>
      <c r="F1028" s="268"/>
      <c r="G1028" s="266"/>
      <c r="H1028" s="270"/>
      <c r="I1028" s="270"/>
      <c r="J1028" s="266"/>
      <c r="K1028" s="338"/>
      <c r="L1028" s="106"/>
      <c r="M1028" s="302"/>
      <c r="N1028" s="264"/>
      <c r="O1028" s="263"/>
    </row>
    <row r="1029" spans="1:15" s="76" customFormat="1" ht="15" customHeight="1">
      <c r="A1029" s="90"/>
      <c r="B1029" s="325"/>
      <c r="C1029" s="280"/>
      <c r="D1029" s="268"/>
      <c r="E1029" s="323"/>
      <c r="F1029" s="267"/>
      <c r="G1029" s="320"/>
      <c r="H1029" s="270"/>
      <c r="I1029" s="270"/>
      <c r="J1029" s="266"/>
      <c r="K1029" s="338"/>
      <c r="L1029" s="106"/>
      <c r="M1029" s="303"/>
      <c r="N1029" s="262"/>
      <c r="O1029" s="263"/>
    </row>
    <row r="1030" spans="1:15" s="76" customFormat="1" ht="15" customHeight="1">
      <c r="A1030" s="90"/>
      <c r="B1030" s="326"/>
      <c r="C1030" s="280"/>
      <c r="D1030" s="268"/>
      <c r="E1030" s="323"/>
      <c r="F1030" s="268"/>
      <c r="G1030" s="266"/>
      <c r="H1030" s="270"/>
      <c r="I1030" s="270"/>
      <c r="J1030" s="266"/>
      <c r="K1030" s="338"/>
      <c r="L1030" s="106"/>
      <c r="M1030" s="302"/>
      <c r="N1030" s="264"/>
      <c r="O1030" s="263"/>
    </row>
    <row r="1031" spans="1:15" s="76" customFormat="1" ht="15" customHeight="1">
      <c r="A1031" s="90"/>
      <c r="B1031" s="325"/>
      <c r="C1031" s="280"/>
      <c r="D1031" s="267"/>
      <c r="E1031" s="323"/>
      <c r="F1031" s="267"/>
      <c r="G1031" s="266"/>
      <c r="H1031" s="267"/>
      <c r="I1031" s="267"/>
      <c r="J1031" s="279"/>
      <c r="K1031" s="337"/>
      <c r="L1031" s="106"/>
      <c r="M1031" s="290"/>
      <c r="N1031" s="259"/>
      <c r="O1031" s="258"/>
    </row>
    <row r="1032" spans="1:15" s="76" customFormat="1" ht="15" customHeight="1">
      <c r="A1032" s="90"/>
      <c r="B1032" s="326"/>
      <c r="C1032" s="280"/>
      <c r="D1032" s="267"/>
      <c r="E1032" s="323"/>
      <c r="F1032" s="267"/>
      <c r="G1032" s="266"/>
      <c r="H1032" s="267"/>
      <c r="I1032" s="267"/>
      <c r="J1032" s="279"/>
      <c r="K1032" s="337"/>
      <c r="L1032" s="106"/>
      <c r="M1032" s="256"/>
      <c r="N1032" s="260"/>
      <c r="O1032" s="258"/>
    </row>
    <row r="1033" spans="1:15" s="76" customFormat="1" ht="15" customHeight="1">
      <c r="A1033" s="90"/>
      <c r="B1033" s="325"/>
      <c r="C1033" s="280"/>
      <c r="D1033" s="267"/>
      <c r="E1033" s="323"/>
      <c r="F1033" s="267"/>
      <c r="G1033" s="266"/>
      <c r="H1033" s="267"/>
      <c r="I1033" s="267"/>
      <c r="J1033" s="279"/>
      <c r="K1033" s="337"/>
      <c r="L1033" s="106"/>
      <c r="M1033" s="290"/>
      <c r="N1033" s="259"/>
      <c r="O1033" s="258"/>
    </row>
    <row r="1034" spans="1:15" s="182" customFormat="1" ht="15" customHeight="1">
      <c r="A1034" s="181"/>
      <c r="B1034" s="326"/>
      <c r="C1034" s="280"/>
      <c r="D1034" s="267"/>
      <c r="E1034" s="323"/>
      <c r="F1034" s="267"/>
      <c r="G1034" s="279"/>
      <c r="H1034" s="267"/>
      <c r="I1034" s="267"/>
      <c r="J1034" s="279"/>
      <c r="K1034" s="337"/>
      <c r="L1034" s="106"/>
      <c r="M1034" s="256"/>
      <c r="N1034" s="260"/>
      <c r="O1034" s="258"/>
    </row>
    <row r="1035" spans="1:15" s="76" customFormat="1" ht="15" customHeight="1">
      <c r="A1035" s="90"/>
      <c r="B1035" s="325"/>
      <c r="C1035" s="280"/>
      <c r="D1035" s="267"/>
      <c r="E1035" s="323"/>
      <c r="F1035" s="267"/>
      <c r="G1035" s="266"/>
      <c r="H1035" s="267"/>
      <c r="I1035" s="267"/>
      <c r="J1035" s="279"/>
      <c r="K1035" s="337"/>
      <c r="L1035" s="106"/>
      <c r="M1035" s="290"/>
      <c r="N1035" s="259"/>
      <c r="O1035" s="258"/>
    </row>
    <row r="1036" spans="1:15" s="76" customFormat="1" ht="15" customHeight="1">
      <c r="A1036" s="90"/>
      <c r="B1036" s="326"/>
      <c r="C1036" s="280"/>
      <c r="D1036" s="267"/>
      <c r="E1036" s="323"/>
      <c r="F1036" s="267"/>
      <c r="G1036" s="279"/>
      <c r="H1036" s="267"/>
      <c r="I1036" s="267"/>
      <c r="J1036" s="279"/>
      <c r="K1036" s="337"/>
      <c r="L1036" s="106"/>
      <c r="M1036" s="256"/>
      <c r="N1036" s="260"/>
      <c r="O1036" s="258"/>
    </row>
    <row r="1037" spans="1:15" s="76" customFormat="1" ht="15" customHeight="1">
      <c r="A1037" s="90"/>
      <c r="B1037" s="325"/>
      <c r="C1037" s="280"/>
      <c r="D1037" s="267"/>
      <c r="E1037" s="323"/>
      <c r="F1037" s="267"/>
      <c r="G1037" s="266"/>
      <c r="H1037" s="267"/>
      <c r="I1037" s="267"/>
      <c r="J1037" s="279"/>
      <c r="K1037" s="337"/>
      <c r="L1037" s="106"/>
      <c r="M1037" s="304"/>
      <c r="N1037" s="259"/>
      <c r="O1037" s="258"/>
    </row>
    <row r="1038" spans="1:15" s="76" customFormat="1" ht="15" customHeight="1">
      <c r="A1038" s="90"/>
      <c r="B1038" s="326"/>
      <c r="C1038" s="280"/>
      <c r="D1038" s="267"/>
      <c r="E1038" s="323"/>
      <c r="F1038" s="267"/>
      <c r="G1038" s="266"/>
      <c r="H1038" s="267"/>
      <c r="I1038" s="267"/>
      <c r="J1038" s="279"/>
      <c r="K1038" s="337"/>
      <c r="L1038" s="106"/>
      <c r="M1038" s="305"/>
      <c r="N1038" s="260"/>
      <c r="O1038" s="258"/>
    </row>
    <row r="1039" spans="1:15" s="76" customFormat="1" ht="15" customHeight="1">
      <c r="A1039" s="90"/>
      <c r="B1039" s="325"/>
      <c r="C1039" s="280"/>
      <c r="D1039" s="267"/>
      <c r="E1039" s="323"/>
      <c r="F1039" s="267"/>
      <c r="G1039" s="266"/>
      <c r="H1039" s="267"/>
      <c r="I1039" s="267"/>
      <c r="J1039" s="279"/>
      <c r="K1039" s="337"/>
      <c r="L1039" s="106"/>
      <c r="M1039" s="306"/>
      <c r="N1039" s="259"/>
      <c r="O1039" s="258"/>
    </row>
    <row r="1040" spans="1:15" s="76" customFormat="1" ht="15" customHeight="1">
      <c r="A1040" s="90"/>
      <c r="B1040" s="326"/>
      <c r="C1040" s="280"/>
      <c r="D1040" s="267"/>
      <c r="E1040" s="323"/>
      <c r="F1040" s="267"/>
      <c r="G1040" s="279"/>
      <c r="H1040" s="267"/>
      <c r="I1040" s="267"/>
      <c r="J1040" s="279"/>
      <c r="K1040" s="337"/>
      <c r="L1040" s="106"/>
      <c r="M1040" s="305"/>
      <c r="N1040" s="260"/>
      <c r="O1040" s="258"/>
    </row>
    <row r="1041" spans="1:15" s="76" customFormat="1" ht="15" customHeight="1">
      <c r="A1041" s="90"/>
      <c r="B1041" s="325"/>
      <c r="C1041" s="280"/>
      <c r="D1041" s="267"/>
      <c r="E1041" s="323"/>
      <c r="F1041" s="267"/>
      <c r="G1041" s="266"/>
      <c r="H1041" s="267"/>
      <c r="I1041" s="267"/>
      <c r="J1041" s="279"/>
      <c r="K1041" s="337"/>
      <c r="L1041" s="106"/>
      <c r="M1041" s="295"/>
      <c r="N1041" s="259"/>
      <c r="O1041" s="258"/>
    </row>
    <row r="1042" spans="1:15" s="76" customFormat="1" ht="15" customHeight="1">
      <c r="A1042" s="90"/>
      <c r="B1042" s="326"/>
      <c r="C1042" s="280"/>
      <c r="D1042" s="267"/>
      <c r="E1042" s="323"/>
      <c r="F1042" s="267"/>
      <c r="G1042" s="266"/>
      <c r="H1042" s="267"/>
      <c r="I1042" s="267"/>
      <c r="J1042" s="279"/>
      <c r="K1042" s="337"/>
      <c r="L1042" s="106"/>
      <c r="M1042" s="296"/>
      <c r="N1042" s="260"/>
      <c r="O1042" s="258"/>
    </row>
    <row r="1043" spans="1:15" s="76" customFormat="1" ht="15" customHeight="1">
      <c r="A1043" s="90"/>
      <c r="B1043" s="325"/>
      <c r="C1043" s="280"/>
      <c r="D1043" s="267"/>
      <c r="E1043" s="323"/>
      <c r="F1043" s="267"/>
      <c r="G1043" s="266"/>
      <c r="H1043" s="267"/>
      <c r="I1043" s="267"/>
      <c r="J1043" s="279"/>
      <c r="K1043" s="337"/>
      <c r="L1043" s="106"/>
      <c r="M1043" s="295"/>
      <c r="N1043" s="259"/>
      <c r="O1043" s="258"/>
    </row>
    <row r="1044" spans="1:15" s="76" customFormat="1" ht="15" customHeight="1">
      <c r="A1044" s="90"/>
      <c r="B1044" s="326"/>
      <c r="C1044" s="280"/>
      <c r="D1044" s="267"/>
      <c r="E1044" s="323"/>
      <c r="F1044" s="267"/>
      <c r="G1044" s="266"/>
      <c r="H1044" s="267"/>
      <c r="I1044" s="267"/>
      <c r="J1044" s="279"/>
      <c r="K1044" s="337"/>
      <c r="L1044" s="106"/>
      <c r="M1044" s="296"/>
      <c r="N1044" s="260"/>
      <c r="O1044" s="258"/>
    </row>
    <row r="1045" spans="1:15" s="76" customFormat="1" ht="15" customHeight="1">
      <c r="A1045" s="90"/>
      <c r="B1045" s="325"/>
      <c r="C1045" s="280"/>
      <c r="D1045" s="267"/>
      <c r="E1045" s="323"/>
      <c r="F1045" s="267"/>
      <c r="G1045" s="266"/>
      <c r="H1045" s="267"/>
      <c r="I1045" s="267"/>
      <c r="J1045" s="279"/>
      <c r="K1045" s="337"/>
      <c r="L1045" s="106"/>
      <c r="M1045" s="295"/>
      <c r="N1045" s="259"/>
      <c r="O1045" s="258"/>
    </row>
    <row r="1046" spans="1:15" s="76" customFormat="1" ht="15" customHeight="1">
      <c r="A1046" s="90"/>
      <c r="B1046" s="326"/>
      <c r="C1046" s="280"/>
      <c r="D1046" s="267"/>
      <c r="E1046" s="323"/>
      <c r="F1046" s="267"/>
      <c r="G1046" s="266"/>
      <c r="H1046" s="267"/>
      <c r="I1046" s="267"/>
      <c r="J1046" s="279"/>
      <c r="K1046" s="337"/>
      <c r="L1046" s="106"/>
      <c r="M1046" s="296"/>
      <c r="N1046" s="260"/>
      <c r="O1046" s="258"/>
    </row>
    <row r="1047" spans="1:15" s="76" customFormat="1" ht="15" customHeight="1">
      <c r="A1047" s="90"/>
      <c r="B1047" s="325"/>
      <c r="C1047" s="280"/>
      <c r="D1047" s="267"/>
      <c r="E1047" s="323"/>
      <c r="F1047" s="269"/>
      <c r="G1047" s="266"/>
      <c r="H1047" s="267"/>
      <c r="I1047" s="267"/>
      <c r="J1047" s="279"/>
      <c r="K1047" s="337"/>
      <c r="L1047" s="106"/>
      <c r="M1047" s="295"/>
      <c r="N1047" s="259"/>
      <c r="O1047" s="258"/>
    </row>
    <row r="1048" spans="1:15" s="76" customFormat="1" ht="15" customHeight="1">
      <c r="A1048" s="90"/>
      <c r="B1048" s="326"/>
      <c r="C1048" s="280"/>
      <c r="D1048" s="267"/>
      <c r="E1048" s="323"/>
      <c r="F1048" s="267"/>
      <c r="G1048" s="266"/>
      <c r="H1048" s="267"/>
      <c r="I1048" s="267"/>
      <c r="J1048" s="279"/>
      <c r="K1048" s="337"/>
      <c r="L1048" s="106"/>
      <c r="M1048" s="295"/>
      <c r="N1048" s="259"/>
      <c r="O1048" s="258"/>
    </row>
    <row r="1049" spans="1:15" s="76" customFormat="1" ht="15" customHeight="1">
      <c r="A1049" s="90"/>
      <c r="B1049" s="326"/>
      <c r="C1049" s="280"/>
      <c r="D1049" s="267"/>
      <c r="E1049" s="323"/>
      <c r="F1049" s="267"/>
      <c r="G1049" s="266"/>
      <c r="H1049" s="267"/>
      <c r="I1049" s="267"/>
      <c r="J1049" s="279"/>
      <c r="K1049" s="337"/>
      <c r="L1049" s="106"/>
      <c r="M1049" s="296"/>
      <c r="N1049" s="260"/>
      <c r="O1049" s="258"/>
    </row>
    <row r="1050" spans="1:15" s="76" customFormat="1" ht="15" customHeight="1">
      <c r="A1050" s="90"/>
      <c r="B1050" s="325"/>
      <c r="C1050" s="280"/>
      <c r="D1050" s="268"/>
      <c r="E1050" s="323"/>
      <c r="F1050" s="269"/>
      <c r="G1050" s="266"/>
      <c r="H1050" s="270"/>
      <c r="I1050" s="270"/>
      <c r="J1050" s="266"/>
      <c r="K1050" s="338"/>
      <c r="L1050" s="106"/>
      <c r="M1050" s="293"/>
      <c r="N1050" s="262"/>
      <c r="O1050" s="263"/>
    </row>
    <row r="1051" spans="1:15" s="76" customFormat="1" ht="15" customHeight="1">
      <c r="A1051" s="90"/>
      <c r="B1051" s="326"/>
      <c r="C1051" s="280"/>
      <c r="D1051" s="267"/>
      <c r="E1051" s="323"/>
      <c r="F1051" s="267"/>
      <c r="G1051" s="266"/>
      <c r="H1051" s="267"/>
      <c r="I1051" s="267"/>
      <c r="J1051" s="279"/>
      <c r="K1051" s="337"/>
      <c r="L1051" s="106"/>
      <c r="M1051" s="296"/>
      <c r="N1051" s="260"/>
      <c r="O1051" s="258"/>
    </row>
    <row r="1052" spans="1:15" s="76" customFormat="1" ht="15" customHeight="1">
      <c r="A1052" s="90"/>
      <c r="B1052" s="325"/>
      <c r="C1052" s="280"/>
      <c r="D1052" s="267"/>
      <c r="E1052" s="323"/>
      <c r="F1052" s="267"/>
      <c r="G1052" s="266"/>
      <c r="H1052" s="267"/>
      <c r="I1052" s="267"/>
      <c r="J1052" s="279"/>
      <c r="K1052" s="337"/>
      <c r="L1052" s="106"/>
      <c r="M1052" s="295"/>
      <c r="N1052" s="259"/>
      <c r="O1052" s="258"/>
    </row>
    <row r="1053" spans="1:15" s="76" customFormat="1" ht="15" customHeight="1">
      <c r="A1053" s="90"/>
      <c r="B1053" s="326"/>
      <c r="C1053" s="280"/>
      <c r="D1053" s="267"/>
      <c r="E1053" s="323"/>
      <c r="F1053" s="267"/>
      <c r="G1053" s="279"/>
      <c r="H1053" s="267"/>
      <c r="I1053" s="267"/>
      <c r="J1053" s="279"/>
      <c r="K1053" s="337"/>
      <c r="L1053" s="106"/>
      <c r="M1053" s="296"/>
      <c r="N1053" s="260"/>
      <c r="O1053" s="258"/>
    </row>
    <row r="1054" spans="1:15" s="76" customFormat="1" ht="15" customHeight="1">
      <c r="A1054" s="90"/>
      <c r="B1054" s="325"/>
      <c r="C1054" s="280"/>
      <c r="D1054" s="267"/>
      <c r="E1054" s="323"/>
      <c r="F1054" s="267"/>
      <c r="G1054" s="266"/>
      <c r="H1054" s="267"/>
      <c r="I1054" s="267"/>
      <c r="J1054" s="279"/>
      <c r="K1054" s="337"/>
      <c r="L1054" s="106"/>
      <c r="M1054" s="292"/>
      <c r="N1054" s="259"/>
      <c r="O1054" s="258"/>
    </row>
    <row r="1055" spans="1:15" s="76" customFormat="1" ht="15" customHeight="1">
      <c r="A1055" s="90"/>
      <c r="B1055" s="326"/>
      <c r="C1055" s="280"/>
      <c r="D1055" s="267"/>
      <c r="E1055" s="323"/>
      <c r="F1055" s="267"/>
      <c r="G1055" s="279"/>
      <c r="H1055" s="267"/>
      <c r="I1055" s="267"/>
      <c r="J1055" s="279"/>
      <c r="K1055" s="337"/>
      <c r="L1055" s="106"/>
      <c r="M1055" s="285"/>
      <c r="N1055" s="260"/>
      <c r="O1055" s="258"/>
    </row>
    <row r="1056" spans="1:15" s="76" customFormat="1" ht="15" customHeight="1">
      <c r="A1056" s="90"/>
      <c r="B1056" s="325"/>
      <c r="C1056" s="280"/>
      <c r="D1056" s="267"/>
      <c r="E1056" s="323"/>
      <c r="F1056" s="267"/>
      <c r="G1056" s="266"/>
      <c r="H1056" s="267"/>
      <c r="I1056" s="267"/>
      <c r="J1056" s="279"/>
      <c r="K1056" s="337"/>
      <c r="L1056" s="106"/>
      <c r="M1056" s="284"/>
      <c r="N1056" s="259"/>
      <c r="O1056" s="258"/>
    </row>
    <row r="1057" spans="1:15" s="76" customFormat="1" ht="15" customHeight="1">
      <c r="A1057" s="90"/>
      <c r="B1057" s="326"/>
      <c r="C1057" s="280"/>
      <c r="D1057" s="267"/>
      <c r="E1057" s="323"/>
      <c r="F1057" s="267"/>
      <c r="G1057" s="266"/>
      <c r="H1057" s="267"/>
      <c r="I1057" s="267"/>
      <c r="J1057" s="279"/>
      <c r="K1057" s="337"/>
      <c r="L1057" s="106"/>
      <c r="M1057" s="285"/>
      <c r="N1057" s="260"/>
      <c r="O1057" s="258"/>
    </row>
    <row r="1058" spans="1:15" s="76" customFormat="1" ht="15" customHeight="1">
      <c r="A1058" s="90"/>
      <c r="B1058" s="325"/>
      <c r="C1058" s="280"/>
      <c r="D1058" s="267"/>
      <c r="E1058" s="323"/>
      <c r="F1058" s="267"/>
      <c r="G1058" s="266"/>
      <c r="H1058" s="267"/>
      <c r="I1058" s="267"/>
      <c r="J1058" s="279"/>
      <c r="K1058" s="337"/>
      <c r="L1058" s="106"/>
      <c r="M1058" s="284"/>
      <c r="N1058" s="259"/>
      <c r="O1058" s="258"/>
    </row>
    <row r="1059" spans="1:15" s="76" customFormat="1" ht="15" customHeight="1">
      <c r="A1059" s="90"/>
      <c r="B1059" s="326"/>
      <c r="C1059" s="280"/>
      <c r="D1059" s="267"/>
      <c r="E1059" s="323"/>
      <c r="F1059" s="267"/>
      <c r="G1059" s="266"/>
      <c r="H1059" s="267"/>
      <c r="I1059" s="267"/>
      <c r="J1059" s="279"/>
      <c r="K1059" s="337"/>
      <c r="L1059" s="106"/>
      <c r="M1059" s="285"/>
      <c r="N1059" s="260"/>
      <c r="O1059" s="258"/>
    </row>
    <row r="1060" spans="1:15" s="76" customFormat="1" ht="15" customHeight="1">
      <c r="A1060" s="90"/>
      <c r="B1060" s="325"/>
      <c r="C1060" s="280"/>
      <c r="D1060" s="267"/>
      <c r="E1060" s="323"/>
      <c r="F1060" s="267"/>
      <c r="G1060" s="266"/>
      <c r="H1060" s="267"/>
      <c r="I1060" s="267"/>
      <c r="J1060" s="279"/>
      <c r="K1060" s="337"/>
      <c r="L1060" s="106"/>
      <c r="M1060" s="284"/>
      <c r="N1060" s="259"/>
      <c r="O1060" s="258"/>
    </row>
    <row r="1061" spans="1:15" s="76" customFormat="1" ht="15" customHeight="1">
      <c r="A1061" s="90"/>
      <c r="B1061" s="326"/>
      <c r="C1061" s="280"/>
      <c r="D1061" s="267"/>
      <c r="E1061" s="323"/>
      <c r="F1061" s="267"/>
      <c r="G1061" s="266"/>
      <c r="H1061" s="267"/>
      <c r="I1061" s="267"/>
      <c r="J1061" s="279"/>
      <c r="K1061" s="337"/>
      <c r="L1061" s="106"/>
      <c r="M1061" s="285"/>
      <c r="N1061" s="260"/>
      <c r="O1061" s="258"/>
    </row>
    <row r="1062" spans="1:15" s="76" customFormat="1" ht="15" customHeight="1">
      <c r="A1062" s="90"/>
      <c r="B1062" s="325"/>
      <c r="C1062" s="280"/>
      <c r="D1062" s="267"/>
      <c r="E1062" s="323"/>
      <c r="F1062" s="267"/>
      <c r="G1062" s="266"/>
      <c r="H1062" s="267"/>
      <c r="I1062" s="267"/>
      <c r="J1062" s="279"/>
      <c r="K1062" s="337"/>
      <c r="L1062" s="106"/>
      <c r="M1062" s="284"/>
      <c r="N1062" s="259"/>
      <c r="O1062" s="258"/>
    </row>
    <row r="1063" spans="1:15" s="76" customFormat="1" ht="15" customHeight="1">
      <c r="A1063" s="90"/>
      <c r="B1063" s="326"/>
      <c r="C1063" s="280"/>
      <c r="D1063" s="267"/>
      <c r="E1063" s="323"/>
      <c r="F1063" s="267"/>
      <c r="G1063" s="279"/>
      <c r="H1063" s="267"/>
      <c r="I1063" s="267"/>
      <c r="J1063" s="279"/>
      <c r="K1063" s="337"/>
      <c r="L1063" s="106"/>
      <c r="M1063" s="285"/>
      <c r="N1063" s="260"/>
      <c r="O1063" s="258"/>
    </row>
    <row r="1064" spans="1:15" s="76" customFormat="1" ht="15" customHeight="1">
      <c r="A1064" s="90"/>
      <c r="B1064" s="325"/>
      <c r="C1064" s="280"/>
      <c r="D1064" s="267"/>
      <c r="E1064" s="323"/>
      <c r="F1064" s="267"/>
      <c r="G1064" s="266"/>
      <c r="H1064" s="267"/>
      <c r="I1064" s="267"/>
      <c r="J1064" s="279"/>
      <c r="K1064" s="337"/>
      <c r="L1064" s="106"/>
      <c r="M1064" s="290"/>
      <c r="N1064" s="259"/>
      <c r="O1064" s="258"/>
    </row>
    <row r="1065" spans="1:15" s="76" customFormat="1" ht="15" customHeight="1">
      <c r="A1065" s="90"/>
      <c r="B1065" s="326"/>
      <c r="C1065" s="280"/>
      <c r="D1065" s="267"/>
      <c r="E1065" s="323"/>
      <c r="F1065" s="267"/>
      <c r="G1065" s="266"/>
      <c r="H1065" s="267"/>
      <c r="I1065" s="267"/>
      <c r="J1065" s="279"/>
      <c r="K1065" s="337"/>
      <c r="L1065" s="106"/>
      <c r="M1065" s="256"/>
      <c r="N1065" s="260"/>
      <c r="O1065" s="258"/>
    </row>
    <row r="1066" spans="1:15" s="76" customFormat="1" ht="15" customHeight="1">
      <c r="A1066" s="90"/>
      <c r="B1066" s="325"/>
      <c r="C1066" s="280"/>
      <c r="D1066" s="267"/>
      <c r="E1066" s="323"/>
      <c r="F1066" s="267"/>
      <c r="G1066" s="266"/>
      <c r="H1066" s="267"/>
      <c r="I1066" s="267"/>
      <c r="J1066" s="279"/>
      <c r="K1066" s="337"/>
      <c r="L1066" s="106"/>
      <c r="M1066" s="290"/>
      <c r="N1066" s="259"/>
      <c r="O1066" s="258"/>
    </row>
    <row r="1067" spans="1:15" s="76" customFormat="1" ht="15" customHeight="1">
      <c r="A1067" s="90"/>
      <c r="B1067" s="326"/>
      <c r="C1067" s="280"/>
      <c r="D1067" s="267"/>
      <c r="E1067" s="323"/>
      <c r="F1067" s="267"/>
      <c r="G1067" s="279"/>
      <c r="H1067" s="267"/>
      <c r="I1067" s="267"/>
      <c r="J1067" s="279"/>
      <c r="K1067" s="337"/>
      <c r="L1067" s="106"/>
      <c r="M1067" s="256"/>
      <c r="N1067" s="260"/>
      <c r="O1067" s="258"/>
    </row>
    <row r="1068" spans="1:15" s="76" customFormat="1" ht="15" customHeight="1">
      <c r="A1068" s="90"/>
      <c r="B1068" s="325"/>
      <c r="C1068" s="280"/>
      <c r="D1068" s="267"/>
      <c r="E1068" s="323"/>
      <c r="F1068" s="267"/>
      <c r="G1068" s="266"/>
      <c r="H1068" s="267"/>
      <c r="I1068" s="267"/>
      <c r="J1068" s="279"/>
      <c r="K1068" s="337"/>
      <c r="L1068" s="106"/>
      <c r="M1068" s="291"/>
      <c r="N1068" s="259"/>
      <c r="O1068" s="258"/>
    </row>
    <row r="1069" spans="1:15" s="76" customFormat="1" ht="15" customHeight="1">
      <c r="A1069" s="90"/>
      <c r="B1069" s="326"/>
      <c r="C1069" s="280"/>
      <c r="D1069" s="267"/>
      <c r="E1069" s="323"/>
      <c r="F1069" s="267"/>
      <c r="G1069" s="266"/>
      <c r="H1069" s="267"/>
      <c r="I1069" s="267"/>
      <c r="J1069" s="279"/>
      <c r="K1069" s="337"/>
      <c r="L1069" s="106"/>
      <c r="M1069" s="290"/>
      <c r="N1069" s="259"/>
      <c r="O1069" s="258"/>
    </row>
    <row r="1070" spans="1:15" s="76" customFormat="1" ht="15" customHeight="1">
      <c r="A1070" s="90"/>
      <c r="B1070" s="326"/>
      <c r="C1070" s="280"/>
      <c r="D1070" s="267"/>
      <c r="E1070" s="323"/>
      <c r="F1070" s="267"/>
      <c r="G1070" s="266"/>
      <c r="H1070" s="267"/>
      <c r="I1070" s="267"/>
      <c r="J1070" s="279"/>
      <c r="K1070" s="337"/>
      <c r="L1070" s="106"/>
      <c r="M1070" s="256"/>
      <c r="N1070" s="260"/>
      <c r="O1070" s="258"/>
    </row>
    <row r="1071" spans="1:15" s="76" customFormat="1" ht="15" customHeight="1">
      <c r="A1071" s="90"/>
      <c r="B1071" s="325"/>
      <c r="C1071" s="280"/>
      <c r="D1071" s="268"/>
      <c r="E1071" s="323"/>
      <c r="F1071" s="272"/>
      <c r="G1071" s="266"/>
      <c r="H1071" s="270"/>
      <c r="I1071" s="270"/>
      <c r="J1071" s="266"/>
      <c r="K1071" s="338"/>
      <c r="L1071" s="106"/>
      <c r="M1071" s="303"/>
      <c r="N1071" s="262"/>
      <c r="O1071" s="263"/>
    </row>
    <row r="1072" spans="1:15" s="76" customFormat="1" ht="15" customHeight="1">
      <c r="A1072" s="90"/>
      <c r="B1072" s="326"/>
      <c r="C1072" s="280"/>
      <c r="D1072" s="268"/>
      <c r="E1072" s="323"/>
      <c r="F1072" s="268"/>
      <c r="G1072" s="266"/>
      <c r="H1072" s="270"/>
      <c r="I1072" s="270"/>
      <c r="J1072" s="266"/>
      <c r="K1072" s="338"/>
      <c r="L1072" s="106"/>
      <c r="M1072" s="302"/>
      <c r="N1072" s="264"/>
      <c r="O1072" s="263"/>
    </row>
    <row r="1073" spans="1:15" s="76" customFormat="1" ht="15" customHeight="1">
      <c r="A1073" s="90"/>
      <c r="B1073" s="325"/>
      <c r="C1073" s="280"/>
      <c r="D1073" s="267"/>
      <c r="E1073" s="323"/>
      <c r="F1073" s="267"/>
      <c r="G1073" s="266"/>
      <c r="H1073" s="267"/>
      <c r="I1073" s="267"/>
      <c r="J1073" s="279"/>
      <c r="K1073" s="337"/>
      <c r="L1073" s="106"/>
      <c r="M1073" s="290"/>
      <c r="N1073" s="259"/>
      <c r="O1073" s="258"/>
    </row>
    <row r="1074" spans="1:15" s="76" customFormat="1" ht="15" customHeight="1">
      <c r="A1074" s="90"/>
      <c r="B1074" s="326"/>
      <c r="C1074" s="280"/>
      <c r="D1074" s="267"/>
      <c r="E1074" s="323"/>
      <c r="F1074" s="267"/>
      <c r="G1074" s="266"/>
      <c r="H1074" s="267"/>
      <c r="I1074" s="267"/>
      <c r="J1074" s="279"/>
      <c r="K1074" s="337"/>
      <c r="L1074" s="106"/>
      <c r="M1074" s="256"/>
      <c r="N1074" s="260"/>
      <c r="O1074" s="258"/>
    </row>
    <row r="1075" spans="1:15" s="76" customFormat="1" ht="14.65" customHeight="1">
      <c r="A1075" s="96"/>
      <c r="B1075" s="325"/>
      <c r="C1075" s="280"/>
      <c r="D1075" s="267"/>
      <c r="E1075" s="323"/>
      <c r="F1075" s="267"/>
      <c r="G1075" s="266"/>
      <c r="H1075" s="267"/>
      <c r="I1075" s="267"/>
      <c r="J1075" s="279"/>
      <c r="K1075" s="337"/>
      <c r="L1075" s="106"/>
      <c r="M1075" s="290"/>
      <c r="N1075" s="259"/>
      <c r="O1075" s="258"/>
    </row>
    <row r="1076" spans="1:15" s="76" customFormat="1" ht="16.5">
      <c r="A1076" s="96"/>
      <c r="B1076" s="326"/>
      <c r="C1076" s="280"/>
      <c r="D1076" s="267"/>
      <c r="E1076" s="323"/>
      <c r="F1076" s="267"/>
      <c r="G1076" s="266"/>
      <c r="H1076" s="267"/>
      <c r="I1076" s="267"/>
      <c r="J1076" s="279"/>
      <c r="K1076" s="337"/>
      <c r="L1076" s="106"/>
      <c r="M1076" s="256"/>
      <c r="N1076" s="260"/>
      <c r="O1076" s="258"/>
    </row>
    <row r="1077" spans="1:15" s="76" customFormat="1" ht="14.65" customHeight="1">
      <c r="A1077" s="96"/>
      <c r="B1077" s="325"/>
      <c r="C1077" s="280"/>
      <c r="D1077" s="267"/>
      <c r="E1077" s="323"/>
      <c r="F1077" s="267"/>
      <c r="G1077" s="266"/>
      <c r="H1077" s="267"/>
      <c r="I1077" s="267"/>
      <c r="J1077" s="279"/>
      <c r="K1077" s="337"/>
      <c r="L1077" s="106"/>
      <c r="M1077" s="290"/>
      <c r="N1077" s="259"/>
      <c r="O1077" s="258"/>
    </row>
    <row r="1078" spans="1:15" s="76" customFormat="1" ht="14.65" customHeight="1">
      <c r="A1078" s="96"/>
      <c r="B1078" s="326"/>
      <c r="C1078" s="280"/>
      <c r="D1078" s="267"/>
      <c r="E1078" s="323"/>
      <c r="F1078" s="267"/>
      <c r="G1078" s="279"/>
      <c r="H1078" s="267"/>
      <c r="I1078" s="267"/>
      <c r="J1078" s="279"/>
      <c r="K1078" s="337"/>
      <c r="L1078" s="106"/>
      <c r="M1078" s="256"/>
      <c r="N1078" s="260"/>
      <c r="O1078" s="258"/>
    </row>
    <row r="1079" spans="1:15" s="76" customFormat="1" ht="14.65" customHeight="1">
      <c r="A1079" s="96"/>
      <c r="B1079" s="325"/>
      <c r="C1079" s="280"/>
      <c r="D1079" s="267"/>
      <c r="E1079" s="323"/>
      <c r="F1079" s="267"/>
      <c r="G1079" s="266"/>
      <c r="H1079" s="267"/>
      <c r="I1079" s="267"/>
      <c r="J1079" s="279"/>
      <c r="K1079" s="337"/>
      <c r="L1079" s="106"/>
      <c r="M1079" s="291"/>
      <c r="N1079" s="259"/>
      <c r="O1079" s="258"/>
    </row>
    <row r="1080" spans="1:15" s="76" customFormat="1" ht="14.65" customHeight="1">
      <c r="A1080" s="96"/>
      <c r="B1080" s="326"/>
      <c r="C1080" s="280"/>
      <c r="D1080" s="267"/>
      <c r="E1080" s="323"/>
      <c r="F1080" s="267"/>
      <c r="G1080" s="266"/>
      <c r="H1080" s="267"/>
      <c r="I1080" s="267"/>
      <c r="J1080" s="279"/>
      <c r="K1080" s="337"/>
      <c r="L1080" s="106"/>
      <c r="M1080" s="256"/>
      <c r="N1080" s="260"/>
      <c r="O1080" s="258"/>
    </row>
    <row r="1081" spans="1:15" s="76" customFormat="1" ht="14.65" customHeight="1">
      <c r="A1081" s="96"/>
      <c r="B1081" s="325"/>
      <c r="C1081" s="280"/>
      <c r="D1081" s="267"/>
      <c r="E1081" s="323"/>
      <c r="F1081" s="267"/>
      <c r="G1081" s="266"/>
      <c r="H1081" s="267"/>
      <c r="I1081" s="267"/>
      <c r="J1081" s="279"/>
      <c r="K1081" s="337"/>
      <c r="L1081" s="106"/>
      <c r="M1081" s="290"/>
      <c r="N1081" s="259"/>
      <c r="O1081" s="258"/>
    </row>
    <row r="1082" spans="1:15" s="76" customFormat="1" ht="14.65" customHeight="1">
      <c r="A1082" s="96"/>
      <c r="B1082" s="326"/>
      <c r="C1082" s="280"/>
      <c r="D1082" s="267"/>
      <c r="E1082" s="323"/>
      <c r="F1082" s="267"/>
      <c r="G1082" s="266"/>
      <c r="H1082" s="267"/>
      <c r="I1082" s="267"/>
      <c r="J1082" s="279"/>
      <c r="K1082" s="337"/>
      <c r="L1082" s="106"/>
      <c r="M1082" s="256"/>
      <c r="N1082" s="260"/>
      <c r="O1082" s="258"/>
    </row>
    <row r="1083" spans="1:15" s="76" customFormat="1" ht="14.65" customHeight="1">
      <c r="A1083" s="96"/>
      <c r="B1083" s="325"/>
      <c r="C1083" s="280"/>
      <c r="D1083" s="267"/>
      <c r="E1083" s="323"/>
      <c r="F1083" s="267"/>
      <c r="G1083" s="266"/>
      <c r="H1083" s="267"/>
      <c r="I1083" s="267"/>
      <c r="J1083" s="279"/>
      <c r="K1083" s="337"/>
      <c r="L1083" s="106"/>
      <c r="M1083" s="290"/>
      <c r="N1083" s="259"/>
      <c r="O1083" s="258"/>
    </row>
    <row r="1084" spans="1:15" s="76" customFormat="1" ht="14.65" customHeight="1">
      <c r="A1084" s="96"/>
      <c r="B1084" s="326"/>
      <c r="C1084" s="280"/>
      <c r="D1084" s="267"/>
      <c r="E1084" s="323"/>
      <c r="F1084" s="267"/>
      <c r="G1084" s="279"/>
      <c r="H1084" s="267"/>
      <c r="I1084" s="267"/>
      <c r="J1084" s="279"/>
      <c r="K1084" s="337"/>
      <c r="L1084" s="106"/>
      <c r="M1084" s="256"/>
      <c r="N1084" s="260"/>
      <c r="O1084" s="258"/>
    </row>
    <row r="1085" spans="1:15" s="76" customFormat="1" ht="14.65" customHeight="1">
      <c r="A1085" s="96"/>
      <c r="B1085" s="325"/>
      <c r="C1085" s="280"/>
      <c r="D1085" s="267"/>
      <c r="E1085" s="323"/>
      <c r="F1085" s="267"/>
      <c r="G1085" s="266"/>
      <c r="H1085" s="267"/>
      <c r="I1085" s="267"/>
      <c r="J1085" s="279"/>
      <c r="K1085" s="337"/>
      <c r="L1085" s="106"/>
      <c r="M1085" s="290"/>
      <c r="N1085" s="259"/>
      <c r="O1085" s="258"/>
    </row>
    <row r="1086" spans="1:15" s="76" customFormat="1" ht="14.65" customHeight="1">
      <c r="A1086" s="96"/>
      <c r="B1086" s="326"/>
      <c r="C1086" s="280"/>
      <c r="D1086" s="267"/>
      <c r="E1086" s="323"/>
      <c r="F1086" s="267"/>
      <c r="G1086" s="279"/>
      <c r="H1086" s="267"/>
      <c r="I1086" s="267"/>
      <c r="J1086" s="279"/>
      <c r="K1086" s="337"/>
      <c r="L1086" s="106"/>
      <c r="M1086" s="256"/>
      <c r="N1086" s="260"/>
      <c r="O1086" s="258"/>
    </row>
    <row r="1087" spans="1:15" s="76" customFormat="1" ht="14.65" customHeight="1">
      <c r="A1087" s="96"/>
      <c r="B1087" s="325"/>
      <c r="C1087" s="280"/>
      <c r="D1087" s="267"/>
      <c r="E1087" s="323"/>
      <c r="F1087" s="267"/>
      <c r="G1087" s="266"/>
      <c r="H1087" s="267"/>
      <c r="I1087" s="267"/>
      <c r="J1087" s="279"/>
      <c r="K1087" s="337"/>
      <c r="L1087" s="106"/>
      <c r="M1087" s="295"/>
      <c r="N1087" s="259"/>
      <c r="O1087" s="258"/>
    </row>
    <row r="1088" spans="1:15" s="76" customFormat="1" ht="14.65" customHeight="1">
      <c r="A1088" s="96"/>
      <c r="B1088" s="326"/>
      <c r="C1088" s="280"/>
      <c r="D1088" s="267"/>
      <c r="E1088" s="323"/>
      <c r="F1088" s="267"/>
      <c r="G1088" s="266"/>
      <c r="H1088" s="267"/>
      <c r="I1088" s="267"/>
      <c r="J1088" s="279"/>
      <c r="K1088" s="337"/>
      <c r="L1088" s="106"/>
      <c r="M1088" s="296"/>
      <c r="N1088" s="260"/>
      <c r="O1088" s="258"/>
    </row>
    <row r="1089" spans="1:15" s="76" customFormat="1" ht="14.65" customHeight="1">
      <c r="A1089" s="96"/>
      <c r="B1089" s="325"/>
      <c r="C1089" s="280"/>
      <c r="D1089" s="267"/>
      <c r="E1089" s="323"/>
      <c r="F1089" s="267"/>
      <c r="G1089" s="266"/>
      <c r="H1089" s="267"/>
      <c r="I1089" s="267"/>
      <c r="J1089" s="279"/>
      <c r="K1089" s="337"/>
      <c r="L1089" s="106"/>
      <c r="M1089" s="295"/>
      <c r="N1089" s="259"/>
      <c r="O1089" s="258"/>
    </row>
    <row r="1090" spans="1:15" s="76" customFormat="1" ht="14.65" customHeight="1">
      <c r="A1090" s="96"/>
      <c r="B1090" s="326"/>
      <c r="C1090" s="280"/>
      <c r="D1090" s="267"/>
      <c r="E1090" s="323"/>
      <c r="F1090" s="267"/>
      <c r="G1090" s="266"/>
      <c r="H1090" s="267"/>
      <c r="I1090" s="267"/>
      <c r="J1090" s="279"/>
      <c r="K1090" s="337"/>
      <c r="L1090" s="106"/>
      <c r="M1090" s="296"/>
      <c r="N1090" s="265"/>
      <c r="O1090" s="258"/>
    </row>
    <row r="1091" spans="1:15" s="76" customFormat="1" ht="14.65" customHeight="1">
      <c r="A1091" s="96"/>
      <c r="B1091" s="325"/>
      <c r="C1091" s="280"/>
      <c r="D1091" s="267"/>
      <c r="E1091" s="323"/>
      <c r="F1091" s="267"/>
      <c r="G1091" s="266"/>
      <c r="H1091" s="267"/>
      <c r="I1091" s="267"/>
      <c r="J1091" s="279"/>
      <c r="K1091" s="337"/>
      <c r="L1091" s="106"/>
      <c r="M1091" s="284"/>
      <c r="N1091" s="257"/>
      <c r="O1091" s="258"/>
    </row>
    <row r="1092" spans="1:15" s="76" customFormat="1" ht="14.65" customHeight="1">
      <c r="A1092" s="96"/>
      <c r="B1092" s="326"/>
      <c r="C1092" s="280"/>
      <c r="D1092" s="267"/>
      <c r="E1092" s="323"/>
      <c r="F1092" s="267"/>
      <c r="G1092" s="279"/>
      <c r="H1092" s="267"/>
      <c r="I1092" s="267"/>
      <c r="J1092" s="279"/>
      <c r="K1092" s="337"/>
      <c r="L1092" s="106"/>
      <c r="M1092" s="284"/>
      <c r="N1092" s="257"/>
      <c r="O1092" s="258"/>
    </row>
    <row r="1093" spans="1:15" s="76" customFormat="1" ht="14.65" customHeight="1">
      <c r="A1093" s="96"/>
      <c r="B1093" s="326"/>
      <c r="C1093" s="280"/>
      <c r="D1093" s="267"/>
      <c r="E1093" s="323"/>
      <c r="F1093" s="267"/>
      <c r="G1093" s="279"/>
      <c r="H1093" s="267"/>
      <c r="I1093" s="267"/>
      <c r="J1093" s="279"/>
      <c r="K1093" s="337"/>
      <c r="L1093" s="106"/>
      <c r="M1093" s="285"/>
      <c r="N1093" s="265"/>
      <c r="O1093" s="258"/>
    </row>
    <row r="1094" spans="1:15" s="76" customFormat="1" ht="14.65" customHeight="1">
      <c r="A1094" s="96"/>
      <c r="B1094" s="325"/>
      <c r="C1094" s="280"/>
      <c r="D1094" s="267"/>
      <c r="E1094" s="323"/>
      <c r="F1094" s="267"/>
      <c r="G1094" s="266"/>
      <c r="H1094" s="267"/>
      <c r="I1094" s="267"/>
      <c r="J1094" s="279"/>
      <c r="K1094" s="337"/>
      <c r="L1094" s="106"/>
      <c r="M1094" s="284"/>
      <c r="N1094" s="259"/>
      <c r="O1094" s="258"/>
    </row>
    <row r="1095" spans="1:15" s="76" customFormat="1" ht="14.65" customHeight="1">
      <c r="A1095" s="96"/>
      <c r="B1095" s="326"/>
      <c r="C1095" s="280"/>
      <c r="D1095" s="267"/>
      <c r="E1095" s="323"/>
      <c r="F1095" s="267"/>
      <c r="G1095" s="279"/>
      <c r="H1095" s="267"/>
      <c r="I1095" s="267"/>
      <c r="J1095" s="279"/>
      <c r="K1095" s="337"/>
      <c r="L1095" s="106"/>
      <c r="M1095" s="285"/>
      <c r="N1095" s="260"/>
      <c r="O1095" s="258"/>
    </row>
    <row r="1096" spans="1:15" s="76" customFormat="1" ht="14.65" customHeight="1">
      <c r="A1096" s="96"/>
      <c r="B1096" s="325"/>
      <c r="C1096" s="280"/>
      <c r="D1096" s="267"/>
      <c r="E1096" s="323"/>
      <c r="F1096" s="267"/>
      <c r="G1096" s="266"/>
      <c r="H1096" s="267"/>
      <c r="I1096" s="267"/>
      <c r="J1096" s="279"/>
      <c r="K1096" s="337"/>
      <c r="L1096" s="106"/>
      <c r="M1096" s="284"/>
      <c r="N1096" s="259"/>
      <c r="O1096" s="258"/>
    </row>
    <row r="1097" spans="1:15" s="76" customFormat="1" ht="14.65" customHeight="1">
      <c r="A1097" s="96"/>
      <c r="B1097" s="326"/>
      <c r="C1097" s="280"/>
      <c r="D1097" s="267"/>
      <c r="E1097" s="323"/>
      <c r="F1097" s="267"/>
      <c r="G1097" s="266"/>
      <c r="H1097" s="267"/>
      <c r="I1097" s="267"/>
      <c r="J1097" s="279"/>
      <c r="K1097" s="337"/>
      <c r="L1097" s="106"/>
      <c r="M1097" s="285"/>
      <c r="N1097" s="260"/>
      <c r="O1097" s="258"/>
    </row>
    <row r="1098" spans="1:15" s="76" customFormat="1" ht="14.65" customHeight="1">
      <c r="A1098" s="96"/>
      <c r="B1098" s="325"/>
      <c r="C1098" s="280"/>
      <c r="D1098" s="267"/>
      <c r="E1098" s="323"/>
      <c r="F1098" s="267"/>
      <c r="G1098" s="266"/>
      <c r="H1098" s="267"/>
      <c r="I1098" s="267"/>
      <c r="J1098" s="279"/>
      <c r="K1098" s="337"/>
      <c r="L1098" s="106"/>
      <c r="M1098" s="284"/>
      <c r="N1098" s="259"/>
      <c r="O1098" s="258"/>
    </row>
    <row r="1099" spans="1:15" s="76" customFormat="1" ht="14.65" customHeight="1">
      <c r="A1099" s="96"/>
      <c r="B1099" s="326"/>
      <c r="C1099" s="280"/>
      <c r="D1099" s="267"/>
      <c r="E1099" s="323"/>
      <c r="F1099" s="267"/>
      <c r="G1099" s="279"/>
      <c r="H1099" s="267"/>
      <c r="I1099" s="267"/>
      <c r="J1099" s="279"/>
      <c r="K1099" s="337"/>
      <c r="L1099" s="106"/>
      <c r="M1099" s="285"/>
      <c r="N1099" s="260"/>
      <c r="O1099" s="258"/>
    </row>
    <row r="1100" spans="1:15" s="76" customFormat="1" ht="14.65" customHeight="1">
      <c r="A1100" s="96"/>
      <c r="B1100" s="325"/>
      <c r="C1100" s="280"/>
      <c r="D1100" s="267"/>
      <c r="E1100" s="323"/>
      <c r="F1100" s="267"/>
      <c r="G1100" s="266"/>
      <c r="H1100" s="267"/>
      <c r="I1100" s="267"/>
      <c r="J1100" s="279"/>
      <c r="K1100" s="337"/>
      <c r="L1100" s="106"/>
      <c r="M1100" s="290"/>
      <c r="N1100" s="259"/>
      <c r="O1100" s="258"/>
    </row>
    <row r="1101" spans="1:15" s="76" customFormat="1" ht="14.65" customHeight="1">
      <c r="A1101" s="96"/>
      <c r="B1101" s="326"/>
      <c r="C1101" s="280"/>
      <c r="D1101" s="267"/>
      <c r="E1101" s="323"/>
      <c r="F1101" s="267"/>
      <c r="G1101" s="266"/>
      <c r="H1101" s="267"/>
      <c r="I1101" s="267"/>
      <c r="J1101" s="279"/>
      <c r="K1101" s="337"/>
      <c r="L1101" s="106"/>
      <c r="M1101" s="256"/>
      <c r="N1101" s="260"/>
      <c r="O1101" s="258"/>
    </row>
    <row r="1102" spans="1:15" s="76" customFormat="1" ht="14.65" customHeight="1">
      <c r="A1102" s="96"/>
      <c r="B1102" s="325"/>
      <c r="C1102" s="280"/>
      <c r="D1102" s="267"/>
      <c r="E1102" s="323"/>
      <c r="F1102" s="267"/>
      <c r="G1102" s="266"/>
      <c r="H1102" s="267"/>
      <c r="I1102" s="267"/>
      <c r="J1102" s="279"/>
      <c r="K1102" s="337"/>
      <c r="L1102" s="106"/>
      <c r="M1102" s="290"/>
      <c r="N1102" s="259"/>
      <c r="O1102" s="258"/>
    </row>
    <row r="1103" spans="1:15" s="76" customFormat="1" ht="14.65" customHeight="1">
      <c r="A1103" s="96"/>
      <c r="B1103" s="326"/>
      <c r="C1103" s="280"/>
      <c r="D1103" s="267"/>
      <c r="E1103" s="323"/>
      <c r="F1103" s="267"/>
      <c r="G1103" s="279"/>
      <c r="H1103" s="267"/>
      <c r="I1103" s="267"/>
      <c r="J1103" s="279"/>
      <c r="K1103" s="337"/>
      <c r="L1103" s="106"/>
      <c r="M1103" s="256"/>
      <c r="N1103" s="260"/>
      <c r="O1103" s="258"/>
    </row>
    <row r="1104" spans="1:15" s="76" customFormat="1" ht="14.65" customHeight="1">
      <c r="A1104" s="96"/>
      <c r="B1104" s="325"/>
      <c r="C1104" s="280"/>
      <c r="D1104" s="267"/>
      <c r="E1104" s="323"/>
      <c r="F1104" s="267"/>
      <c r="G1104" s="266"/>
      <c r="H1104" s="267"/>
      <c r="I1104" s="267"/>
      <c r="J1104" s="279"/>
      <c r="K1104" s="337"/>
      <c r="L1104" s="106"/>
      <c r="M1104" s="290"/>
      <c r="N1104" s="259"/>
      <c r="O1104" s="258"/>
    </row>
    <row r="1105" spans="1:15" s="76" customFormat="1" ht="14.65" customHeight="1">
      <c r="A1105" s="96"/>
      <c r="B1105" s="326"/>
      <c r="C1105" s="280"/>
      <c r="D1105" s="267"/>
      <c r="E1105" s="323"/>
      <c r="F1105" s="267"/>
      <c r="G1105" s="279"/>
      <c r="H1105" s="267"/>
      <c r="I1105" s="267"/>
      <c r="J1105" s="279"/>
      <c r="K1105" s="337"/>
      <c r="L1105" s="106"/>
      <c r="M1105" s="256"/>
      <c r="N1105" s="260"/>
      <c r="O1105" s="258"/>
    </row>
    <row r="1106" spans="1:15" s="76" customFormat="1" ht="14.65" customHeight="1">
      <c r="A1106" s="96"/>
      <c r="B1106" s="325"/>
      <c r="C1106" s="280"/>
      <c r="D1106" s="267"/>
      <c r="E1106" s="323"/>
      <c r="F1106" s="267"/>
      <c r="G1106" s="266"/>
      <c r="H1106" s="267"/>
      <c r="I1106" s="267"/>
      <c r="J1106" s="279"/>
      <c r="K1106" s="337"/>
      <c r="L1106" s="106"/>
      <c r="M1106" s="290"/>
      <c r="N1106" s="259"/>
      <c r="O1106" s="258"/>
    </row>
    <row r="1107" spans="1:15" s="76" customFormat="1" ht="14.65" customHeight="1">
      <c r="A1107" s="96"/>
      <c r="B1107" s="326"/>
      <c r="C1107" s="280"/>
      <c r="D1107" s="267"/>
      <c r="E1107" s="323"/>
      <c r="F1107" s="267"/>
      <c r="G1107" s="266"/>
      <c r="H1107" s="267"/>
      <c r="I1107" s="267"/>
      <c r="J1107" s="279"/>
      <c r="K1107" s="337"/>
      <c r="L1107" s="106"/>
      <c r="M1107" s="290"/>
      <c r="N1107" s="259"/>
      <c r="O1107" s="258"/>
    </row>
    <row r="1108" spans="1:15" s="76" customFormat="1" ht="14.65" customHeight="1">
      <c r="A1108" s="96"/>
      <c r="B1108" s="326"/>
      <c r="C1108" s="280"/>
      <c r="D1108" s="267"/>
      <c r="E1108" s="323"/>
      <c r="F1108" s="267"/>
      <c r="G1108" s="266"/>
      <c r="H1108" s="267"/>
      <c r="I1108" s="267"/>
      <c r="J1108" s="279"/>
      <c r="K1108" s="337"/>
      <c r="L1108" s="106"/>
      <c r="M1108" s="256"/>
      <c r="N1108" s="260"/>
      <c r="O1108" s="258"/>
    </row>
    <row r="1109" spans="1:15" s="76" customFormat="1" ht="14.65" customHeight="1">
      <c r="A1109" s="96"/>
      <c r="B1109" s="325"/>
      <c r="C1109" s="280"/>
      <c r="D1109" s="267"/>
      <c r="E1109" s="323"/>
      <c r="F1109" s="267"/>
      <c r="G1109" s="266"/>
      <c r="H1109" s="267"/>
      <c r="I1109" s="267"/>
      <c r="J1109" s="279"/>
      <c r="K1109" s="337"/>
      <c r="L1109" s="106"/>
      <c r="M1109" s="290"/>
      <c r="N1109" s="259"/>
      <c r="O1109" s="258"/>
    </row>
    <row r="1110" spans="1:15" s="76" customFormat="1" ht="14.65" customHeight="1">
      <c r="A1110" s="96"/>
      <c r="B1110" s="326"/>
      <c r="C1110" s="280"/>
      <c r="D1110" s="267"/>
      <c r="E1110" s="323"/>
      <c r="F1110" s="267"/>
      <c r="G1110" s="266"/>
      <c r="H1110" s="267"/>
      <c r="I1110" s="267"/>
      <c r="J1110" s="279"/>
      <c r="K1110" s="337"/>
      <c r="L1110" s="106"/>
      <c r="M1110" s="256"/>
      <c r="N1110" s="260"/>
      <c r="O1110" s="258"/>
    </row>
    <row r="1111" spans="1:15" s="76" customFormat="1" ht="14.65" customHeight="1">
      <c r="A1111" s="96"/>
      <c r="B1111" s="325"/>
      <c r="C1111" s="280"/>
      <c r="D1111" s="267"/>
      <c r="E1111" s="323"/>
      <c r="F1111" s="267"/>
      <c r="G1111" s="266"/>
      <c r="H1111" s="267"/>
      <c r="I1111" s="267"/>
      <c r="J1111" s="279"/>
      <c r="K1111" s="337"/>
      <c r="L1111" s="106"/>
      <c r="M1111" s="290"/>
      <c r="N1111" s="259"/>
      <c r="O1111" s="258"/>
    </row>
    <row r="1112" spans="1:15" s="76" customFormat="1" ht="14.65" customHeight="1">
      <c r="A1112" s="96"/>
      <c r="B1112" s="326"/>
      <c r="C1112" s="280"/>
      <c r="D1112" s="267"/>
      <c r="E1112" s="323"/>
      <c r="F1112" s="267"/>
      <c r="G1112" s="279"/>
      <c r="H1112" s="267"/>
      <c r="I1112" s="267"/>
      <c r="J1112" s="279"/>
      <c r="K1112" s="337"/>
      <c r="L1112" s="106"/>
      <c r="M1112" s="256"/>
      <c r="N1112" s="259"/>
      <c r="O1112" s="258"/>
    </row>
    <row r="1113" spans="1:15" s="76" customFormat="1" ht="14.65" customHeight="1">
      <c r="A1113" s="96"/>
      <c r="B1113" s="326"/>
      <c r="C1113" s="280"/>
      <c r="D1113" s="267"/>
      <c r="E1113" s="323"/>
      <c r="F1113" s="267"/>
      <c r="G1113" s="279"/>
      <c r="H1113" s="267"/>
      <c r="I1113" s="267"/>
      <c r="J1113" s="279"/>
      <c r="K1113" s="337"/>
      <c r="L1113" s="106"/>
      <c r="M1113" s="256"/>
      <c r="N1113" s="260"/>
      <c r="O1113" s="258"/>
    </row>
    <row r="1114" spans="1:15" s="76" customFormat="1" ht="14.65" customHeight="1">
      <c r="A1114" s="96"/>
      <c r="B1114" s="325"/>
      <c r="C1114" s="280"/>
      <c r="D1114" s="267"/>
      <c r="E1114" s="323"/>
      <c r="F1114" s="269"/>
      <c r="G1114" s="266"/>
      <c r="H1114" s="267"/>
      <c r="I1114" s="267"/>
      <c r="J1114" s="279"/>
      <c r="K1114" s="337"/>
      <c r="L1114" s="106"/>
      <c r="M1114" s="290"/>
      <c r="N1114" s="259"/>
      <c r="O1114" s="258"/>
    </row>
    <row r="1115" spans="1:15" s="76" customFormat="1" ht="14.65" customHeight="1">
      <c r="A1115" s="90"/>
      <c r="B1115" s="326"/>
      <c r="C1115" s="280"/>
      <c r="D1115" s="267"/>
      <c r="E1115" s="323"/>
      <c r="F1115" s="267"/>
      <c r="G1115" s="266"/>
      <c r="H1115" s="267"/>
      <c r="I1115" s="267"/>
      <c r="J1115" s="279"/>
      <c r="K1115" s="337"/>
      <c r="L1115" s="106"/>
      <c r="M1115" s="256"/>
      <c r="N1115" s="260"/>
      <c r="O1115" s="258"/>
    </row>
    <row r="1116" spans="1:15" s="76" customFormat="1" ht="14.65" customHeight="1">
      <c r="A1116" s="90"/>
      <c r="B1116" s="325"/>
      <c r="C1116" s="280"/>
      <c r="D1116" s="267"/>
      <c r="E1116" s="323"/>
      <c r="F1116" s="267"/>
      <c r="G1116" s="266"/>
      <c r="H1116" s="267"/>
      <c r="I1116" s="267"/>
      <c r="J1116" s="279"/>
      <c r="K1116" s="337"/>
      <c r="L1116" s="106"/>
      <c r="M1116" s="290"/>
      <c r="N1116" s="259"/>
      <c r="O1116" s="258"/>
    </row>
    <row r="1117" spans="1:15" s="76" customFormat="1" ht="14.65" customHeight="1">
      <c r="A1117" s="90"/>
      <c r="B1117" s="326"/>
      <c r="C1117" s="280"/>
      <c r="D1117" s="267"/>
      <c r="E1117" s="323"/>
      <c r="F1117" s="267"/>
      <c r="G1117" s="279"/>
      <c r="H1117" s="267"/>
      <c r="I1117" s="267"/>
      <c r="J1117" s="279"/>
      <c r="K1117" s="337"/>
      <c r="L1117" s="106"/>
      <c r="M1117" s="256"/>
      <c r="N1117" s="260"/>
      <c r="O1117" s="258"/>
    </row>
    <row r="1118" spans="1:15" s="76" customFormat="1" ht="14.65" customHeight="1">
      <c r="A1118" s="90"/>
      <c r="B1118" s="325"/>
      <c r="C1118" s="280"/>
      <c r="D1118" s="267"/>
      <c r="E1118" s="323"/>
      <c r="F1118" s="267"/>
      <c r="G1118" s="266"/>
      <c r="H1118" s="267"/>
      <c r="I1118" s="267"/>
      <c r="J1118" s="279"/>
      <c r="K1118" s="337"/>
      <c r="L1118" s="106"/>
      <c r="M1118" s="290"/>
      <c r="N1118" s="259"/>
      <c r="O1118" s="258"/>
    </row>
    <row r="1119" spans="1:15" s="76" customFormat="1" ht="14.65" customHeight="1">
      <c r="A1119" s="90"/>
      <c r="B1119" s="326"/>
      <c r="C1119" s="280"/>
      <c r="D1119" s="267"/>
      <c r="E1119" s="323"/>
      <c r="F1119" s="267"/>
      <c r="G1119" s="266"/>
      <c r="H1119" s="267"/>
      <c r="I1119" s="267"/>
      <c r="J1119" s="279"/>
      <c r="K1119" s="337"/>
      <c r="L1119" s="106"/>
      <c r="M1119" s="256"/>
      <c r="N1119" s="260"/>
      <c r="O1119" s="258"/>
    </row>
    <row r="1120" spans="1:15" s="76" customFormat="1" ht="14.65" customHeight="1">
      <c r="A1120" s="90"/>
      <c r="B1120" s="325"/>
      <c r="C1120" s="280"/>
      <c r="D1120" s="267"/>
      <c r="E1120" s="323"/>
      <c r="F1120" s="267"/>
      <c r="G1120" s="266"/>
      <c r="H1120" s="267"/>
      <c r="I1120" s="267"/>
      <c r="J1120" s="279"/>
      <c r="K1120" s="337"/>
      <c r="L1120" s="106"/>
      <c r="M1120" s="290"/>
      <c r="N1120" s="259"/>
      <c r="O1120" s="258"/>
    </row>
    <row r="1121" spans="1:15" s="76" customFormat="1" ht="14.65" customHeight="1">
      <c r="A1121" s="90"/>
      <c r="B1121" s="326"/>
      <c r="C1121" s="280"/>
      <c r="D1121" s="267"/>
      <c r="E1121" s="323"/>
      <c r="F1121" s="267"/>
      <c r="G1121" s="266"/>
      <c r="H1121" s="267"/>
      <c r="I1121" s="267"/>
      <c r="J1121" s="279"/>
      <c r="K1121" s="337"/>
      <c r="L1121" s="106"/>
      <c r="M1121" s="256"/>
      <c r="N1121" s="260"/>
      <c r="O1121" s="258"/>
    </row>
    <row r="1122" spans="1:15" s="76" customFormat="1" ht="14.65" customHeight="1">
      <c r="A1122" s="90"/>
      <c r="B1122" s="325"/>
      <c r="C1122" s="280"/>
      <c r="D1122" s="267"/>
      <c r="E1122" s="323"/>
      <c r="F1122" s="267"/>
      <c r="G1122" s="266"/>
      <c r="H1122" s="267"/>
      <c r="I1122" s="267"/>
      <c r="J1122" s="279"/>
      <c r="K1122" s="337"/>
      <c r="L1122" s="106"/>
      <c r="M1122" s="290"/>
      <c r="N1122" s="259"/>
      <c r="O1122" s="258"/>
    </row>
    <row r="1123" spans="1:15" s="76" customFormat="1" ht="14.65" customHeight="1">
      <c r="A1123" s="90"/>
      <c r="B1123" s="326"/>
      <c r="C1123" s="280"/>
      <c r="D1123" s="267"/>
      <c r="E1123" s="323"/>
      <c r="F1123" s="267"/>
      <c r="G1123" s="266"/>
      <c r="H1123" s="267"/>
      <c r="I1123" s="267"/>
      <c r="J1123" s="279"/>
      <c r="K1123" s="337"/>
      <c r="L1123" s="106"/>
      <c r="M1123" s="256"/>
      <c r="N1123" s="260"/>
      <c r="O1123" s="258"/>
    </row>
    <row r="1124" spans="1:15" s="76" customFormat="1" ht="14.65" customHeight="1">
      <c r="A1124" s="90"/>
      <c r="B1124" s="325"/>
      <c r="C1124" s="280"/>
      <c r="D1124" s="267"/>
      <c r="E1124" s="323"/>
      <c r="F1124" s="267"/>
      <c r="G1124" s="266"/>
      <c r="H1124" s="267"/>
      <c r="I1124" s="267"/>
      <c r="J1124" s="279"/>
      <c r="K1124" s="337"/>
      <c r="L1124" s="106"/>
      <c r="M1124" s="290"/>
      <c r="N1124" s="259"/>
      <c r="O1124" s="258"/>
    </row>
    <row r="1125" spans="1:15" s="76" customFormat="1" ht="14.65" customHeight="1">
      <c r="A1125" s="90"/>
      <c r="B1125" s="326"/>
      <c r="C1125" s="280"/>
      <c r="D1125" s="267"/>
      <c r="E1125" s="323"/>
      <c r="F1125" s="267"/>
      <c r="G1125" s="279"/>
      <c r="H1125" s="267"/>
      <c r="I1125" s="267"/>
      <c r="J1125" s="279"/>
      <c r="K1125" s="337"/>
      <c r="L1125" s="106"/>
      <c r="M1125" s="256"/>
      <c r="N1125" s="260"/>
      <c r="O1125" s="258"/>
    </row>
    <row r="1126" spans="1:15" s="76" customFormat="1" ht="14.65" customHeight="1">
      <c r="A1126" s="90"/>
      <c r="B1126" s="325"/>
      <c r="C1126" s="280"/>
      <c r="D1126" s="267"/>
      <c r="E1126" s="323"/>
      <c r="F1126" s="267"/>
      <c r="G1126" s="320"/>
      <c r="H1126" s="267"/>
      <c r="I1126" s="267"/>
      <c r="J1126" s="279"/>
      <c r="K1126" s="337"/>
      <c r="L1126" s="106"/>
      <c r="M1126" s="290"/>
      <c r="N1126" s="259"/>
      <c r="O1126" s="258"/>
    </row>
    <row r="1127" spans="1:15" s="76" customFormat="1" ht="14.65" customHeight="1">
      <c r="A1127" s="90"/>
      <c r="B1127" s="326"/>
      <c r="C1127" s="280"/>
      <c r="D1127" s="267"/>
      <c r="E1127" s="323"/>
      <c r="F1127" s="267"/>
      <c r="G1127" s="279"/>
      <c r="H1127" s="267"/>
      <c r="I1127" s="267"/>
      <c r="J1127" s="279"/>
      <c r="K1127" s="337"/>
      <c r="L1127" s="106"/>
      <c r="M1127" s="256"/>
      <c r="N1127" s="260"/>
      <c r="O1127" s="258"/>
    </row>
    <row r="1128" spans="1:15" s="76" customFormat="1" ht="14.65" customHeight="1">
      <c r="A1128" s="90"/>
      <c r="B1128" s="325"/>
      <c r="C1128" s="280"/>
      <c r="D1128" s="267"/>
      <c r="E1128" s="323"/>
      <c r="F1128" s="267"/>
      <c r="G1128" s="266"/>
      <c r="H1128" s="267"/>
      <c r="I1128" s="267"/>
      <c r="J1128" s="279"/>
      <c r="K1128" s="337"/>
      <c r="L1128" s="106"/>
      <c r="M1128" s="290"/>
      <c r="N1128" s="259"/>
      <c r="O1128" s="258"/>
    </row>
    <row r="1129" spans="1:15" s="76" customFormat="1" ht="14.65" customHeight="1">
      <c r="A1129" s="90"/>
      <c r="B1129" s="326"/>
      <c r="C1129" s="280"/>
      <c r="D1129" s="267"/>
      <c r="E1129" s="323"/>
      <c r="F1129" s="267"/>
      <c r="G1129" s="266"/>
      <c r="H1129" s="267"/>
      <c r="I1129" s="267"/>
      <c r="J1129" s="279"/>
      <c r="K1129" s="337"/>
      <c r="L1129" s="106"/>
      <c r="M1129" s="256"/>
      <c r="N1129" s="260"/>
      <c r="O1129" s="258"/>
    </row>
    <row r="1130" spans="1:15" s="76" customFormat="1" ht="14.65" customHeight="1">
      <c r="A1130" s="90"/>
      <c r="B1130" s="325"/>
      <c r="C1130" s="280"/>
      <c r="D1130" s="267"/>
      <c r="E1130" s="323"/>
      <c r="F1130" s="267"/>
      <c r="G1130" s="266"/>
      <c r="H1130" s="267"/>
      <c r="I1130" s="267"/>
      <c r="J1130" s="279"/>
      <c r="K1130" s="337"/>
      <c r="L1130" s="106"/>
      <c r="M1130" s="290"/>
      <c r="N1130" s="259"/>
      <c r="O1130" s="258"/>
    </row>
    <row r="1131" spans="1:15" s="76" customFormat="1" ht="14.65" customHeight="1">
      <c r="A1131" s="90"/>
      <c r="B1131" s="326"/>
      <c r="C1131" s="280"/>
      <c r="D1131" s="267"/>
      <c r="E1131" s="323"/>
      <c r="F1131" s="267"/>
      <c r="G1131" s="266"/>
      <c r="H1131" s="267"/>
      <c r="I1131" s="267"/>
      <c r="J1131" s="279"/>
      <c r="K1131" s="337"/>
      <c r="L1131" s="106"/>
      <c r="M1131" s="256"/>
      <c r="N1131" s="260"/>
      <c r="O1131" s="258"/>
    </row>
    <row r="1132" spans="1:15" s="76" customFormat="1" ht="14.65" customHeight="1">
      <c r="A1132" s="90"/>
      <c r="B1132" s="325"/>
      <c r="C1132" s="280"/>
      <c r="D1132" s="267"/>
      <c r="E1132" s="323"/>
      <c r="F1132" s="267"/>
      <c r="G1132" s="266"/>
      <c r="H1132" s="267"/>
      <c r="I1132" s="267"/>
      <c r="J1132" s="279"/>
      <c r="K1132" s="337"/>
      <c r="L1132" s="106"/>
      <c r="M1132" s="290"/>
      <c r="N1132" s="259"/>
      <c r="O1132" s="258"/>
    </row>
    <row r="1133" spans="1:15" s="76" customFormat="1" ht="14.65" customHeight="1">
      <c r="A1133" s="90"/>
      <c r="B1133" s="326"/>
      <c r="C1133" s="280"/>
      <c r="D1133" s="267"/>
      <c r="E1133" s="323"/>
      <c r="F1133" s="267"/>
      <c r="G1133" s="266"/>
      <c r="H1133" s="267"/>
      <c r="I1133" s="267"/>
      <c r="J1133" s="279"/>
      <c r="K1133" s="337"/>
      <c r="L1133" s="106"/>
      <c r="M1133" s="256"/>
      <c r="N1133" s="260"/>
      <c r="O1133" s="258"/>
    </row>
    <row r="1134" spans="1:15" s="76" customFormat="1" ht="14.65" customHeight="1">
      <c r="A1134" s="90"/>
      <c r="B1134" s="325"/>
      <c r="C1134" s="280"/>
      <c r="D1134" s="267"/>
      <c r="E1134" s="323"/>
      <c r="F1134" s="267"/>
      <c r="G1134" s="266"/>
      <c r="H1134" s="267"/>
      <c r="I1134" s="267"/>
      <c r="J1134" s="279"/>
      <c r="K1134" s="337"/>
      <c r="L1134" s="106"/>
      <c r="M1134" s="290"/>
      <c r="N1134" s="259"/>
      <c r="O1134" s="258"/>
    </row>
    <row r="1135" spans="1:15" s="76" customFormat="1" ht="14.65" customHeight="1">
      <c r="A1135" s="90"/>
      <c r="B1135" s="326"/>
      <c r="C1135" s="280"/>
      <c r="D1135" s="267"/>
      <c r="E1135" s="323"/>
      <c r="F1135" s="267"/>
      <c r="G1135" s="279"/>
      <c r="H1135" s="267"/>
      <c r="I1135" s="267"/>
      <c r="J1135" s="279"/>
      <c r="K1135" s="337"/>
      <c r="L1135" s="106"/>
      <c r="M1135" s="256"/>
      <c r="N1135" s="260"/>
      <c r="O1135" s="258"/>
    </row>
    <row r="1136" spans="1:15" s="76" customFormat="1" ht="14.65" customHeight="1">
      <c r="A1136" s="91"/>
      <c r="B1136" s="325"/>
      <c r="C1136" s="280"/>
      <c r="D1136" s="267"/>
      <c r="E1136" s="323"/>
      <c r="F1136" s="271"/>
      <c r="G1136" s="266"/>
      <c r="H1136" s="267"/>
      <c r="I1136" s="267"/>
      <c r="J1136" s="279"/>
      <c r="K1136" s="337"/>
      <c r="L1136" s="106"/>
      <c r="M1136" s="292"/>
      <c r="N1136" s="259"/>
      <c r="O1136" s="258"/>
    </row>
    <row r="1137" spans="1:15" s="76" customFormat="1" ht="14.65" customHeight="1">
      <c r="A1137" s="91"/>
      <c r="B1137" s="326"/>
      <c r="C1137" s="280"/>
      <c r="D1137" s="267"/>
      <c r="E1137" s="323"/>
      <c r="F1137" s="267"/>
      <c r="G1137" s="279"/>
      <c r="H1137" s="267"/>
      <c r="I1137" s="267"/>
      <c r="J1137" s="279"/>
      <c r="K1137" s="337"/>
      <c r="L1137" s="106"/>
      <c r="M1137" s="285"/>
      <c r="N1137" s="260"/>
      <c r="O1137" s="258"/>
    </row>
    <row r="1138" spans="1:15" s="76" customFormat="1" ht="14.65" customHeight="1">
      <c r="A1138" s="91"/>
      <c r="B1138" s="325"/>
      <c r="C1138" s="280"/>
      <c r="D1138" s="267"/>
      <c r="E1138" s="323"/>
      <c r="F1138" s="267"/>
      <c r="G1138" s="266"/>
      <c r="H1138" s="267"/>
      <c r="I1138" s="267"/>
      <c r="J1138" s="279"/>
      <c r="K1138" s="337"/>
      <c r="L1138" s="106"/>
      <c r="M1138" s="284"/>
      <c r="N1138" s="259"/>
      <c r="O1138" s="258"/>
    </row>
    <row r="1139" spans="1:15" s="76" customFormat="1" ht="14.65" customHeight="1">
      <c r="A1139" s="91"/>
      <c r="B1139" s="326"/>
      <c r="C1139" s="280"/>
      <c r="D1139" s="267"/>
      <c r="E1139" s="323"/>
      <c r="F1139" s="267"/>
      <c r="G1139" s="266"/>
      <c r="H1139" s="267"/>
      <c r="I1139" s="267"/>
      <c r="J1139" s="279"/>
      <c r="K1139" s="337"/>
      <c r="L1139" s="106"/>
      <c r="M1139" s="284"/>
      <c r="N1139" s="259"/>
      <c r="O1139" s="258"/>
    </row>
    <row r="1140" spans="1:15" s="76" customFormat="1" ht="14.65" customHeight="1">
      <c r="A1140" s="91"/>
      <c r="B1140" s="326"/>
      <c r="C1140" s="280"/>
      <c r="D1140" s="267"/>
      <c r="E1140" s="323"/>
      <c r="F1140" s="267"/>
      <c r="G1140" s="266"/>
      <c r="H1140" s="267"/>
      <c r="I1140" s="267"/>
      <c r="J1140" s="279"/>
      <c r="K1140" s="337"/>
      <c r="L1140" s="106"/>
      <c r="M1140" s="285"/>
      <c r="N1140" s="260"/>
      <c r="O1140" s="258"/>
    </row>
    <row r="1141" spans="1:15" s="76" customFormat="1" ht="14.65" customHeight="1">
      <c r="A1141" s="91"/>
      <c r="B1141" s="325"/>
      <c r="C1141" s="280"/>
      <c r="D1141" s="267"/>
      <c r="E1141" s="323"/>
      <c r="F1141" s="267"/>
      <c r="G1141" s="266"/>
      <c r="H1141" s="267"/>
      <c r="I1141" s="267"/>
      <c r="J1141" s="279"/>
      <c r="K1141" s="337"/>
      <c r="L1141" s="106"/>
      <c r="M1141" s="284"/>
      <c r="N1141" s="259"/>
      <c r="O1141" s="258"/>
    </row>
    <row r="1142" spans="1:15" s="76" customFormat="1" ht="14.65" customHeight="1">
      <c r="A1142" s="91"/>
      <c r="B1142" s="326"/>
      <c r="C1142" s="280"/>
      <c r="D1142" s="267"/>
      <c r="E1142" s="323"/>
      <c r="F1142" s="267"/>
      <c r="G1142" s="266"/>
      <c r="H1142" s="267"/>
      <c r="I1142" s="267"/>
      <c r="J1142" s="279"/>
      <c r="K1142" s="337"/>
      <c r="L1142" s="106"/>
      <c r="M1142" s="285"/>
      <c r="N1142" s="260"/>
      <c r="O1142" s="258"/>
    </row>
    <row r="1143" spans="1:15" s="76" customFormat="1" ht="14.65" customHeight="1">
      <c r="A1143" s="91"/>
      <c r="B1143" s="325"/>
      <c r="C1143" s="280"/>
      <c r="D1143" s="267"/>
      <c r="E1143" s="323"/>
      <c r="F1143" s="267"/>
      <c r="G1143" s="266"/>
      <c r="H1143" s="267"/>
      <c r="I1143" s="267"/>
      <c r="J1143" s="279"/>
      <c r="K1143" s="337"/>
      <c r="L1143" s="106"/>
      <c r="M1143" s="284"/>
      <c r="N1143" s="259"/>
      <c r="O1143" s="258"/>
    </row>
    <row r="1144" spans="1:15" s="76" customFormat="1" ht="14.65" customHeight="1">
      <c r="A1144" s="91"/>
      <c r="B1144" s="326"/>
      <c r="C1144" s="280"/>
      <c r="D1144" s="267"/>
      <c r="E1144" s="323"/>
      <c r="F1144" s="267"/>
      <c r="G1144" s="279"/>
      <c r="H1144" s="267"/>
      <c r="I1144" s="267"/>
      <c r="J1144" s="279"/>
      <c r="K1144" s="337"/>
      <c r="L1144" s="106"/>
      <c r="M1144" s="285"/>
      <c r="N1144" s="260"/>
      <c r="O1144" s="258"/>
    </row>
    <row r="1145" spans="1:15" s="76" customFormat="1" ht="14.65" customHeight="1">
      <c r="A1145" s="91"/>
      <c r="B1145" s="325"/>
      <c r="C1145" s="280"/>
      <c r="D1145" s="267"/>
      <c r="E1145" s="323"/>
      <c r="F1145" s="267"/>
      <c r="G1145" s="266"/>
      <c r="H1145" s="267"/>
      <c r="I1145" s="267"/>
      <c r="J1145" s="279"/>
      <c r="K1145" s="337"/>
      <c r="L1145" s="106"/>
      <c r="M1145" s="290"/>
      <c r="N1145" s="259"/>
      <c r="O1145" s="258"/>
    </row>
    <row r="1146" spans="1:15" s="76" customFormat="1" ht="14.65" customHeight="1">
      <c r="A1146" s="91"/>
      <c r="B1146" s="326"/>
      <c r="C1146" s="280"/>
      <c r="D1146" s="267"/>
      <c r="E1146" s="323"/>
      <c r="F1146" s="267"/>
      <c r="G1146" s="266"/>
      <c r="H1146" s="267"/>
      <c r="I1146" s="267"/>
      <c r="J1146" s="279"/>
      <c r="K1146" s="337"/>
      <c r="L1146" s="106"/>
      <c r="M1146" s="256"/>
      <c r="N1146" s="260"/>
      <c r="O1146" s="258"/>
    </row>
    <row r="1147" spans="1:15" s="76" customFormat="1" ht="14.65" customHeight="1">
      <c r="A1147" s="91"/>
      <c r="B1147" s="325"/>
      <c r="C1147" s="280"/>
      <c r="D1147" s="267"/>
      <c r="E1147" s="323"/>
      <c r="F1147" s="267"/>
      <c r="G1147" s="266"/>
      <c r="H1147" s="267"/>
      <c r="I1147" s="267"/>
      <c r="J1147" s="279"/>
      <c r="K1147" s="337"/>
      <c r="L1147" s="106"/>
      <c r="M1147" s="290"/>
      <c r="N1147" s="259"/>
      <c r="O1147" s="258"/>
    </row>
    <row r="1148" spans="1:15" s="76" customFormat="1" ht="14.65" customHeight="1">
      <c r="A1148" s="91"/>
      <c r="B1148" s="326"/>
      <c r="C1148" s="280"/>
      <c r="D1148" s="267"/>
      <c r="E1148" s="323"/>
      <c r="F1148" s="267"/>
      <c r="G1148" s="279"/>
      <c r="H1148" s="267"/>
      <c r="I1148" s="267"/>
      <c r="J1148" s="279"/>
      <c r="K1148" s="337"/>
      <c r="L1148" s="106"/>
      <c r="M1148" s="256"/>
      <c r="N1148" s="260"/>
      <c r="O1148" s="258"/>
    </row>
    <row r="1149" spans="1:15" s="76" customFormat="1" ht="14.65" customHeight="1">
      <c r="A1149" s="91"/>
      <c r="B1149" s="325"/>
      <c r="C1149" s="280"/>
      <c r="D1149" s="267"/>
      <c r="E1149" s="323"/>
      <c r="F1149" s="267"/>
      <c r="G1149" s="266"/>
      <c r="H1149" s="267"/>
      <c r="I1149" s="267"/>
      <c r="J1149" s="279"/>
      <c r="K1149" s="337"/>
      <c r="L1149" s="106"/>
      <c r="M1149" s="290"/>
      <c r="N1149" s="259"/>
      <c r="O1149" s="258"/>
    </row>
    <row r="1150" spans="1:15" s="76" customFormat="1" ht="14.65" customHeight="1">
      <c r="A1150" s="91"/>
      <c r="B1150" s="326"/>
      <c r="C1150" s="280"/>
      <c r="D1150" s="267"/>
      <c r="E1150" s="323"/>
      <c r="F1150" s="267"/>
      <c r="G1150" s="266"/>
      <c r="H1150" s="267"/>
      <c r="I1150" s="267"/>
      <c r="J1150" s="279"/>
      <c r="K1150" s="337"/>
      <c r="L1150" s="106"/>
      <c r="M1150" s="256"/>
      <c r="N1150" s="260"/>
      <c r="O1150" s="258"/>
    </row>
    <row r="1151" spans="1:15" s="76" customFormat="1" ht="14.65" customHeight="1">
      <c r="A1151" s="91"/>
      <c r="B1151" s="325"/>
      <c r="C1151" s="280"/>
      <c r="D1151" s="267"/>
      <c r="E1151" s="323"/>
      <c r="F1151" s="267"/>
      <c r="G1151" s="266"/>
      <c r="H1151" s="267"/>
      <c r="I1151" s="267"/>
      <c r="J1151" s="279"/>
      <c r="K1151" s="337"/>
      <c r="L1151" s="106"/>
      <c r="M1151" s="290"/>
      <c r="N1151" s="259"/>
      <c r="O1151" s="258"/>
    </row>
    <row r="1152" spans="1:15" s="76" customFormat="1" ht="14.65" customHeight="1">
      <c r="A1152" s="91"/>
      <c r="B1152" s="326"/>
      <c r="C1152" s="280"/>
      <c r="D1152" s="267"/>
      <c r="E1152" s="323"/>
      <c r="F1152" s="267"/>
      <c r="G1152" s="266"/>
      <c r="H1152" s="267"/>
      <c r="I1152" s="267"/>
      <c r="J1152" s="279"/>
      <c r="K1152" s="337"/>
      <c r="L1152" s="106"/>
      <c r="M1152" s="256"/>
      <c r="N1152" s="260"/>
      <c r="O1152" s="258"/>
    </row>
    <row r="1153" spans="1:15" s="76" customFormat="1" ht="14.65" customHeight="1">
      <c r="A1153" s="91"/>
      <c r="B1153" s="325"/>
      <c r="C1153" s="280"/>
      <c r="D1153" s="267"/>
      <c r="E1153" s="323"/>
      <c r="F1153" s="267"/>
      <c r="G1153" s="266"/>
      <c r="H1153" s="267"/>
      <c r="I1153" s="267"/>
      <c r="J1153" s="279"/>
      <c r="K1153" s="337"/>
      <c r="L1153" s="106"/>
      <c r="M1153" s="290"/>
      <c r="N1153" s="259"/>
      <c r="O1153" s="258"/>
    </row>
    <row r="1154" spans="1:15" s="76" customFormat="1" ht="14.65" customHeight="1">
      <c r="A1154" s="91"/>
      <c r="B1154" s="326"/>
      <c r="C1154" s="280"/>
      <c r="D1154" s="267"/>
      <c r="E1154" s="323"/>
      <c r="F1154" s="267"/>
      <c r="G1154" s="279"/>
      <c r="H1154" s="267"/>
      <c r="I1154" s="267"/>
      <c r="J1154" s="279"/>
      <c r="K1154" s="337"/>
      <c r="L1154" s="106"/>
      <c r="M1154" s="256"/>
      <c r="N1154" s="260"/>
      <c r="O1154" s="258"/>
    </row>
    <row r="1155" spans="1:15" s="76" customFormat="1" ht="14.65" customHeight="1">
      <c r="A1155" s="91"/>
      <c r="B1155" s="325"/>
      <c r="C1155" s="280"/>
      <c r="D1155" s="267"/>
      <c r="E1155" s="323"/>
      <c r="F1155" s="267"/>
      <c r="G1155" s="266"/>
      <c r="H1155" s="267"/>
      <c r="I1155" s="267"/>
      <c r="J1155" s="279"/>
      <c r="K1155" s="337"/>
      <c r="L1155" s="106"/>
      <c r="M1155" s="290"/>
      <c r="N1155" s="259"/>
      <c r="O1155" s="258"/>
    </row>
    <row r="1156" spans="1:15" s="76" customFormat="1" ht="14.65" customHeight="1">
      <c r="A1156" s="91"/>
      <c r="B1156" s="326"/>
      <c r="C1156" s="280"/>
      <c r="D1156" s="267"/>
      <c r="E1156" s="323"/>
      <c r="F1156" s="267"/>
      <c r="G1156" s="266"/>
      <c r="H1156" s="267"/>
      <c r="I1156" s="267"/>
      <c r="J1156" s="279"/>
      <c r="K1156" s="337"/>
      <c r="L1156" s="106"/>
      <c r="M1156" s="256"/>
      <c r="N1156" s="260"/>
      <c r="O1156" s="258"/>
    </row>
    <row r="1157" spans="1:15" s="76" customFormat="1" ht="14.65" customHeight="1">
      <c r="A1157" s="91"/>
      <c r="B1157" s="325"/>
      <c r="C1157" s="280"/>
      <c r="D1157" s="267"/>
      <c r="E1157" s="323"/>
      <c r="F1157" s="267"/>
      <c r="G1157" s="266"/>
      <c r="H1157" s="267"/>
      <c r="I1157" s="267"/>
      <c r="J1157" s="279"/>
      <c r="K1157" s="337"/>
      <c r="L1157" s="106"/>
      <c r="M1157" s="290"/>
      <c r="N1157" s="259"/>
      <c r="O1157" s="258"/>
    </row>
    <row r="1158" spans="1:15" s="76" customFormat="1" ht="14.65" customHeight="1">
      <c r="A1158" s="91"/>
      <c r="B1158" s="326"/>
      <c r="C1158" s="280"/>
      <c r="D1158" s="267"/>
      <c r="E1158" s="323"/>
      <c r="F1158" s="267"/>
      <c r="G1158" s="279"/>
      <c r="H1158" s="267"/>
      <c r="I1158" s="267"/>
      <c r="J1158" s="279"/>
      <c r="K1158" s="337"/>
      <c r="L1158" s="106"/>
      <c r="M1158" s="290"/>
      <c r="N1158" s="259"/>
      <c r="O1158" s="258"/>
    </row>
    <row r="1159" spans="1:15" s="76" customFormat="1" ht="14.65" customHeight="1">
      <c r="A1159" s="91"/>
      <c r="B1159" s="326"/>
      <c r="C1159" s="280"/>
      <c r="D1159" s="267"/>
      <c r="E1159" s="323"/>
      <c r="F1159" s="267"/>
      <c r="G1159" s="279"/>
      <c r="H1159" s="267"/>
      <c r="I1159" s="267"/>
      <c r="J1159" s="279"/>
      <c r="K1159" s="337"/>
      <c r="L1159" s="106"/>
      <c r="M1159" s="256"/>
      <c r="N1159" s="260"/>
      <c r="O1159" s="258"/>
    </row>
    <row r="1160" spans="1:15" s="76" customFormat="1" ht="14.65" customHeight="1">
      <c r="A1160" s="91"/>
      <c r="B1160" s="325"/>
      <c r="C1160" s="280"/>
      <c r="D1160" s="267"/>
      <c r="E1160" s="323"/>
      <c r="F1160" s="269"/>
      <c r="G1160" s="266"/>
      <c r="H1160" s="267"/>
      <c r="I1160" s="267"/>
      <c r="J1160" s="279"/>
      <c r="K1160" s="337"/>
      <c r="L1160" s="106"/>
      <c r="M1160" s="290"/>
      <c r="N1160" s="259"/>
      <c r="O1160" s="258"/>
    </row>
    <row r="1161" spans="1:15" s="76" customFormat="1" ht="14.65" customHeight="1">
      <c r="A1161" s="91"/>
      <c r="B1161" s="326"/>
      <c r="C1161" s="280"/>
      <c r="D1161" s="267"/>
      <c r="E1161" s="323"/>
      <c r="F1161" s="267"/>
      <c r="G1161" s="266"/>
      <c r="H1161" s="267"/>
      <c r="I1161" s="267"/>
      <c r="J1161" s="279"/>
      <c r="K1161" s="337"/>
      <c r="L1161" s="106"/>
      <c r="M1161" s="290"/>
      <c r="N1161" s="259"/>
      <c r="O1161" s="258"/>
    </row>
    <row r="1162" spans="1:15" s="76" customFormat="1" ht="14.65" customHeight="1">
      <c r="A1162" s="91"/>
      <c r="B1162" s="326"/>
      <c r="C1162" s="280"/>
      <c r="D1162" s="267"/>
      <c r="E1162" s="323"/>
      <c r="F1162" s="267"/>
      <c r="G1162" s="266"/>
      <c r="H1162" s="267"/>
      <c r="I1162" s="267"/>
      <c r="J1162" s="279"/>
      <c r="K1162" s="337"/>
      <c r="L1162" s="106"/>
      <c r="M1162" s="256"/>
      <c r="N1162" s="260"/>
      <c r="O1162" s="258"/>
    </row>
    <row r="1163" spans="1:15" s="76" customFormat="1" ht="14.65" customHeight="1">
      <c r="A1163" s="91"/>
      <c r="B1163" s="325"/>
      <c r="C1163" s="280"/>
      <c r="D1163" s="267"/>
      <c r="E1163" s="323"/>
      <c r="F1163" s="267"/>
      <c r="G1163" s="266"/>
      <c r="H1163" s="267"/>
      <c r="I1163" s="267"/>
      <c r="J1163" s="279"/>
      <c r="K1163" s="337"/>
      <c r="L1163" s="106"/>
      <c r="M1163" s="290"/>
      <c r="N1163" s="259"/>
      <c r="O1163" s="258"/>
    </row>
    <row r="1164" spans="1:15" s="76" customFormat="1" ht="14.65" customHeight="1">
      <c r="A1164" s="91"/>
      <c r="B1164" s="326"/>
      <c r="C1164" s="280"/>
      <c r="D1164" s="267"/>
      <c r="E1164" s="323"/>
      <c r="F1164" s="267"/>
      <c r="G1164" s="266"/>
      <c r="H1164" s="267"/>
      <c r="I1164" s="267"/>
      <c r="J1164" s="279"/>
      <c r="K1164" s="337"/>
      <c r="L1164" s="106"/>
      <c r="M1164" s="256"/>
      <c r="N1164" s="260"/>
      <c r="O1164" s="258"/>
    </row>
    <row r="1165" spans="1:15" s="76" customFormat="1" ht="14.65" customHeight="1">
      <c r="A1165" s="91"/>
      <c r="B1165" s="325"/>
      <c r="C1165" s="280"/>
      <c r="D1165" s="267"/>
      <c r="E1165" s="323"/>
      <c r="F1165" s="267"/>
      <c r="G1165" s="266"/>
      <c r="H1165" s="267"/>
      <c r="I1165" s="267"/>
      <c r="J1165" s="279"/>
      <c r="K1165" s="337"/>
      <c r="L1165" s="106"/>
      <c r="M1165" s="290"/>
      <c r="N1165" s="259"/>
      <c r="O1165" s="258"/>
    </row>
    <row r="1166" spans="1:15" s="76" customFormat="1" ht="14.65" customHeight="1">
      <c r="A1166" s="91"/>
      <c r="B1166" s="326"/>
      <c r="C1166" s="280"/>
      <c r="D1166" s="267"/>
      <c r="E1166" s="323"/>
      <c r="F1166" s="267"/>
      <c r="G1166" s="266"/>
      <c r="H1166" s="267"/>
      <c r="I1166" s="267"/>
      <c r="J1166" s="279"/>
      <c r="K1166" s="337"/>
      <c r="L1166" s="106"/>
      <c r="M1166" s="256"/>
      <c r="N1166" s="260"/>
      <c r="O1166" s="258"/>
    </row>
    <row r="1167" spans="1:15" s="76" customFormat="1" ht="14.65" customHeight="1">
      <c r="A1167" s="91"/>
      <c r="B1167" s="325"/>
      <c r="C1167" s="280"/>
      <c r="D1167" s="267"/>
      <c r="E1167" s="323"/>
      <c r="F1167" s="267"/>
      <c r="G1167" s="266"/>
      <c r="H1167" s="267"/>
      <c r="I1167" s="267"/>
      <c r="J1167" s="279"/>
      <c r="K1167" s="337"/>
      <c r="L1167" s="106"/>
      <c r="M1167" s="290"/>
      <c r="N1167" s="259"/>
      <c r="O1167" s="258"/>
    </row>
    <row r="1168" spans="1:15" s="76" customFormat="1" ht="14.65" customHeight="1">
      <c r="A1168" s="91"/>
      <c r="B1168" s="326"/>
      <c r="C1168" s="280"/>
      <c r="D1168" s="267"/>
      <c r="E1168" s="323"/>
      <c r="F1168" s="267"/>
      <c r="G1168" s="279"/>
      <c r="H1168" s="267"/>
      <c r="I1168" s="267"/>
      <c r="J1168" s="279"/>
      <c r="K1168" s="337"/>
      <c r="L1168" s="106"/>
      <c r="M1168" s="290"/>
      <c r="N1168" s="259"/>
      <c r="O1168" s="258"/>
    </row>
    <row r="1169" spans="1:15" s="76" customFormat="1" ht="14.65" customHeight="1">
      <c r="A1169" s="91"/>
      <c r="B1169" s="326"/>
      <c r="C1169" s="280"/>
      <c r="D1169" s="267"/>
      <c r="E1169" s="323"/>
      <c r="F1169" s="267"/>
      <c r="G1169" s="279"/>
      <c r="H1169" s="267"/>
      <c r="I1169" s="267"/>
      <c r="J1169" s="279"/>
      <c r="K1169" s="337"/>
      <c r="L1169" s="106"/>
      <c r="M1169" s="256"/>
      <c r="N1169" s="260"/>
      <c r="O1169" s="258"/>
    </row>
    <row r="1170" spans="1:15" s="76" customFormat="1" ht="14.65" customHeight="1">
      <c r="A1170" s="91"/>
      <c r="B1170" s="325"/>
      <c r="C1170" s="280"/>
      <c r="D1170" s="268"/>
      <c r="E1170" s="323"/>
      <c r="F1170" s="267"/>
      <c r="G1170" s="280"/>
      <c r="H1170" s="270"/>
      <c r="I1170" s="270"/>
      <c r="J1170" s="266"/>
      <c r="K1170" s="338"/>
      <c r="L1170" s="106"/>
      <c r="M1170" s="303"/>
      <c r="N1170" s="262"/>
      <c r="O1170" s="263"/>
    </row>
    <row r="1171" spans="1:15" s="76" customFormat="1" ht="14.65" customHeight="1">
      <c r="A1171" s="91"/>
      <c r="B1171" s="326"/>
      <c r="C1171" s="280"/>
      <c r="D1171" s="268"/>
      <c r="E1171" s="323"/>
      <c r="F1171" s="272"/>
      <c r="G1171" s="280"/>
      <c r="H1171" s="270"/>
      <c r="I1171" s="270"/>
      <c r="J1171" s="266"/>
      <c r="K1171" s="338"/>
      <c r="L1171" s="106"/>
      <c r="M1171" s="302"/>
      <c r="N1171" s="264"/>
      <c r="O1171" s="263"/>
    </row>
    <row r="1172" spans="1:15" s="76" customFormat="1" ht="14.65" customHeight="1">
      <c r="A1172" s="91"/>
      <c r="B1172" s="325"/>
      <c r="C1172" s="280"/>
      <c r="D1172" s="267"/>
      <c r="E1172" s="323"/>
      <c r="F1172" s="267"/>
      <c r="G1172" s="266"/>
      <c r="H1172" s="267"/>
      <c r="I1172" s="267"/>
      <c r="J1172" s="279"/>
      <c r="K1172" s="337"/>
      <c r="L1172" s="106"/>
      <c r="M1172" s="290"/>
      <c r="N1172" s="259"/>
      <c r="O1172" s="258"/>
    </row>
    <row r="1173" spans="1:15" s="76" customFormat="1" ht="14.65" customHeight="1">
      <c r="A1173" s="91"/>
      <c r="B1173" s="326"/>
      <c r="C1173" s="280"/>
      <c r="D1173" s="267"/>
      <c r="E1173" s="323"/>
      <c r="F1173" s="267"/>
      <c r="G1173" s="279"/>
      <c r="H1173" s="267"/>
      <c r="I1173" s="267"/>
      <c r="J1173" s="279"/>
      <c r="K1173" s="337"/>
      <c r="L1173" s="106"/>
      <c r="M1173" s="256"/>
      <c r="N1173" s="260"/>
      <c r="O1173" s="258"/>
    </row>
    <row r="1174" spans="1:15" s="76" customFormat="1" ht="14.65" customHeight="1">
      <c r="A1174" s="96"/>
      <c r="B1174" s="325"/>
      <c r="C1174" s="280"/>
      <c r="D1174" s="267"/>
      <c r="E1174" s="323"/>
      <c r="F1174" s="271"/>
      <c r="G1174" s="266"/>
      <c r="H1174" s="267"/>
      <c r="I1174" s="267"/>
      <c r="J1174" s="279"/>
      <c r="K1174" s="337"/>
      <c r="L1174" s="106"/>
      <c r="M1174" s="284"/>
      <c r="N1174" s="259"/>
      <c r="O1174" s="258"/>
    </row>
    <row r="1175" spans="1:15" s="76" customFormat="1" ht="14.65" customHeight="1">
      <c r="A1175" s="96"/>
      <c r="B1175" s="326"/>
      <c r="C1175" s="280"/>
      <c r="D1175" s="267"/>
      <c r="E1175" s="323"/>
      <c r="F1175" s="267"/>
      <c r="G1175" s="279"/>
      <c r="H1175" s="267"/>
      <c r="I1175" s="267"/>
      <c r="J1175" s="279"/>
      <c r="K1175" s="337"/>
      <c r="L1175" s="106"/>
      <c r="M1175" s="285"/>
      <c r="N1175" s="260"/>
      <c r="O1175" s="258"/>
    </row>
    <row r="1176" spans="1:15" s="76" customFormat="1" ht="14.65" customHeight="1">
      <c r="A1176" s="96"/>
      <c r="B1176" s="325"/>
      <c r="C1176" s="280"/>
      <c r="D1176" s="268"/>
      <c r="E1176" s="323"/>
      <c r="F1176" s="324"/>
      <c r="G1176" s="323"/>
      <c r="H1176" s="270"/>
      <c r="I1176" s="270"/>
      <c r="J1176" s="266"/>
      <c r="K1176" s="338"/>
      <c r="L1176" s="106"/>
      <c r="M1176" s="335"/>
      <c r="N1176" s="336"/>
      <c r="O1176" s="263"/>
    </row>
    <row r="1177" spans="1:15" s="76" customFormat="1" ht="14.65" customHeight="1">
      <c r="A1177" s="96"/>
      <c r="B1177" s="325"/>
      <c r="C1177" s="280"/>
      <c r="D1177" s="268"/>
      <c r="E1177" s="323"/>
      <c r="F1177" s="324"/>
      <c r="G1177" s="323"/>
      <c r="H1177" s="270"/>
      <c r="I1177" s="270"/>
      <c r="J1177" s="266"/>
      <c r="K1177" s="338"/>
      <c r="L1177" s="106"/>
      <c r="M1177" s="335"/>
      <c r="N1177" s="336"/>
      <c r="O1177" s="263"/>
    </row>
    <row r="1178" spans="1:15" s="76" customFormat="1" ht="14.65" customHeight="1">
      <c r="A1178" s="96"/>
      <c r="B1178" s="325"/>
      <c r="C1178" s="280"/>
      <c r="D1178" s="267"/>
      <c r="E1178" s="323"/>
      <c r="F1178" s="271"/>
      <c r="G1178" s="266"/>
      <c r="H1178" s="267"/>
      <c r="I1178" s="267"/>
      <c r="J1178" s="279"/>
      <c r="K1178" s="337"/>
      <c r="L1178" s="106"/>
      <c r="M1178" s="284"/>
      <c r="N1178" s="259"/>
      <c r="O1178" s="258"/>
    </row>
    <row r="1179" spans="1:15" s="76" customFormat="1" ht="14.65" customHeight="1">
      <c r="A1179" s="96"/>
      <c r="B1179" s="328"/>
      <c r="C1179" s="274"/>
      <c r="D1179" s="89"/>
      <c r="E1179" s="189"/>
      <c r="F1179" s="89"/>
      <c r="G1179" s="188"/>
      <c r="H1179" s="121"/>
      <c r="I1179" s="132"/>
      <c r="J1179" s="221"/>
      <c r="K1179" s="89"/>
      <c r="L1179" s="106" t="str">
        <f t="shared" ref="L1179:L1180" si="0">IF(K1179&lt;&gt;"",VLOOKUP(K1179,ChartofAccountsTable,2,FALSE),"")</f>
        <v/>
      </c>
      <c r="M1179" s="185"/>
      <c r="N1179" s="138"/>
    </row>
    <row r="1180" spans="1:15" s="76" customFormat="1" ht="14.65" customHeight="1">
      <c r="A1180" s="96"/>
      <c r="B1180" s="328"/>
      <c r="C1180" s="274"/>
      <c r="D1180" s="89"/>
      <c r="E1180" s="189"/>
      <c r="F1180" s="89"/>
      <c r="G1180" s="188"/>
      <c r="H1180" s="121"/>
      <c r="I1180" s="132"/>
      <c r="J1180" s="221"/>
      <c r="K1180" s="89"/>
      <c r="L1180" s="106" t="str">
        <f t="shared" si="0"/>
        <v/>
      </c>
      <c r="M1180" s="185"/>
      <c r="N1180" s="138"/>
    </row>
    <row r="1181" spans="1:15" s="76" customFormat="1" ht="14.65" customHeight="1">
      <c r="A1181" s="96"/>
      <c r="B1181" s="187"/>
      <c r="C1181" s="274"/>
      <c r="D1181" s="89"/>
      <c r="E1181" s="189"/>
      <c r="F1181" s="89"/>
      <c r="G1181" s="188"/>
      <c r="H1181" s="121"/>
      <c r="I1181" s="132"/>
      <c r="J1181" s="221"/>
      <c r="K1181" s="89"/>
      <c r="L1181" s="106"/>
      <c r="M1181" s="185"/>
      <c r="N1181" s="138"/>
    </row>
    <row r="1182" spans="1:15" s="76" customFormat="1" ht="14.65" customHeight="1">
      <c r="A1182" s="96"/>
      <c r="B1182" s="187"/>
      <c r="C1182" s="274"/>
      <c r="D1182" s="89"/>
      <c r="E1182" s="189"/>
      <c r="F1182" s="89"/>
      <c r="G1182" s="188"/>
      <c r="H1182" s="121"/>
      <c r="I1182" s="132"/>
      <c r="J1182" s="221"/>
      <c r="K1182" s="89"/>
      <c r="L1182" s="106"/>
      <c r="M1182" s="185"/>
      <c r="N1182" s="138"/>
    </row>
    <row r="1183" spans="1:15" s="76" customFormat="1" ht="14.65" customHeight="1">
      <c r="A1183" s="96"/>
      <c r="B1183" s="187"/>
      <c r="C1183" s="274"/>
      <c r="D1183" s="89"/>
      <c r="E1183" s="189"/>
      <c r="F1183" s="89"/>
      <c r="G1183" s="188"/>
      <c r="H1183" s="121"/>
      <c r="I1183" s="132"/>
      <c r="J1183" s="221"/>
      <c r="K1183" s="89"/>
      <c r="L1183" s="106"/>
      <c r="M1183" s="185"/>
      <c r="N1183" s="138"/>
    </row>
    <row r="1184" spans="1:15" s="76" customFormat="1" ht="14.65" customHeight="1">
      <c r="A1184" s="96"/>
      <c r="B1184" s="187"/>
      <c r="C1184" s="274"/>
      <c r="D1184" s="89"/>
      <c r="E1184" s="189"/>
      <c r="F1184" s="89"/>
      <c r="G1184" s="188"/>
      <c r="H1184" s="121"/>
      <c r="I1184" s="132"/>
      <c r="J1184" s="221"/>
      <c r="K1184" s="89"/>
      <c r="L1184" s="106"/>
      <c r="M1184" s="185"/>
      <c r="N1184" s="138"/>
    </row>
    <row r="1185" spans="1:15" s="76" customFormat="1" ht="14.65" customHeight="1">
      <c r="A1185" s="96"/>
      <c r="B1185" s="187"/>
      <c r="C1185" s="274"/>
      <c r="D1185" s="89"/>
      <c r="E1185" s="189"/>
      <c r="F1185" s="89"/>
      <c r="G1185" s="188"/>
      <c r="H1185" s="121"/>
      <c r="I1185" s="132"/>
      <c r="J1185" s="221"/>
      <c r="K1185" s="89"/>
      <c r="L1185" s="106"/>
      <c r="M1185" s="185"/>
      <c r="N1185" s="138"/>
    </row>
    <row r="1186" spans="1:15" s="76" customFormat="1" ht="14.65" customHeight="1">
      <c r="A1186" s="96"/>
      <c r="B1186" s="187"/>
      <c r="C1186" s="274"/>
      <c r="D1186" s="89"/>
      <c r="E1186" s="189"/>
      <c r="F1186" s="89"/>
      <c r="G1186" s="188"/>
      <c r="H1186" s="121"/>
      <c r="I1186" s="132"/>
      <c r="J1186" s="221"/>
      <c r="K1186" s="89"/>
      <c r="L1186" s="106"/>
      <c r="M1186" s="185"/>
      <c r="N1186" s="138"/>
    </row>
    <row r="1187" spans="1:15" s="76" customFormat="1" ht="14.65" customHeight="1">
      <c r="A1187" s="96"/>
      <c r="B1187" s="187"/>
      <c r="C1187" s="274"/>
      <c r="D1187" s="89"/>
      <c r="E1187" s="189"/>
      <c r="F1187" s="89"/>
      <c r="G1187" s="188"/>
      <c r="H1187" s="121"/>
      <c r="I1187" s="132"/>
      <c r="J1187" s="221"/>
      <c r="K1187" s="89"/>
      <c r="L1187" s="106"/>
      <c r="M1187" s="185"/>
      <c r="N1187" s="138"/>
    </row>
    <row r="1188" spans="1:15" s="76" customFormat="1" ht="14.65" customHeight="1">
      <c r="A1188" s="96"/>
      <c r="B1188" s="187"/>
      <c r="C1188" s="274"/>
      <c r="D1188" s="89"/>
      <c r="E1188" s="189"/>
      <c r="F1188" s="89"/>
      <c r="G1188" s="188"/>
      <c r="H1188" s="121"/>
      <c r="I1188" s="132"/>
      <c r="J1188" s="221"/>
      <c r="K1188" s="89"/>
      <c r="L1188" s="106"/>
      <c r="M1188" s="185"/>
      <c r="N1188" s="138"/>
    </row>
    <row r="1189" spans="1:15" s="76" customFormat="1" ht="14.65" customHeight="1">
      <c r="A1189" s="96"/>
      <c r="B1189" s="187"/>
      <c r="C1189" s="274"/>
      <c r="D1189" s="89"/>
      <c r="E1189" s="189"/>
      <c r="F1189" s="89"/>
      <c r="G1189" s="188"/>
      <c r="H1189" s="121"/>
      <c r="I1189" s="132"/>
      <c r="J1189" s="221"/>
      <c r="K1189" s="89"/>
      <c r="L1189" s="106"/>
      <c r="M1189" s="185"/>
      <c r="N1189" s="138"/>
      <c r="O1189" s="75" t="s">
        <v>805</v>
      </c>
    </row>
    <row r="1190" spans="1:15" s="76" customFormat="1" ht="14.65" customHeight="1">
      <c r="A1190" s="96"/>
      <c r="B1190" s="187"/>
      <c r="C1190" s="274"/>
      <c r="D1190" s="89"/>
      <c r="E1190" s="189"/>
      <c r="F1190" s="89"/>
      <c r="G1190" s="188"/>
      <c r="H1190" s="121"/>
      <c r="I1190" s="132"/>
      <c r="J1190" s="221"/>
      <c r="K1190" s="89"/>
      <c r="L1190" s="106"/>
      <c r="M1190" s="185"/>
      <c r="N1190" s="138"/>
    </row>
    <row r="1191" spans="1:15" s="76" customFormat="1" ht="14.65" customHeight="1">
      <c r="A1191" s="96"/>
      <c r="B1191" s="187"/>
      <c r="C1191" s="274"/>
      <c r="D1191" s="89"/>
      <c r="E1191" s="189"/>
      <c r="F1191" s="89"/>
      <c r="G1191" s="188"/>
      <c r="H1191" s="121"/>
      <c r="I1191" s="132"/>
      <c r="J1191" s="221"/>
      <c r="K1191" s="89"/>
      <c r="L1191" s="106"/>
      <c r="M1191" s="185"/>
      <c r="N1191" s="138"/>
    </row>
    <row r="1192" spans="1:15" s="76" customFormat="1" ht="14.65" customHeight="1">
      <c r="A1192" s="96"/>
      <c r="B1192" s="187"/>
      <c r="C1192" s="274"/>
      <c r="D1192" s="89"/>
      <c r="E1192" s="189"/>
      <c r="F1192" s="89"/>
      <c r="G1192" s="188"/>
      <c r="H1192" s="121"/>
      <c r="I1192" s="132"/>
      <c r="J1192" s="221"/>
      <c r="K1192" s="89"/>
      <c r="L1192" s="106"/>
      <c r="M1192" s="185"/>
      <c r="N1192" s="138"/>
    </row>
    <row r="1193" spans="1:15" s="76" customFormat="1" ht="14.65" customHeight="1">
      <c r="A1193" s="96"/>
      <c r="B1193" s="187"/>
      <c r="C1193" s="274"/>
      <c r="D1193" s="89"/>
      <c r="E1193" s="190"/>
      <c r="F1193" s="89"/>
      <c r="G1193" s="188"/>
      <c r="H1193" s="121"/>
      <c r="I1193" s="132"/>
      <c r="J1193" s="221"/>
      <c r="K1193" s="89"/>
      <c r="L1193" s="106"/>
      <c r="M1193" s="185"/>
      <c r="N1193" s="138"/>
    </row>
    <row r="1194" spans="1:15" s="76" customFormat="1" ht="14.65" customHeight="1">
      <c r="A1194" s="96"/>
      <c r="B1194" s="187"/>
      <c r="C1194" s="274"/>
      <c r="D1194" s="89"/>
      <c r="E1194" s="190"/>
      <c r="F1194" s="89"/>
      <c r="G1194" s="188"/>
      <c r="H1194" s="121"/>
      <c r="I1194" s="132"/>
      <c r="J1194" s="221"/>
      <c r="K1194" s="89"/>
      <c r="L1194" s="106"/>
      <c r="M1194" s="185"/>
      <c r="N1194" s="138"/>
    </row>
    <row r="1195" spans="1:15" s="76" customFormat="1" ht="14.65" customHeight="1">
      <c r="A1195" s="96"/>
      <c r="B1195" s="187"/>
      <c r="C1195" s="274"/>
      <c r="D1195" s="89"/>
      <c r="E1195" s="189"/>
      <c r="F1195" s="89"/>
      <c r="G1195" s="188"/>
      <c r="H1195" s="121"/>
      <c r="I1195" s="132"/>
      <c r="J1195" s="221"/>
      <c r="K1195" s="89"/>
      <c r="L1195" s="106"/>
      <c r="M1195" s="185"/>
      <c r="N1195" s="138"/>
    </row>
    <row r="1196" spans="1:15" s="76" customFormat="1" ht="14.65" customHeight="1">
      <c r="A1196" s="96"/>
      <c r="B1196" s="187"/>
      <c r="C1196" s="274"/>
      <c r="D1196" s="89"/>
      <c r="E1196" s="189"/>
      <c r="F1196" s="89"/>
      <c r="G1196" s="188"/>
      <c r="H1196" s="121"/>
      <c r="I1196" s="132"/>
      <c r="J1196" s="221"/>
      <c r="K1196" s="89"/>
      <c r="L1196" s="106"/>
      <c r="M1196" s="185"/>
      <c r="N1196" s="138"/>
    </row>
    <row r="1197" spans="1:15" s="76" customFormat="1" ht="14.65" customHeight="1">
      <c r="A1197" s="96"/>
      <c r="B1197" s="187"/>
      <c r="C1197" s="274"/>
      <c r="D1197" s="89"/>
      <c r="E1197" s="189"/>
      <c r="F1197" s="89"/>
      <c r="G1197" s="188"/>
      <c r="H1197" s="121"/>
      <c r="I1197" s="132"/>
      <c r="J1197" s="221"/>
      <c r="K1197" s="89"/>
      <c r="L1197" s="106"/>
      <c r="M1197" s="185"/>
      <c r="N1197" s="138"/>
    </row>
    <row r="1198" spans="1:15" s="76" customFormat="1" ht="14.65" customHeight="1">
      <c r="A1198" s="96"/>
      <c r="B1198" s="187"/>
      <c r="C1198" s="274"/>
      <c r="D1198" s="89"/>
      <c r="E1198" s="189"/>
      <c r="F1198" s="89"/>
      <c r="G1198" s="188"/>
      <c r="H1198" s="121"/>
      <c r="I1198" s="132"/>
      <c r="J1198" s="221"/>
      <c r="K1198" s="89"/>
      <c r="L1198" s="106"/>
      <c r="M1198" s="185"/>
      <c r="N1198" s="138"/>
    </row>
    <row r="1199" spans="1:15" s="76" customFormat="1" ht="14.65" customHeight="1">
      <c r="A1199" s="96"/>
      <c r="B1199" s="187"/>
      <c r="C1199" s="274"/>
      <c r="D1199" s="89"/>
      <c r="E1199" s="190"/>
      <c r="F1199" s="89"/>
      <c r="G1199" s="188"/>
      <c r="H1199" s="121"/>
      <c r="I1199" s="132"/>
      <c r="J1199" s="221"/>
      <c r="K1199" s="89"/>
      <c r="L1199" s="106"/>
      <c r="M1199" s="185"/>
      <c r="N1199" s="138"/>
    </row>
    <row r="1200" spans="1:15" s="76" customFormat="1" ht="14.65" customHeight="1">
      <c r="A1200" s="96"/>
      <c r="B1200" s="187"/>
      <c r="C1200" s="274"/>
      <c r="D1200" s="89"/>
      <c r="E1200" s="190"/>
      <c r="F1200" s="89"/>
      <c r="G1200" s="188"/>
      <c r="H1200" s="121"/>
      <c r="I1200" s="132"/>
      <c r="J1200" s="221"/>
      <c r="K1200" s="89"/>
      <c r="L1200" s="106"/>
      <c r="M1200" s="185"/>
      <c r="N1200" s="138"/>
    </row>
    <row r="1201" spans="1:15" s="76" customFormat="1" ht="14.65" customHeight="1">
      <c r="A1201" s="96"/>
      <c r="B1201" s="187"/>
      <c r="C1201" s="274"/>
      <c r="D1201" s="89"/>
      <c r="E1201" s="189"/>
      <c r="F1201" s="89"/>
      <c r="G1201" s="188"/>
      <c r="H1201" s="121"/>
      <c r="I1201" s="132"/>
      <c r="J1201" s="221"/>
      <c r="K1201" s="89"/>
      <c r="L1201" s="106"/>
      <c r="M1201" s="185"/>
      <c r="N1201" s="138"/>
    </row>
    <row r="1202" spans="1:15" s="76" customFormat="1" ht="14.65" customHeight="1">
      <c r="A1202" s="96"/>
      <c r="B1202" s="187"/>
      <c r="C1202" s="274"/>
      <c r="D1202" s="89"/>
      <c r="E1202" s="189"/>
      <c r="F1202" s="89"/>
      <c r="G1202" s="188"/>
      <c r="H1202" s="121"/>
      <c r="I1202" s="132"/>
      <c r="J1202" s="221"/>
      <c r="K1202" s="89"/>
      <c r="L1202" s="106"/>
      <c r="M1202" s="185"/>
      <c r="N1202" s="138"/>
    </row>
    <row r="1203" spans="1:15" s="76" customFormat="1" ht="14.65" customHeight="1">
      <c r="A1203" s="96"/>
      <c r="B1203" s="187"/>
      <c r="C1203" s="274"/>
      <c r="D1203" s="89"/>
      <c r="E1203" s="189"/>
      <c r="F1203" s="89"/>
      <c r="G1203" s="188"/>
      <c r="H1203" s="121"/>
      <c r="I1203" s="132"/>
      <c r="J1203" s="221"/>
      <c r="K1203" s="89"/>
      <c r="L1203" s="106"/>
      <c r="M1203" s="185"/>
      <c r="N1203" s="138"/>
    </row>
    <row r="1204" spans="1:15" s="76" customFormat="1" ht="14.65" customHeight="1">
      <c r="A1204" s="96"/>
      <c r="B1204" s="187"/>
      <c r="C1204" s="274"/>
      <c r="D1204" s="89"/>
      <c r="E1204" s="189"/>
      <c r="F1204" s="89"/>
      <c r="G1204" s="188"/>
      <c r="H1204" s="121"/>
      <c r="I1204" s="132"/>
      <c r="J1204" s="221"/>
      <c r="K1204" s="89"/>
      <c r="L1204" s="106"/>
      <c r="M1204" s="185"/>
      <c r="N1204" s="138"/>
    </row>
    <row r="1205" spans="1:15" s="76" customFormat="1" ht="14.65" customHeight="1">
      <c r="A1205" s="96"/>
      <c r="B1205" s="187"/>
      <c r="C1205" s="274"/>
      <c r="D1205" s="89"/>
      <c r="E1205" s="189"/>
      <c r="F1205" s="89"/>
      <c r="G1205" s="188"/>
      <c r="H1205" s="121"/>
      <c r="I1205" s="132"/>
      <c r="J1205" s="221"/>
      <c r="K1205" s="89"/>
      <c r="L1205" s="106"/>
      <c r="M1205" s="185"/>
      <c r="N1205" s="138"/>
    </row>
    <row r="1206" spans="1:15" s="76" customFormat="1" ht="14.65" customHeight="1">
      <c r="A1206" s="96"/>
      <c r="B1206" s="187"/>
      <c r="C1206" s="274"/>
      <c r="D1206" s="89"/>
      <c r="E1206" s="189"/>
      <c r="F1206" s="89"/>
      <c r="G1206" s="188"/>
      <c r="H1206" s="121"/>
      <c r="I1206" s="132"/>
      <c r="J1206" s="221"/>
      <c r="K1206" s="89"/>
      <c r="L1206" s="106"/>
      <c r="M1206" s="185"/>
      <c r="N1206" s="138"/>
    </row>
    <row r="1207" spans="1:15" s="76" customFormat="1" ht="14.65" customHeight="1">
      <c r="A1207" s="96"/>
      <c r="B1207" s="187"/>
      <c r="C1207" s="274"/>
      <c r="D1207" s="89"/>
      <c r="E1207" s="189"/>
      <c r="F1207" s="89"/>
      <c r="G1207" s="188"/>
      <c r="H1207" s="121"/>
      <c r="I1207" s="132"/>
      <c r="J1207" s="221"/>
      <c r="K1207" s="89"/>
      <c r="L1207" s="106"/>
      <c r="M1207" s="185"/>
      <c r="N1207" s="138"/>
    </row>
    <row r="1208" spans="1:15" s="76" customFormat="1" ht="14.65" customHeight="1">
      <c r="A1208" s="96"/>
      <c r="B1208" s="187"/>
      <c r="C1208" s="274"/>
      <c r="D1208" s="89"/>
      <c r="E1208" s="189"/>
      <c r="F1208" s="89"/>
      <c r="G1208" s="188"/>
      <c r="H1208" s="121"/>
      <c r="I1208" s="132"/>
      <c r="J1208" s="221"/>
      <c r="K1208" s="89"/>
      <c r="L1208" s="106"/>
      <c r="M1208" s="185"/>
      <c r="N1208" s="138"/>
      <c r="O1208" s="76" t="s">
        <v>806</v>
      </c>
    </row>
    <row r="1209" spans="1:15" s="76" customFormat="1" ht="14.65" customHeight="1">
      <c r="A1209" s="96"/>
      <c r="B1209" s="187"/>
      <c r="C1209" s="274"/>
      <c r="D1209" s="89"/>
      <c r="E1209" s="189"/>
      <c r="F1209" s="89"/>
      <c r="G1209" s="188"/>
      <c r="H1209" s="121"/>
      <c r="I1209" s="132"/>
      <c r="J1209" s="221"/>
      <c r="K1209" s="89"/>
      <c r="L1209" s="106"/>
      <c r="M1209" s="185"/>
      <c r="N1209" s="138"/>
    </row>
    <row r="1210" spans="1:15" s="76" customFormat="1" ht="14.65" customHeight="1">
      <c r="A1210" s="96"/>
      <c r="B1210" s="187"/>
      <c r="C1210" s="274"/>
      <c r="D1210" s="89"/>
      <c r="E1210" s="189"/>
      <c r="F1210" s="89"/>
      <c r="G1210" s="188"/>
      <c r="H1210" s="121"/>
      <c r="I1210" s="132"/>
      <c r="J1210" s="221"/>
      <c r="K1210" s="89"/>
      <c r="L1210" s="106"/>
      <c r="M1210" s="185"/>
      <c r="N1210" s="138"/>
    </row>
    <row r="1211" spans="1:15" s="76" customFormat="1" ht="14.65" customHeight="1">
      <c r="A1211" s="96"/>
      <c r="B1211" s="187"/>
      <c r="C1211" s="274"/>
      <c r="D1211" s="89"/>
      <c r="E1211" s="189"/>
      <c r="F1211" s="89"/>
      <c r="G1211" s="188"/>
      <c r="H1211" s="121"/>
      <c r="I1211" s="132"/>
      <c r="J1211" s="221"/>
      <c r="K1211" s="89"/>
      <c r="L1211" s="106"/>
      <c r="M1211" s="185"/>
      <c r="N1211" s="138"/>
    </row>
    <row r="1212" spans="1:15" s="76" customFormat="1" ht="14.65" customHeight="1">
      <c r="A1212" s="96"/>
      <c r="B1212" s="187"/>
      <c r="C1212" s="274"/>
      <c r="D1212" s="89"/>
      <c r="E1212" s="189"/>
      <c r="F1212" s="89"/>
      <c r="G1212" s="188"/>
      <c r="H1212" s="121"/>
      <c r="I1212" s="132"/>
      <c r="J1212" s="221"/>
      <c r="K1212" s="89"/>
      <c r="L1212" s="106"/>
      <c r="M1212" s="185"/>
      <c r="N1212" s="138"/>
    </row>
    <row r="1213" spans="1:15" s="76" customFormat="1" ht="14.65" customHeight="1">
      <c r="A1213" s="96"/>
      <c r="B1213" s="187"/>
      <c r="C1213" s="274"/>
      <c r="D1213" s="89"/>
      <c r="E1213" s="189"/>
      <c r="F1213" s="89"/>
      <c r="G1213" s="188"/>
      <c r="H1213" s="121"/>
      <c r="I1213" s="132"/>
      <c r="J1213" s="221"/>
      <c r="K1213" s="89"/>
      <c r="L1213" s="106"/>
      <c r="M1213" s="185"/>
      <c r="N1213" s="138"/>
      <c r="O1213" s="76" t="s">
        <v>806</v>
      </c>
    </row>
    <row r="1214" spans="1:15" s="76" customFormat="1" ht="14.65" customHeight="1">
      <c r="A1214" s="96"/>
      <c r="B1214" s="187"/>
      <c r="C1214" s="274"/>
      <c r="D1214" s="89"/>
      <c r="E1214" s="189"/>
      <c r="F1214" s="89"/>
      <c r="G1214" s="188"/>
      <c r="H1214" s="121"/>
      <c r="I1214" s="132"/>
      <c r="J1214" s="221"/>
      <c r="K1214" s="89"/>
      <c r="L1214" s="106"/>
      <c r="M1214" s="185"/>
      <c r="N1214" s="138"/>
    </row>
    <row r="1215" spans="1:15" s="76" customFormat="1" ht="14.65" customHeight="1">
      <c r="A1215" s="96"/>
      <c r="B1215" s="187"/>
      <c r="C1215" s="274"/>
      <c r="D1215" s="89"/>
      <c r="E1215" s="189"/>
      <c r="F1215" s="89"/>
      <c r="G1215" s="188"/>
      <c r="H1215" s="121"/>
      <c r="I1215" s="132"/>
      <c r="J1215" s="221"/>
      <c r="K1215" s="89"/>
      <c r="L1215" s="106"/>
      <c r="M1215" s="185"/>
      <c r="N1215" s="138"/>
    </row>
    <row r="1216" spans="1:15" s="76" customFormat="1" ht="14.65" customHeight="1">
      <c r="A1216" s="96"/>
      <c r="B1216" s="187"/>
      <c r="C1216" s="274"/>
      <c r="D1216" s="89"/>
      <c r="E1216" s="189"/>
      <c r="F1216" s="89"/>
      <c r="G1216" s="188"/>
      <c r="H1216" s="121"/>
      <c r="I1216" s="132"/>
      <c r="J1216" s="221"/>
      <c r="K1216" s="89"/>
      <c r="L1216" s="106"/>
      <c r="M1216" s="185"/>
      <c r="N1216" s="138"/>
    </row>
    <row r="1217" spans="1:14" s="76" customFormat="1" ht="14.65" customHeight="1">
      <c r="A1217" s="96"/>
      <c r="B1217" s="187"/>
      <c r="C1217" s="274"/>
      <c r="D1217" s="89"/>
      <c r="E1217" s="190"/>
      <c r="F1217" s="89"/>
      <c r="G1217" s="188"/>
      <c r="H1217" s="121"/>
      <c r="I1217" s="132"/>
      <c r="J1217" s="221"/>
      <c r="K1217" s="89"/>
      <c r="L1217" s="106"/>
      <c r="M1217" s="185"/>
      <c r="N1217" s="138"/>
    </row>
    <row r="1218" spans="1:14" s="76" customFormat="1" ht="14.65" customHeight="1">
      <c r="A1218" s="96"/>
      <c r="B1218" s="187"/>
      <c r="C1218" s="274"/>
      <c r="D1218" s="89"/>
      <c r="E1218" s="190"/>
      <c r="F1218" s="89"/>
      <c r="G1218" s="188"/>
      <c r="H1218" s="121"/>
      <c r="I1218" s="132"/>
      <c r="J1218" s="221"/>
      <c r="K1218" s="89"/>
      <c r="L1218" s="106"/>
      <c r="M1218" s="185"/>
      <c r="N1218" s="138"/>
    </row>
    <row r="1219" spans="1:14" s="76" customFormat="1" ht="14.65" customHeight="1">
      <c r="A1219" s="96"/>
      <c r="B1219" s="187"/>
      <c r="C1219" s="274"/>
      <c r="D1219" s="89"/>
      <c r="E1219" s="189"/>
      <c r="F1219" s="89"/>
      <c r="G1219" s="188"/>
      <c r="H1219" s="121"/>
      <c r="I1219" s="132"/>
      <c r="J1219" s="221"/>
      <c r="K1219" s="89"/>
      <c r="L1219" s="106"/>
      <c r="M1219" s="185"/>
      <c r="N1219" s="138"/>
    </row>
    <row r="1220" spans="1:14" s="76" customFormat="1" ht="14.65" customHeight="1">
      <c r="A1220" s="96"/>
      <c r="B1220" s="187"/>
      <c r="C1220" s="274"/>
      <c r="D1220" s="89"/>
      <c r="E1220" s="189"/>
      <c r="F1220" s="89"/>
      <c r="G1220" s="188"/>
      <c r="H1220" s="121"/>
      <c r="I1220" s="132"/>
      <c r="J1220" s="221"/>
      <c r="K1220" s="89"/>
      <c r="L1220" s="106"/>
      <c r="M1220" s="185"/>
      <c r="N1220" s="138"/>
    </row>
    <row r="1221" spans="1:14" s="76" customFormat="1" ht="14.65" customHeight="1">
      <c r="A1221" s="96"/>
      <c r="B1221" s="187"/>
      <c r="C1221" s="274"/>
      <c r="D1221" s="89"/>
      <c r="E1221" s="189"/>
      <c r="F1221" s="89"/>
      <c r="G1221" s="188"/>
      <c r="H1221" s="121"/>
      <c r="I1221" s="132"/>
      <c r="J1221" s="221"/>
      <c r="K1221" s="89"/>
      <c r="L1221" s="106"/>
      <c r="M1221" s="185"/>
      <c r="N1221" s="138"/>
    </row>
    <row r="1222" spans="1:14" s="76" customFormat="1" ht="14.65" customHeight="1">
      <c r="A1222" s="96"/>
      <c r="B1222" s="187"/>
      <c r="C1222" s="188"/>
      <c r="D1222" s="89"/>
      <c r="E1222" s="189"/>
      <c r="F1222" s="89"/>
      <c r="G1222" s="188"/>
      <c r="H1222" s="121"/>
      <c r="I1222" s="132"/>
      <c r="J1222" s="221"/>
      <c r="K1222" s="89"/>
      <c r="L1222" s="106"/>
      <c r="M1222" s="185"/>
      <c r="N1222" s="138"/>
    </row>
    <row r="1223" spans="1:14" s="76" customFormat="1" ht="14.65" customHeight="1">
      <c r="A1223" s="96"/>
      <c r="B1223" s="187"/>
      <c r="C1223" s="188"/>
      <c r="D1223" s="89"/>
      <c r="E1223" s="189"/>
      <c r="F1223" s="89"/>
      <c r="G1223" s="188"/>
      <c r="H1223" s="121"/>
      <c r="I1223" s="132"/>
      <c r="J1223" s="221"/>
      <c r="K1223" s="89"/>
      <c r="L1223" s="106"/>
      <c r="M1223" s="185"/>
      <c r="N1223" s="138"/>
    </row>
    <row r="1224" spans="1:14" s="76" customFormat="1" ht="14.65" customHeight="1">
      <c r="A1224" s="96"/>
      <c r="B1224" s="187"/>
      <c r="C1224" s="188"/>
      <c r="D1224" s="89"/>
      <c r="E1224" s="189"/>
      <c r="F1224" s="89"/>
      <c r="G1224" s="188"/>
      <c r="H1224" s="121"/>
      <c r="I1224" s="132"/>
      <c r="J1224" s="221"/>
      <c r="K1224" s="89"/>
      <c r="L1224" s="106"/>
      <c r="M1224" s="185"/>
      <c r="N1224" s="138"/>
    </row>
    <row r="1225" spans="1:14" s="76" customFormat="1" ht="14.65" customHeight="1">
      <c r="A1225" s="96"/>
      <c r="B1225" s="187"/>
      <c r="C1225" s="188"/>
      <c r="D1225" s="89"/>
      <c r="E1225" s="189"/>
      <c r="F1225" s="89"/>
      <c r="G1225" s="188"/>
      <c r="H1225" s="121"/>
      <c r="I1225" s="132"/>
      <c r="J1225" s="221"/>
      <c r="K1225" s="89"/>
      <c r="L1225" s="106"/>
      <c r="M1225" s="185"/>
      <c r="N1225" s="138"/>
    </row>
    <row r="1226" spans="1:14" s="76" customFormat="1" ht="14.65" customHeight="1">
      <c r="A1226" s="96"/>
      <c r="B1226" s="187"/>
      <c r="C1226" s="188"/>
      <c r="D1226" s="89"/>
      <c r="E1226" s="189"/>
      <c r="F1226" s="89"/>
      <c r="G1226" s="188"/>
      <c r="H1226" s="121"/>
      <c r="I1226" s="132"/>
      <c r="J1226" s="221"/>
      <c r="K1226" s="89"/>
      <c r="L1226" s="106"/>
      <c r="M1226" s="185"/>
      <c r="N1226" s="138"/>
    </row>
    <row r="1227" spans="1:14" s="76" customFormat="1" ht="14.65" customHeight="1">
      <c r="A1227" s="96"/>
      <c r="B1227" s="187"/>
      <c r="C1227" s="188"/>
      <c r="D1227" s="89"/>
      <c r="E1227" s="189"/>
      <c r="F1227" s="89"/>
      <c r="G1227" s="188"/>
      <c r="H1227" s="121"/>
      <c r="I1227" s="132"/>
      <c r="J1227" s="221"/>
      <c r="K1227" s="89"/>
      <c r="L1227" s="106"/>
      <c r="M1227" s="185"/>
      <c r="N1227" s="138"/>
    </row>
    <row r="1228" spans="1:14" s="76" customFormat="1" ht="14.65" customHeight="1">
      <c r="A1228" s="96"/>
      <c r="B1228" s="187"/>
      <c r="C1228" s="188"/>
      <c r="D1228" s="89"/>
      <c r="E1228" s="189"/>
      <c r="F1228" s="89"/>
      <c r="G1228" s="188"/>
      <c r="H1228" s="121"/>
      <c r="I1228" s="132"/>
      <c r="J1228" s="221"/>
      <c r="K1228" s="89"/>
      <c r="L1228" s="106"/>
      <c r="M1228" s="185"/>
      <c r="N1228" s="138"/>
    </row>
    <row r="1229" spans="1:14" s="76" customFormat="1" ht="14.65" customHeight="1">
      <c r="A1229" s="96"/>
      <c r="B1229" s="187"/>
      <c r="C1229" s="188"/>
      <c r="D1229" s="89"/>
      <c r="E1229" s="189"/>
      <c r="F1229" s="89"/>
      <c r="G1229" s="188"/>
      <c r="H1229" s="121"/>
      <c r="I1229" s="132"/>
      <c r="J1229" s="221"/>
      <c r="K1229" s="89"/>
      <c r="L1229" s="106"/>
      <c r="M1229" s="185"/>
      <c r="N1229" s="138"/>
    </row>
    <row r="1230" spans="1:14" s="76" customFormat="1" ht="14.65" customHeight="1">
      <c r="A1230" s="96"/>
      <c r="B1230" s="187"/>
      <c r="C1230" s="188"/>
      <c r="D1230" s="89"/>
      <c r="E1230" s="189"/>
      <c r="F1230" s="89"/>
      <c r="G1230" s="188"/>
      <c r="H1230" s="121"/>
      <c r="I1230" s="132"/>
      <c r="J1230" s="221"/>
      <c r="K1230" s="89"/>
      <c r="L1230" s="106"/>
      <c r="M1230" s="185"/>
      <c r="N1230" s="138"/>
    </row>
    <row r="1231" spans="1:14" s="76" customFormat="1" ht="14.65" customHeight="1">
      <c r="A1231" s="96"/>
      <c r="B1231" s="187"/>
      <c r="C1231" s="188"/>
      <c r="D1231" s="89"/>
      <c r="E1231" s="189"/>
      <c r="F1231" s="89"/>
      <c r="G1231" s="188"/>
      <c r="H1231" s="121"/>
      <c r="I1231" s="132"/>
      <c r="J1231" s="221"/>
      <c r="K1231" s="89"/>
      <c r="L1231" s="106"/>
      <c r="M1231" s="185"/>
      <c r="N1231" s="138"/>
    </row>
    <row r="1232" spans="1:14" s="76" customFormat="1" ht="14.65" customHeight="1">
      <c r="A1232" s="96"/>
      <c r="B1232" s="187"/>
      <c r="C1232" s="188"/>
      <c r="D1232" s="89"/>
      <c r="E1232" s="189"/>
      <c r="F1232" s="89"/>
      <c r="G1232" s="188"/>
      <c r="H1232" s="121"/>
      <c r="I1232" s="132"/>
      <c r="J1232" s="221"/>
      <c r="K1232" s="89"/>
      <c r="L1232" s="106"/>
      <c r="M1232" s="185"/>
      <c r="N1232" s="138"/>
    </row>
    <row r="1233" spans="1:15" s="76" customFormat="1" ht="14.65" customHeight="1">
      <c r="A1233" s="96"/>
      <c r="B1233" s="187"/>
      <c r="C1233" s="188"/>
      <c r="D1233" s="89"/>
      <c r="E1233" s="189"/>
      <c r="F1233" s="89"/>
      <c r="G1233" s="188"/>
      <c r="H1233" s="121"/>
      <c r="I1233" s="132"/>
      <c r="J1233" s="221"/>
      <c r="K1233" s="89"/>
      <c r="L1233" s="106"/>
      <c r="M1233" s="185"/>
      <c r="N1233" s="138"/>
    </row>
    <row r="1234" spans="1:15" s="76" customFormat="1" ht="14.65" customHeight="1">
      <c r="A1234" s="96"/>
      <c r="B1234" s="187"/>
      <c r="C1234" s="281"/>
      <c r="D1234" s="89"/>
      <c r="E1234" s="189"/>
      <c r="F1234" s="89"/>
      <c r="G1234" s="188"/>
      <c r="H1234" s="121"/>
      <c r="I1234" s="132"/>
      <c r="J1234" s="221"/>
      <c r="K1234" s="89"/>
      <c r="L1234" s="106"/>
      <c r="M1234" s="185"/>
      <c r="N1234" s="138"/>
    </row>
    <row r="1235" spans="1:15" s="76" customFormat="1" ht="14.65" customHeight="1">
      <c r="A1235" s="96"/>
      <c r="B1235" s="187"/>
      <c r="C1235" s="281"/>
      <c r="D1235" s="89"/>
      <c r="E1235" s="189"/>
      <c r="F1235" s="89"/>
      <c r="G1235" s="188"/>
      <c r="H1235" s="121"/>
      <c r="I1235" s="132"/>
      <c r="J1235" s="221"/>
      <c r="K1235" s="89"/>
      <c r="L1235" s="106"/>
      <c r="M1235" s="185"/>
      <c r="N1235" s="138"/>
    </row>
    <row r="1236" spans="1:15" s="76" customFormat="1" ht="14.65" customHeight="1">
      <c r="A1236" s="96"/>
      <c r="B1236" s="187"/>
      <c r="C1236" s="188"/>
      <c r="D1236" s="89"/>
      <c r="E1236" s="189"/>
      <c r="F1236" s="89"/>
      <c r="G1236" s="188"/>
      <c r="H1236" s="121"/>
      <c r="I1236" s="132"/>
      <c r="J1236" s="221"/>
      <c r="K1236" s="89"/>
      <c r="L1236" s="106"/>
      <c r="M1236" s="185"/>
      <c r="N1236" s="138"/>
    </row>
    <row r="1237" spans="1:15" s="76" customFormat="1" ht="14.65" customHeight="1">
      <c r="A1237" s="96"/>
      <c r="B1237" s="139"/>
      <c r="C1237" s="89"/>
      <c r="D1237" s="89"/>
      <c r="E1237" s="142"/>
      <c r="F1237" s="89"/>
      <c r="G1237" s="89"/>
      <c r="H1237" s="121"/>
      <c r="I1237" s="132"/>
      <c r="J1237" s="121"/>
      <c r="K1237" s="89"/>
      <c r="L1237" s="106"/>
      <c r="M1237" s="185"/>
      <c r="N1237" s="138"/>
    </row>
    <row r="1238" spans="1:15" s="76" customFormat="1" ht="14.65" customHeight="1">
      <c r="A1238" s="96"/>
      <c r="B1238" s="187"/>
      <c r="C1238" s="188"/>
      <c r="D1238" s="89"/>
      <c r="E1238" s="189"/>
      <c r="F1238" s="89"/>
      <c r="G1238" s="188"/>
      <c r="H1238" s="121"/>
      <c r="I1238" s="132"/>
      <c r="J1238" s="211"/>
      <c r="K1238" s="132"/>
      <c r="L1238" s="106"/>
      <c r="M1238" s="185"/>
      <c r="N1238" s="138"/>
    </row>
    <row r="1239" spans="1:15" s="76" customFormat="1" ht="14.65" customHeight="1">
      <c r="A1239" s="96"/>
      <c r="B1239" s="187"/>
      <c r="C1239" s="188"/>
      <c r="D1239" s="89"/>
      <c r="E1239" s="189"/>
      <c r="F1239" s="89"/>
      <c r="G1239" s="188"/>
      <c r="H1239" s="121"/>
      <c r="I1239" s="132"/>
      <c r="J1239" s="211"/>
      <c r="K1239" s="132"/>
      <c r="L1239" s="106"/>
      <c r="M1239" s="185"/>
      <c r="N1239" s="138"/>
    </row>
    <row r="1240" spans="1:15" s="76" customFormat="1" ht="14.65" customHeight="1">
      <c r="A1240" s="96"/>
      <c r="B1240" s="187"/>
      <c r="C1240" s="188"/>
      <c r="D1240" s="89"/>
      <c r="E1240" s="189"/>
      <c r="F1240" s="89"/>
      <c r="G1240" s="188"/>
      <c r="H1240" s="121"/>
      <c r="I1240" s="132"/>
      <c r="J1240" s="211"/>
      <c r="K1240" s="132"/>
      <c r="L1240" s="106"/>
      <c r="M1240" s="185"/>
      <c r="N1240" s="138"/>
    </row>
    <row r="1241" spans="1:15" s="76" customFormat="1" ht="14.65" customHeight="1">
      <c r="A1241" s="96"/>
      <c r="B1241" s="187"/>
      <c r="C1241" s="188"/>
      <c r="D1241" s="89"/>
      <c r="E1241" s="189"/>
      <c r="F1241" s="89"/>
      <c r="G1241" s="188"/>
      <c r="H1241" s="121"/>
      <c r="I1241" s="132"/>
      <c r="J1241" s="211"/>
      <c r="K1241" s="132"/>
      <c r="L1241" s="106"/>
      <c r="M1241" s="185"/>
      <c r="N1241" s="141"/>
    </row>
    <row r="1242" spans="1:15" ht="14.65" customHeight="1">
      <c r="A1242" s="96"/>
      <c r="B1242" s="187"/>
      <c r="C1242" s="188"/>
      <c r="D1242" s="89"/>
      <c r="E1242" s="189"/>
      <c r="F1242" s="41"/>
      <c r="G1242" s="188"/>
      <c r="H1242" s="121"/>
      <c r="I1242" s="132"/>
      <c r="J1242" s="211"/>
      <c r="K1242" s="132"/>
      <c r="L1242" s="106"/>
      <c r="M1242" s="307"/>
      <c r="N1242" s="173"/>
    </row>
    <row r="1243" spans="1:15" ht="14.65" customHeight="1">
      <c r="A1243" s="96"/>
      <c r="B1243" s="187"/>
      <c r="C1243" s="188"/>
      <c r="D1243" s="89"/>
      <c r="E1243" s="189"/>
      <c r="F1243" s="41"/>
      <c r="G1243" s="188"/>
      <c r="H1243" s="121"/>
      <c r="I1243" s="132"/>
      <c r="J1243" s="211"/>
      <c r="K1243" s="132"/>
      <c r="L1243" s="106"/>
      <c r="M1243" s="307"/>
      <c r="N1243" s="199"/>
      <c r="O1243" s="75" t="s">
        <v>807</v>
      </c>
    </row>
    <row r="1244" spans="1:15" ht="14.65" customHeight="1">
      <c r="A1244" s="96"/>
      <c r="B1244" s="187"/>
      <c r="C1244" s="188"/>
      <c r="D1244" s="89"/>
      <c r="E1244" s="189"/>
      <c r="F1244" s="41"/>
      <c r="G1244" s="188"/>
      <c r="H1244" s="121"/>
      <c r="I1244" s="132"/>
      <c r="J1244" s="211"/>
      <c r="K1244" s="132"/>
      <c r="L1244" s="106"/>
      <c r="M1244" s="307"/>
      <c r="N1244" s="173"/>
    </row>
    <row r="1245" spans="1:15" ht="14.65" customHeight="1">
      <c r="A1245" s="96"/>
      <c r="B1245" s="187"/>
      <c r="C1245" s="188"/>
      <c r="D1245" s="89"/>
      <c r="E1245" s="189"/>
      <c r="F1245" s="41"/>
      <c r="G1245" s="188"/>
      <c r="H1245" s="121"/>
      <c r="I1245" s="132"/>
      <c r="J1245" s="211"/>
      <c r="K1245" s="132"/>
      <c r="L1245" s="106"/>
      <c r="M1245" s="308"/>
      <c r="N1245" s="198"/>
    </row>
    <row r="1246" spans="1:15" ht="14.65" customHeight="1">
      <c r="A1246" s="96"/>
      <c r="B1246" s="187"/>
      <c r="C1246" s="188"/>
      <c r="D1246" s="89"/>
      <c r="E1246" s="189"/>
      <c r="F1246" s="41"/>
      <c r="G1246" s="188"/>
      <c r="H1246" s="121"/>
      <c r="I1246" s="132"/>
      <c r="J1246" s="211"/>
      <c r="K1246" s="132"/>
      <c r="L1246" s="106"/>
      <c r="M1246" s="308"/>
      <c r="N1246" s="173"/>
    </row>
    <row r="1247" spans="1:15" ht="14.65" customHeight="1">
      <c r="A1247" s="96"/>
      <c r="B1247" s="187"/>
      <c r="C1247" s="188"/>
      <c r="D1247" s="89"/>
      <c r="E1247" s="189"/>
      <c r="F1247" s="41"/>
      <c r="G1247" s="188"/>
      <c r="H1247" s="121"/>
      <c r="I1247" s="132"/>
      <c r="J1247" s="211"/>
      <c r="K1247" s="132"/>
      <c r="L1247" s="106"/>
      <c r="M1247" s="308"/>
      <c r="N1247" s="173"/>
    </row>
    <row r="1248" spans="1:15" ht="14.65" customHeight="1">
      <c r="A1248" s="96"/>
      <c r="B1248" s="187"/>
      <c r="C1248" s="188"/>
      <c r="D1248" s="89"/>
      <c r="E1248" s="189"/>
      <c r="F1248" s="41"/>
      <c r="G1248" s="188"/>
      <c r="H1248" s="121"/>
      <c r="I1248" s="132"/>
      <c r="J1248" s="211"/>
      <c r="K1248" s="132"/>
      <c r="L1248" s="106"/>
      <c r="M1248" s="308"/>
      <c r="N1248" s="173"/>
    </row>
    <row r="1249" spans="1:15" ht="14.65" customHeight="1">
      <c r="A1249" s="96"/>
      <c r="B1249" s="187"/>
      <c r="C1249" s="188"/>
      <c r="D1249" s="89"/>
      <c r="E1249" s="189"/>
      <c r="F1249" s="41"/>
      <c r="G1249" s="188"/>
      <c r="H1249" s="121"/>
      <c r="I1249" s="132"/>
      <c r="J1249" s="211"/>
      <c r="K1249" s="132"/>
      <c r="L1249" s="106"/>
      <c r="M1249" s="308"/>
      <c r="N1249" s="173"/>
    </row>
    <row r="1250" spans="1:15" ht="14.65" customHeight="1">
      <c r="A1250" s="96"/>
      <c r="B1250" s="187"/>
      <c r="C1250" s="188"/>
      <c r="D1250" s="89"/>
      <c r="E1250" s="189"/>
      <c r="F1250" s="41"/>
      <c r="G1250" s="188"/>
      <c r="H1250" s="121"/>
      <c r="I1250" s="132"/>
      <c r="J1250" s="211"/>
      <c r="K1250" s="132"/>
      <c r="L1250" s="106"/>
      <c r="M1250" s="308"/>
      <c r="N1250" s="173"/>
      <c r="O1250" s="75" t="s">
        <v>808</v>
      </c>
    </row>
    <row r="1251" spans="1:15" ht="14.65" customHeight="1">
      <c r="A1251" s="96"/>
      <c r="B1251" s="187"/>
      <c r="C1251" s="188"/>
      <c r="D1251" s="89"/>
      <c r="E1251" s="189"/>
      <c r="F1251" s="41"/>
      <c r="G1251" s="188"/>
      <c r="H1251" s="121"/>
      <c r="I1251" s="132"/>
      <c r="J1251" s="211"/>
      <c r="K1251" s="132"/>
      <c r="L1251" s="106"/>
      <c r="M1251" s="308"/>
      <c r="N1251" s="173"/>
    </row>
    <row r="1252" spans="1:15" ht="14.65" customHeight="1">
      <c r="A1252" s="96"/>
      <c r="B1252" s="187"/>
      <c r="C1252" s="188"/>
      <c r="D1252" s="89"/>
      <c r="E1252" s="189"/>
      <c r="F1252" s="41"/>
      <c r="G1252" s="188"/>
      <c r="H1252" s="121"/>
      <c r="I1252" s="132"/>
      <c r="J1252" s="211"/>
      <c r="K1252" s="132"/>
      <c r="L1252" s="106"/>
      <c r="M1252" s="308"/>
      <c r="N1252" s="173"/>
    </row>
    <row r="1253" spans="1:15" ht="14.65" customHeight="1">
      <c r="A1253" s="96"/>
      <c r="B1253" s="187"/>
      <c r="C1253" s="188"/>
      <c r="D1253" s="89"/>
      <c r="E1253" s="189"/>
      <c r="F1253" s="41"/>
      <c r="G1253" s="188"/>
      <c r="H1253" s="121"/>
      <c r="I1253" s="132"/>
      <c r="J1253" s="211"/>
      <c r="K1253" s="132"/>
      <c r="L1253" s="106"/>
      <c r="M1253" s="308"/>
      <c r="N1253" s="173"/>
    </row>
    <row r="1254" spans="1:15" ht="14.65" customHeight="1">
      <c r="A1254" s="96"/>
      <c r="B1254" s="187"/>
      <c r="C1254" s="188"/>
      <c r="D1254" s="89"/>
      <c r="E1254" s="189"/>
      <c r="F1254" s="41"/>
      <c r="G1254" s="188"/>
      <c r="H1254" s="121"/>
      <c r="I1254" s="132"/>
      <c r="J1254" s="211"/>
      <c r="K1254" s="132"/>
      <c r="L1254" s="106"/>
      <c r="M1254" s="308"/>
      <c r="N1254" s="173"/>
    </row>
    <row r="1255" spans="1:15" ht="14.65" customHeight="1">
      <c r="A1255" s="96"/>
      <c r="B1255" s="187"/>
      <c r="C1255" s="188"/>
      <c r="D1255" s="89"/>
      <c r="E1255" s="189"/>
      <c r="F1255" s="41"/>
      <c r="G1255" s="188"/>
      <c r="H1255" s="121"/>
      <c r="I1255" s="132"/>
      <c r="J1255" s="211"/>
      <c r="K1255" s="132"/>
      <c r="L1255" s="106"/>
      <c r="M1255" s="308"/>
      <c r="N1255" s="173"/>
      <c r="O1255" s="76" t="s">
        <v>809</v>
      </c>
    </row>
    <row r="1256" spans="1:15" ht="14.65" customHeight="1">
      <c r="A1256" s="96"/>
      <c r="B1256" s="187"/>
      <c r="C1256" s="188"/>
      <c r="D1256" s="89"/>
      <c r="E1256" s="189"/>
      <c r="F1256" s="41"/>
      <c r="G1256" s="188"/>
      <c r="H1256" s="121"/>
      <c r="I1256" s="132"/>
      <c r="J1256" s="211"/>
      <c r="K1256" s="132"/>
      <c r="L1256" s="106"/>
      <c r="M1256" s="308"/>
      <c r="N1256" s="173"/>
    </row>
    <row r="1257" spans="1:15" ht="14.65" customHeight="1">
      <c r="A1257" s="96"/>
      <c r="B1257" s="187"/>
      <c r="C1257" s="188"/>
      <c r="D1257" s="89"/>
      <c r="E1257" s="189"/>
      <c r="F1257" s="41"/>
      <c r="G1257" s="188"/>
      <c r="H1257" s="121"/>
      <c r="I1257" s="132"/>
      <c r="J1257" s="211"/>
      <c r="K1257" s="132"/>
      <c r="L1257" s="106"/>
      <c r="M1257" s="308"/>
      <c r="N1257" s="173"/>
    </row>
    <row r="1258" spans="1:15" ht="14.65" customHeight="1">
      <c r="A1258" s="96"/>
      <c r="B1258" s="187"/>
      <c r="C1258" s="188"/>
      <c r="D1258" s="89"/>
      <c r="E1258" s="189"/>
      <c r="F1258" s="41"/>
      <c r="G1258" s="188"/>
      <c r="H1258" s="121"/>
      <c r="I1258" s="132"/>
      <c r="J1258" s="211"/>
      <c r="K1258" s="132"/>
      <c r="L1258" s="106"/>
      <c r="M1258" s="308"/>
      <c r="N1258" s="173"/>
    </row>
    <row r="1259" spans="1:15" ht="14.65" customHeight="1">
      <c r="A1259" s="96"/>
      <c r="B1259" s="187"/>
      <c r="C1259" s="188"/>
      <c r="D1259" s="89"/>
      <c r="E1259" s="189"/>
      <c r="F1259" s="41"/>
      <c r="G1259" s="188"/>
      <c r="H1259" s="121"/>
      <c r="I1259" s="132"/>
      <c r="J1259" s="211"/>
      <c r="K1259" s="132"/>
      <c r="L1259" s="106"/>
      <c r="M1259" s="308"/>
      <c r="N1259" s="173"/>
    </row>
    <row r="1260" spans="1:15" ht="14.65" customHeight="1">
      <c r="A1260" s="96"/>
      <c r="B1260" s="187"/>
      <c r="C1260" s="188"/>
      <c r="D1260" s="89"/>
      <c r="E1260" s="189"/>
      <c r="F1260" s="41"/>
      <c r="G1260" s="188"/>
      <c r="H1260" s="121"/>
      <c r="I1260" s="132"/>
      <c r="J1260" s="211"/>
      <c r="K1260" s="132"/>
      <c r="L1260" s="106"/>
      <c r="M1260" s="308"/>
      <c r="N1260" s="173"/>
    </row>
    <row r="1261" spans="1:15" ht="14.65" customHeight="1">
      <c r="A1261" s="96"/>
      <c r="B1261" s="187"/>
      <c r="C1261" s="188"/>
      <c r="D1261" s="89"/>
      <c r="E1261" s="189"/>
      <c r="F1261" s="41"/>
      <c r="G1261" s="188"/>
      <c r="H1261" s="121"/>
      <c r="I1261" s="132"/>
      <c r="J1261" s="211"/>
      <c r="K1261" s="132"/>
      <c r="L1261" s="106"/>
      <c r="M1261" s="308"/>
      <c r="N1261" s="173"/>
    </row>
    <row r="1262" spans="1:15" ht="14.65" customHeight="1">
      <c r="A1262" s="96"/>
      <c r="B1262" s="187"/>
      <c r="C1262" s="188"/>
      <c r="D1262" s="89"/>
      <c r="E1262" s="189"/>
      <c r="F1262" s="41"/>
      <c r="G1262" s="188"/>
      <c r="H1262" s="121"/>
      <c r="I1262" s="132"/>
      <c r="J1262" s="211"/>
      <c r="K1262" s="132"/>
      <c r="L1262" s="106"/>
      <c r="M1262" s="308"/>
      <c r="N1262" s="173"/>
    </row>
    <row r="1263" spans="1:15" ht="14.65" customHeight="1">
      <c r="A1263" s="96"/>
      <c r="B1263" s="187"/>
      <c r="C1263" s="188"/>
      <c r="D1263" s="89"/>
      <c r="E1263" s="189"/>
      <c r="F1263" s="41"/>
      <c r="G1263" s="188"/>
      <c r="H1263" s="121"/>
      <c r="I1263" s="132"/>
      <c r="J1263" s="211"/>
      <c r="K1263" s="132"/>
      <c r="L1263" s="106"/>
      <c r="M1263" s="308"/>
      <c r="N1263" s="173"/>
    </row>
    <row r="1264" spans="1:15" ht="14.65" customHeight="1">
      <c r="A1264" s="96"/>
      <c r="B1264" s="187"/>
      <c r="C1264" s="188"/>
      <c r="D1264" s="89"/>
      <c r="E1264" s="189"/>
      <c r="F1264" s="41"/>
      <c r="G1264" s="188"/>
      <c r="H1264" s="121"/>
      <c r="I1264" s="132"/>
      <c r="J1264" s="211"/>
      <c r="K1264" s="132"/>
      <c r="L1264" s="106"/>
      <c r="M1264" s="308"/>
      <c r="N1264" s="173"/>
      <c r="O1264" s="76" t="s">
        <v>809</v>
      </c>
    </row>
    <row r="1265" spans="1:14" ht="14.65" customHeight="1">
      <c r="A1265" s="96"/>
      <c r="B1265" s="187"/>
      <c r="C1265" s="188"/>
      <c r="D1265" s="89"/>
      <c r="E1265" s="189"/>
      <c r="F1265" s="41"/>
      <c r="G1265" s="188"/>
      <c r="H1265" s="121"/>
      <c r="I1265" s="132"/>
      <c r="J1265" s="211"/>
      <c r="K1265" s="132"/>
      <c r="L1265" s="106"/>
      <c r="M1265" s="308"/>
      <c r="N1265" s="173"/>
    </row>
    <row r="1266" spans="1:14" ht="14.65" customHeight="1">
      <c r="A1266" s="96"/>
      <c r="B1266" s="187"/>
      <c r="C1266" s="188"/>
      <c r="D1266" s="89"/>
      <c r="E1266" s="189"/>
      <c r="F1266" s="41"/>
      <c r="G1266" s="188"/>
      <c r="H1266" s="121"/>
      <c r="I1266" s="132"/>
      <c r="J1266" s="211"/>
      <c r="K1266" s="132"/>
      <c r="L1266" s="106"/>
      <c r="M1266" s="308"/>
      <c r="N1266" s="173"/>
    </row>
    <row r="1267" spans="1:14" ht="14.65" customHeight="1">
      <c r="A1267" s="96"/>
      <c r="B1267" s="187"/>
      <c r="C1267" s="188"/>
      <c r="D1267" s="89"/>
      <c r="E1267" s="189"/>
      <c r="F1267" s="41"/>
      <c r="G1267" s="188"/>
      <c r="H1267" s="121"/>
      <c r="I1267" s="132"/>
      <c r="J1267" s="211"/>
      <c r="K1267" s="132"/>
      <c r="L1267" s="106"/>
      <c r="M1267" s="308"/>
      <c r="N1267" s="173"/>
    </row>
    <row r="1268" spans="1:14" ht="14.65" customHeight="1">
      <c r="A1268" s="96"/>
      <c r="B1268" s="187"/>
      <c r="C1268" s="188"/>
      <c r="D1268" s="89"/>
      <c r="E1268" s="189"/>
      <c r="F1268" s="41"/>
      <c r="G1268" s="188"/>
      <c r="H1268" s="121"/>
      <c r="I1268" s="132"/>
      <c r="J1268" s="211"/>
      <c r="K1268" s="132"/>
      <c r="L1268" s="106"/>
      <c r="M1268" s="308"/>
      <c r="N1268" s="173"/>
    </row>
    <row r="1269" spans="1:14" ht="14.65" customHeight="1">
      <c r="A1269" s="96"/>
      <c r="B1269" s="187"/>
      <c r="C1269" s="188"/>
      <c r="D1269" s="89"/>
      <c r="E1269" s="189"/>
      <c r="F1269" s="41"/>
      <c r="G1269" s="188"/>
      <c r="H1269" s="121"/>
      <c r="I1269" s="132"/>
      <c r="J1269" s="211"/>
      <c r="K1269" s="132"/>
      <c r="L1269" s="106"/>
      <c r="M1269" s="308"/>
      <c r="N1269" s="173"/>
    </row>
    <row r="1270" spans="1:14" ht="14.65" customHeight="1">
      <c r="A1270" s="96"/>
      <c r="B1270" s="187"/>
      <c r="C1270" s="188"/>
      <c r="D1270" s="89"/>
      <c r="E1270" s="189"/>
      <c r="F1270" s="41"/>
      <c r="G1270" s="188"/>
      <c r="H1270" s="121"/>
      <c r="I1270" s="132"/>
      <c r="J1270" s="211"/>
      <c r="K1270" s="132"/>
      <c r="L1270" s="106"/>
      <c r="M1270" s="308"/>
      <c r="N1270" s="173"/>
    </row>
    <row r="1271" spans="1:14" ht="14.65" customHeight="1">
      <c r="A1271" s="96"/>
      <c r="B1271" s="187"/>
      <c r="C1271" s="188"/>
      <c r="D1271" s="89"/>
      <c r="E1271" s="189"/>
      <c r="F1271" s="41"/>
      <c r="G1271" s="188"/>
      <c r="H1271" s="121"/>
      <c r="I1271" s="132"/>
      <c r="J1271" s="211"/>
      <c r="K1271" s="132"/>
      <c r="L1271" s="106"/>
      <c r="M1271" s="308"/>
      <c r="N1271" s="173"/>
    </row>
    <row r="1272" spans="1:14" ht="14.65" customHeight="1">
      <c r="A1272" s="96"/>
      <c r="B1272" s="187"/>
      <c r="C1272" s="188"/>
      <c r="D1272" s="89"/>
      <c r="E1272" s="189"/>
      <c r="F1272" s="41"/>
      <c r="G1272" s="188"/>
      <c r="H1272" s="121"/>
      <c r="I1272" s="132"/>
      <c r="J1272" s="211"/>
      <c r="K1272" s="132"/>
      <c r="L1272" s="106"/>
      <c r="M1272" s="308"/>
      <c r="N1272" s="173"/>
    </row>
    <row r="1273" spans="1:14" ht="14.65" customHeight="1">
      <c r="A1273" s="96"/>
      <c r="B1273" s="187"/>
      <c r="C1273" s="188"/>
      <c r="D1273" s="89"/>
      <c r="E1273" s="190"/>
      <c r="F1273" s="41"/>
      <c r="G1273" s="188"/>
      <c r="H1273" s="121"/>
      <c r="I1273" s="132"/>
      <c r="J1273" s="211"/>
      <c r="K1273" s="132"/>
      <c r="L1273" s="106"/>
      <c r="M1273" s="308"/>
      <c r="N1273" s="173"/>
    </row>
    <row r="1274" spans="1:14" ht="14.65" customHeight="1">
      <c r="A1274" s="96"/>
      <c r="B1274" s="187"/>
      <c r="C1274" s="188"/>
      <c r="D1274" s="89"/>
      <c r="E1274" s="190"/>
      <c r="F1274" s="41"/>
      <c r="G1274" s="188"/>
      <c r="H1274" s="121"/>
      <c r="I1274" s="132"/>
      <c r="J1274" s="211"/>
      <c r="K1274" s="132"/>
      <c r="L1274" s="106"/>
      <c r="M1274" s="308"/>
      <c r="N1274" s="173"/>
    </row>
    <row r="1275" spans="1:14" ht="14.65" customHeight="1">
      <c r="A1275" s="96"/>
      <c r="B1275" s="187"/>
      <c r="C1275" s="188"/>
      <c r="D1275" s="89"/>
      <c r="E1275" s="189"/>
      <c r="F1275" s="41"/>
      <c r="G1275" s="188"/>
      <c r="H1275" s="121"/>
      <c r="I1275" s="132"/>
      <c r="J1275" s="211"/>
      <c r="K1275" s="132"/>
      <c r="L1275" s="106"/>
      <c r="M1275" s="308"/>
      <c r="N1275" s="173"/>
    </row>
    <row r="1276" spans="1:14" ht="14.65" customHeight="1">
      <c r="A1276" s="96"/>
      <c r="B1276" s="187"/>
      <c r="C1276" s="188"/>
      <c r="D1276" s="89"/>
      <c r="E1276" s="189"/>
      <c r="F1276" s="41"/>
      <c r="G1276" s="188"/>
      <c r="H1276" s="121"/>
      <c r="I1276" s="132"/>
      <c r="J1276" s="211"/>
      <c r="K1276" s="132"/>
      <c r="L1276" s="106"/>
      <c r="M1276" s="308"/>
      <c r="N1276" s="173"/>
    </row>
    <row r="1277" spans="1:14" ht="14.65" customHeight="1">
      <c r="A1277" s="96"/>
      <c r="B1277" s="187"/>
      <c r="C1277" s="188"/>
      <c r="D1277" s="89"/>
      <c r="E1277" s="189"/>
      <c r="F1277" s="41"/>
      <c r="G1277" s="188"/>
      <c r="H1277" s="121"/>
      <c r="I1277" s="132"/>
      <c r="J1277" s="211"/>
      <c r="K1277" s="132"/>
      <c r="L1277" s="106"/>
      <c r="M1277" s="308"/>
      <c r="N1277" s="173"/>
    </row>
    <row r="1278" spans="1:14" ht="14.65" customHeight="1">
      <c r="A1278" s="96"/>
      <c r="B1278" s="187"/>
      <c r="C1278" s="188"/>
      <c r="D1278" s="89"/>
      <c r="E1278" s="189"/>
      <c r="F1278" s="41"/>
      <c r="G1278" s="188"/>
      <c r="H1278" s="121"/>
      <c r="I1278" s="132"/>
      <c r="J1278" s="211"/>
      <c r="K1278" s="132"/>
      <c r="L1278" s="106"/>
      <c r="M1278" s="308"/>
      <c r="N1278" s="173"/>
    </row>
    <row r="1279" spans="1:14" ht="14.65" customHeight="1">
      <c r="A1279" s="96"/>
      <c r="B1279" s="187"/>
      <c r="C1279" s="188"/>
      <c r="D1279" s="89"/>
      <c r="E1279" s="189"/>
      <c r="F1279" s="41"/>
      <c r="G1279" s="188"/>
      <c r="H1279" s="121"/>
      <c r="I1279" s="132"/>
      <c r="J1279" s="211"/>
      <c r="K1279" s="132"/>
      <c r="L1279" s="106"/>
      <c r="M1279" s="308"/>
      <c r="N1279" s="173"/>
    </row>
    <row r="1280" spans="1:14" ht="14.65" customHeight="1">
      <c r="A1280" s="96"/>
      <c r="B1280" s="187"/>
      <c r="C1280" s="188"/>
      <c r="D1280" s="89"/>
      <c r="E1280" s="189"/>
      <c r="F1280" s="41"/>
      <c r="G1280" s="188"/>
      <c r="H1280" s="121"/>
      <c r="I1280" s="132"/>
      <c r="J1280" s="211"/>
      <c r="K1280" s="132"/>
      <c r="L1280" s="106"/>
      <c r="M1280" s="308"/>
      <c r="N1280" s="173"/>
    </row>
    <row r="1281" spans="1:14" ht="14.65" customHeight="1">
      <c r="A1281" s="96"/>
      <c r="B1281" s="187"/>
      <c r="C1281" s="188"/>
      <c r="D1281" s="89"/>
      <c r="E1281" s="189"/>
      <c r="F1281" s="41"/>
      <c r="G1281" s="188"/>
      <c r="H1281" s="121"/>
      <c r="I1281" s="132"/>
      <c r="J1281" s="211"/>
      <c r="K1281" s="132"/>
      <c r="L1281" s="106"/>
      <c r="M1281" s="308"/>
      <c r="N1281" s="173"/>
    </row>
    <row r="1282" spans="1:14" ht="14.65" customHeight="1">
      <c r="A1282" s="96"/>
      <c r="B1282" s="187"/>
      <c r="C1282" s="188"/>
      <c r="D1282" s="89"/>
      <c r="E1282" s="189"/>
      <c r="F1282" s="41"/>
      <c r="G1282" s="188"/>
      <c r="H1282" s="121"/>
      <c r="I1282" s="132"/>
      <c r="J1282" s="211"/>
      <c r="K1282" s="132"/>
      <c r="L1282" s="106"/>
      <c r="M1282" s="308"/>
      <c r="N1282" s="173"/>
    </row>
    <row r="1283" spans="1:14" ht="14.65" customHeight="1">
      <c r="A1283" s="96"/>
      <c r="B1283" s="187"/>
      <c r="C1283" s="188"/>
      <c r="D1283" s="89"/>
      <c r="E1283" s="189"/>
      <c r="F1283" s="41"/>
      <c r="G1283" s="188"/>
      <c r="H1283" s="121"/>
      <c r="I1283" s="132"/>
      <c r="J1283" s="211"/>
      <c r="K1283" s="132"/>
      <c r="L1283" s="106"/>
      <c r="M1283" s="308"/>
      <c r="N1283" s="173"/>
    </row>
    <row r="1284" spans="1:14" ht="14.65" customHeight="1">
      <c r="A1284" s="96"/>
      <c r="B1284" s="187"/>
      <c r="C1284" s="188"/>
      <c r="D1284" s="89"/>
      <c r="E1284" s="189"/>
      <c r="F1284" s="41"/>
      <c r="G1284" s="188"/>
      <c r="H1284" s="121"/>
      <c r="I1284" s="132"/>
      <c r="J1284" s="211"/>
      <c r="K1284" s="132"/>
      <c r="L1284" s="106"/>
      <c r="M1284" s="308"/>
      <c r="N1284" s="173"/>
    </row>
    <row r="1285" spans="1:14" ht="14.65" customHeight="1">
      <c r="A1285" s="96"/>
      <c r="B1285" s="187"/>
      <c r="C1285" s="188"/>
      <c r="D1285" s="89"/>
      <c r="E1285" s="189"/>
      <c r="F1285" s="41"/>
      <c r="G1285" s="188"/>
      <c r="H1285" s="121"/>
      <c r="I1285" s="132"/>
      <c r="J1285" s="211"/>
      <c r="K1285" s="132"/>
      <c r="L1285" s="106"/>
      <c r="M1285" s="308"/>
      <c r="N1285" s="173"/>
    </row>
    <row r="1286" spans="1:14" ht="14.65" customHeight="1">
      <c r="A1286" s="96"/>
      <c r="B1286" s="187"/>
      <c r="C1286" s="188"/>
      <c r="D1286" s="89"/>
      <c r="E1286" s="189"/>
      <c r="F1286" s="41"/>
      <c r="G1286" s="188"/>
      <c r="H1286" s="121"/>
      <c r="I1286" s="132"/>
      <c r="J1286" s="211"/>
      <c r="K1286" s="132"/>
      <c r="L1286" s="106"/>
      <c r="M1286" s="308"/>
      <c r="N1286" s="173"/>
    </row>
    <row r="1287" spans="1:14" ht="14.65" customHeight="1">
      <c r="A1287" s="96"/>
      <c r="B1287" s="187"/>
      <c r="C1287" s="188"/>
      <c r="D1287" s="89"/>
      <c r="E1287" s="189"/>
      <c r="F1287" s="41"/>
      <c r="G1287" s="188"/>
      <c r="H1287" s="121"/>
      <c r="I1287" s="132"/>
      <c r="J1287" s="211"/>
      <c r="K1287" s="132"/>
      <c r="L1287" s="106"/>
      <c r="M1287" s="308"/>
      <c r="N1287" s="173"/>
    </row>
    <row r="1288" spans="1:14" ht="14.65" customHeight="1">
      <c r="A1288" s="96"/>
      <c r="B1288" s="187"/>
      <c r="C1288" s="188"/>
      <c r="D1288" s="89"/>
      <c r="E1288" s="189"/>
      <c r="F1288" s="41"/>
      <c r="G1288" s="188"/>
      <c r="H1288" s="121"/>
      <c r="I1288" s="132"/>
      <c r="J1288" s="211"/>
      <c r="K1288" s="132"/>
      <c r="L1288" s="106"/>
      <c r="M1288" s="308"/>
      <c r="N1288" s="173"/>
    </row>
    <row r="1289" spans="1:14" ht="14.65" customHeight="1">
      <c r="A1289" s="96"/>
      <c r="B1289" s="187"/>
      <c r="C1289" s="188"/>
      <c r="D1289" s="89"/>
      <c r="E1289" s="189"/>
      <c r="F1289" s="41"/>
      <c r="G1289" s="188"/>
      <c r="H1289" s="121"/>
      <c r="I1289" s="132"/>
      <c r="J1289" s="211"/>
      <c r="K1289" s="132"/>
      <c r="L1289" s="106"/>
      <c r="M1289" s="308"/>
      <c r="N1289" s="173"/>
    </row>
    <row r="1290" spans="1:14" ht="14.65" customHeight="1">
      <c r="A1290" s="96"/>
      <c r="B1290" s="187"/>
      <c r="C1290" s="188"/>
      <c r="D1290" s="89"/>
      <c r="E1290" s="189"/>
      <c r="F1290" s="41"/>
      <c r="G1290" s="188"/>
      <c r="H1290" s="121"/>
      <c r="I1290" s="132"/>
      <c r="J1290" s="211"/>
      <c r="K1290" s="132"/>
      <c r="L1290" s="106"/>
      <c r="M1290" s="308"/>
      <c r="N1290" s="173"/>
    </row>
    <row r="1291" spans="1:14" ht="14.65" customHeight="1">
      <c r="B1291" s="187"/>
      <c r="C1291" s="188"/>
      <c r="D1291" s="89"/>
      <c r="E1291" s="189"/>
      <c r="F1291" s="41"/>
      <c r="G1291" s="188"/>
      <c r="H1291" s="121"/>
      <c r="I1291" s="132"/>
      <c r="J1291" s="211"/>
      <c r="K1291" s="132"/>
      <c r="L1291" s="106"/>
      <c r="M1291" s="308"/>
      <c r="N1291" s="173"/>
    </row>
    <row r="1292" spans="1:14" ht="14.65" customHeight="1">
      <c r="B1292" s="187"/>
      <c r="C1292" s="188"/>
      <c r="D1292" s="89"/>
      <c r="E1292" s="189"/>
      <c r="F1292" s="41"/>
      <c r="G1292" s="188"/>
      <c r="H1292" s="121"/>
      <c r="I1292" s="132"/>
      <c r="J1292" s="211"/>
      <c r="K1292" s="132"/>
      <c r="L1292" s="106"/>
      <c r="M1292" s="308"/>
      <c r="N1292" s="173"/>
    </row>
    <row r="1293" spans="1:14" ht="15" customHeight="1">
      <c r="B1293" s="187"/>
      <c r="C1293" s="188"/>
      <c r="D1293" s="142"/>
      <c r="E1293" s="189"/>
      <c r="F1293" s="191"/>
      <c r="G1293" s="188"/>
      <c r="H1293" s="121"/>
      <c r="I1293" s="132"/>
      <c r="J1293" s="211"/>
      <c r="K1293" s="132"/>
      <c r="L1293" s="106"/>
      <c r="M1293" s="309"/>
      <c r="N1293" s="133"/>
    </row>
    <row r="1294" spans="1:14" ht="15" customHeight="1">
      <c r="B1294" s="187"/>
      <c r="C1294" s="188"/>
      <c r="D1294" s="142"/>
      <c r="E1294" s="189"/>
      <c r="F1294" s="191"/>
      <c r="G1294" s="188"/>
      <c r="H1294" s="121"/>
      <c r="I1294" s="132"/>
      <c r="J1294" s="211"/>
      <c r="K1294" s="132"/>
      <c r="L1294" s="106"/>
      <c r="M1294" s="309"/>
      <c r="N1294" s="133"/>
    </row>
    <row r="1295" spans="1:14" ht="15" customHeight="1">
      <c r="B1295" s="187"/>
      <c r="C1295" s="188"/>
      <c r="D1295" s="142"/>
      <c r="E1295" s="189"/>
      <c r="F1295" s="191"/>
      <c r="G1295" s="188"/>
      <c r="H1295" s="121"/>
      <c r="I1295" s="132"/>
      <c r="J1295" s="211"/>
      <c r="K1295" s="132"/>
      <c r="L1295" s="106"/>
      <c r="M1295" s="309"/>
      <c r="N1295" s="133"/>
    </row>
    <row r="1296" spans="1:14" ht="15" customHeight="1">
      <c r="B1296" s="187"/>
      <c r="C1296" s="188"/>
      <c r="D1296" s="142"/>
      <c r="E1296" s="189"/>
      <c r="F1296" s="191"/>
      <c r="G1296" s="188"/>
      <c r="H1296" s="121"/>
      <c r="I1296" s="132"/>
      <c r="J1296" s="211"/>
      <c r="K1296" s="132"/>
      <c r="L1296" s="106"/>
      <c r="M1296" s="309"/>
      <c r="N1296" s="133"/>
    </row>
    <row r="1297" spans="2:15" ht="15" customHeight="1">
      <c r="B1297" s="187"/>
      <c r="C1297" s="188"/>
      <c r="D1297" s="142"/>
      <c r="E1297" s="189"/>
      <c r="F1297" s="191"/>
      <c r="G1297" s="188"/>
      <c r="H1297" s="121"/>
      <c r="I1297" s="132"/>
      <c r="J1297" s="211"/>
      <c r="K1297" s="132"/>
      <c r="L1297" s="106"/>
      <c r="M1297" s="309"/>
      <c r="N1297" s="133"/>
    </row>
    <row r="1298" spans="2:15" ht="15" customHeight="1">
      <c r="B1298" s="187"/>
      <c r="C1298" s="188"/>
      <c r="D1298" s="142"/>
      <c r="E1298" s="189"/>
      <c r="F1298" s="191"/>
      <c r="G1298" s="188"/>
      <c r="H1298" s="121"/>
      <c r="I1298" s="132"/>
      <c r="J1298" s="211"/>
      <c r="K1298" s="132"/>
      <c r="L1298" s="106"/>
      <c r="M1298" s="309"/>
      <c r="N1298" s="133"/>
      <c r="O1298" s="76" t="s">
        <v>810</v>
      </c>
    </row>
    <row r="1299" spans="2:15" ht="15" customHeight="1">
      <c r="B1299" s="187"/>
      <c r="C1299" s="188"/>
      <c r="D1299" s="142"/>
      <c r="E1299" s="189"/>
      <c r="F1299" s="191"/>
      <c r="G1299" s="188"/>
      <c r="H1299" s="121"/>
      <c r="I1299" s="132"/>
      <c r="J1299" s="211"/>
      <c r="K1299" s="132"/>
      <c r="L1299" s="106"/>
      <c r="M1299" s="309"/>
      <c r="N1299" s="133"/>
    </row>
    <row r="1300" spans="2:15" ht="15" customHeight="1">
      <c r="B1300" s="187"/>
      <c r="C1300" s="188"/>
      <c r="D1300" s="142"/>
      <c r="E1300" s="189"/>
      <c r="F1300" s="191"/>
      <c r="G1300" s="188"/>
      <c r="H1300" s="121"/>
      <c r="I1300" s="132"/>
      <c r="J1300" s="211"/>
      <c r="K1300" s="132"/>
      <c r="L1300" s="106"/>
      <c r="M1300" s="309"/>
      <c r="N1300" s="133"/>
    </row>
    <row r="1301" spans="2:15" ht="15" customHeight="1">
      <c r="B1301" s="187"/>
      <c r="C1301" s="188"/>
      <c r="D1301" s="142"/>
      <c r="E1301" s="189"/>
      <c r="F1301" s="191"/>
      <c r="G1301" s="188"/>
      <c r="H1301" s="121"/>
      <c r="I1301" s="132"/>
      <c r="J1301" s="211"/>
      <c r="K1301" s="132"/>
      <c r="L1301" s="106"/>
      <c r="M1301" s="309"/>
      <c r="N1301" s="133"/>
    </row>
    <row r="1302" spans="2:15" ht="15" customHeight="1">
      <c r="B1302" s="187"/>
      <c r="C1302" s="188"/>
      <c r="D1302" s="142"/>
      <c r="E1302" s="189"/>
      <c r="F1302" s="191"/>
      <c r="G1302" s="188"/>
      <c r="H1302" s="121"/>
      <c r="I1302" s="132"/>
      <c r="J1302" s="211"/>
      <c r="K1302" s="132"/>
      <c r="L1302" s="106"/>
      <c r="M1302" s="309"/>
      <c r="N1302" s="133"/>
    </row>
    <row r="1303" spans="2:15" ht="15" customHeight="1">
      <c r="B1303" s="187"/>
      <c r="C1303" s="188"/>
      <c r="D1303" s="142"/>
      <c r="E1303" s="189"/>
      <c r="F1303" s="191"/>
      <c r="G1303" s="188"/>
      <c r="H1303" s="121"/>
      <c r="I1303" s="132"/>
      <c r="J1303" s="211"/>
      <c r="K1303" s="132"/>
      <c r="L1303" s="106"/>
      <c r="M1303" s="309"/>
      <c r="N1303" s="133"/>
    </row>
    <row r="1304" spans="2:15" ht="15" customHeight="1">
      <c r="B1304" s="192"/>
      <c r="C1304" s="188"/>
      <c r="D1304" s="142"/>
      <c r="E1304" s="189"/>
      <c r="F1304" s="193"/>
      <c r="G1304" s="188"/>
      <c r="H1304" s="121"/>
      <c r="I1304" s="132"/>
      <c r="J1304" s="211"/>
      <c r="K1304" s="132"/>
      <c r="L1304" s="106"/>
      <c r="M1304" s="310"/>
      <c r="N1304" s="194"/>
    </row>
    <row r="1305" spans="2:15" ht="15" customHeight="1">
      <c r="B1305" s="192"/>
      <c r="C1305" s="188"/>
      <c r="D1305" s="142"/>
      <c r="E1305" s="189"/>
      <c r="F1305" s="193"/>
      <c r="G1305" s="188"/>
      <c r="H1305" s="121"/>
      <c r="I1305" s="132"/>
      <c r="J1305" s="211"/>
      <c r="K1305" s="132"/>
      <c r="L1305" s="106"/>
      <c r="M1305" s="310"/>
      <c r="N1305" s="194"/>
    </row>
    <row r="1306" spans="2:15" ht="15" customHeight="1">
      <c r="B1306" s="192"/>
      <c r="C1306" s="188"/>
      <c r="D1306" s="142"/>
      <c r="E1306" s="189"/>
      <c r="F1306" s="193"/>
      <c r="G1306" s="188"/>
      <c r="H1306" s="121"/>
      <c r="I1306" s="132"/>
      <c r="J1306" s="211"/>
      <c r="K1306" s="132"/>
      <c r="L1306" s="106"/>
      <c r="M1306" s="310"/>
      <c r="N1306" s="194"/>
    </row>
    <row r="1307" spans="2:15" ht="15" customHeight="1">
      <c r="B1307" s="192"/>
      <c r="C1307" s="188"/>
      <c r="D1307" s="142"/>
      <c r="E1307" s="189"/>
      <c r="F1307" s="193"/>
      <c r="G1307" s="188"/>
      <c r="H1307" s="121"/>
      <c r="I1307" s="132"/>
      <c r="J1307" s="211"/>
      <c r="K1307" s="132"/>
      <c r="L1307" s="106"/>
      <c r="M1307" s="310"/>
      <c r="N1307" s="194"/>
    </row>
    <row r="1308" spans="2:15" ht="15" customHeight="1">
      <c r="B1308" s="192"/>
      <c r="C1308" s="188"/>
      <c r="D1308" s="142"/>
      <c r="E1308" s="190"/>
      <c r="F1308" s="193"/>
      <c r="G1308" s="188"/>
      <c r="H1308" s="121"/>
      <c r="I1308" s="132"/>
      <c r="J1308" s="211"/>
      <c r="K1308" s="132"/>
      <c r="L1308" s="106"/>
      <c r="M1308" s="310"/>
      <c r="N1308" s="194"/>
    </row>
    <row r="1309" spans="2:15" ht="15" customHeight="1">
      <c r="B1309" s="192"/>
      <c r="C1309" s="188"/>
      <c r="D1309" s="142"/>
      <c r="E1309" s="190"/>
      <c r="F1309" s="193"/>
      <c r="G1309" s="188"/>
      <c r="H1309" s="121"/>
      <c r="I1309" s="132"/>
      <c r="J1309" s="211"/>
      <c r="K1309" s="132"/>
      <c r="L1309" s="106"/>
      <c r="M1309" s="310"/>
      <c r="N1309" s="194"/>
    </row>
    <row r="1310" spans="2:15" ht="15" customHeight="1">
      <c r="B1310" s="192"/>
      <c r="C1310" s="188"/>
      <c r="D1310" s="142"/>
      <c r="E1310" s="190"/>
      <c r="F1310" s="193"/>
      <c r="G1310" s="188"/>
      <c r="H1310" s="121"/>
      <c r="I1310" s="132"/>
      <c r="J1310" s="211"/>
      <c r="K1310" s="132"/>
      <c r="L1310" s="106"/>
      <c r="M1310" s="310"/>
      <c r="N1310" s="194"/>
    </row>
    <row r="1311" spans="2:15" ht="15" customHeight="1">
      <c r="B1311" s="192"/>
      <c r="C1311" s="188"/>
      <c r="D1311" s="142"/>
      <c r="E1311" s="190"/>
      <c r="F1311" s="193"/>
      <c r="G1311" s="188"/>
      <c r="H1311" s="121"/>
      <c r="I1311" s="132"/>
      <c r="J1311" s="211"/>
      <c r="K1311" s="132"/>
      <c r="L1311" s="106"/>
      <c r="M1311" s="310"/>
      <c r="N1311" s="194"/>
    </row>
    <row r="1312" spans="2:15" ht="15" customHeight="1">
      <c r="B1312" s="192"/>
      <c r="C1312" s="188"/>
      <c r="D1312" s="142"/>
      <c r="E1312" s="190"/>
      <c r="F1312" s="193"/>
      <c r="G1312" s="188"/>
      <c r="H1312" s="121"/>
      <c r="I1312" s="132"/>
      <c r="J1312" s="211"/>
      <c r="K1312" s="132"/>
      <c r="L1312" s="106"/>
      <c r="M1312" s="310"/>
      <c r="N1312" s="194"/>
    </row>
    <row r="1313" spans="2:14" ht="15" customHeight="1">
      <c r="B1313" s="192"/>
      <c r="C1313" s="188"/>
      <c r="D1313" s="142"/>
      <c r="E1313" s="190"/>
      <c r="F1313" s="193"/>
      <c r="G1313" s="188"/>
      <c r="H1313" s="121"/>
      <c r="I1313" s="132"/>
      <c r="J1313" s="211"/>
      <c r="K1313" s="132"/>
      <c r="L1313" s="106"/>
      <c r="M1313" s="310"/>
      <c r="N1313" s="194"/>
    </row>
    <row r="1314" spans="2:14" ht="15" customHeight="1">
      <c r="B1314" s="192"/>
      <c r="C1314" s="188"/>
      <c r="D1314" s="142"/>
      <c r="E1314" s="189"/>
      <c r="F1314" s="193"/>
      <c r="G1314" s="188"/>
      <c r="H1314" s="121"/>
      <c r="I1314" s="132"/>
      <c r="J1314" s="211"/>
      <c r="K1314" s="132"/>
      <c r="L1314" s="106"/>
      <c r="M1314" s="310"/>
      <c r="N1314" s="194"/>
    </row>
    <row r="1315" spans="2:14" ht="15" customHeight="1">
      <c r="B1315" s="192"/>
      <c r="C1315" s="188"/>
      <c r="D1315" s="142"/>
      <c r="E1315" s="189"/>
      <c r="F1315" s="193"/>
      <c r="G1315" s="188"/>
      <c r="H1315" s="121"/>
      <c r="I1315" s="132"/>
      <c r="J1315" s="211"/>
      <c r="K1315" s="132"/>
      <c r="L1315" s="106"/>
      <c r="M1315" s="310"/>
      <c r="N1315" s="194"/>
    </row>
    <row r="1316" spans="2:14" ht="15" customHeight="1">
      <c r="B1316" s="192"/>
      <c r="C1316" s="188"/>
      <c r="D1316" s="142"/>
      <c r="E1316" s="189"/>
      <c r="F1316" s="193"/>
      <c r="G1316" s="188"/>
      <c r="H1316" s="121"/>
      <c r="I1316" s="132"/>
      <c r="J1316" s="211"/>
      <c r="K1316" s="132"/>
      <c r="L1316" s="106"/>
      <c r="M1316" s="310"/>
      <c r="N1316" s="194"/>
    </row>
    <row r="1317" spans="2:14" ht="15" customHeight="1">
      <c r="B1317" s="192"/>
      <c r="C1317" s="188"/>
      <c r="D1317" s="142"/>
      <c r="E1317" s="189"/>
      <c r="F1317" s="193"/>
      <c r="G1317" s="188"/>
      <c r="H1317" s="121"/>
      <c r="I1317" s="132"/>
      <c r="J1317" s="211"/>
      <c r="K1317" s="132"/>
      <c r="L1317" s="106"/>
      <c r="M1317" s="310"/>
      <c r="N1317" s="194"/>
    </row>
    <row r="1318" spans="2:14" ht="15" customHeight="1">
      <c r="B1318" s="192"/>
      <c r="C1318" s="188"/>
      <c r="D1318" s="142"/>
      <c r="E1318" s="189"/>
      <c r="F1318" s="193"/>
      <c r="G1318" s="188"/>
      <c r="H1318" s="121"/>
      <c r="I1318" s="132"/>
      <c r="J1318" s="211"/>
      <c r="K1318" s="132"/>
      <c r="L1318" s="106"/>
      <c r="M1318" s="310"/>
      <c r="N1318" s="194"/>
    </row>
    <row r="1319" spans="2:14" ht="15" customHeight="1">
      <c r="B1319" s="192"/>
      <c r="C1319" s="188"/>
      <c r="D1319" s="142"/>
      <c r="E1319" s="189"/>
      <c r="F1319" s="193"/>
      <c r="G1319" s="188"/>
      <c r="H1319" s="121"/>
      <c r="I1319" s="132"/>
      <c r="J1319" s="211"/>
      <c r="K1319" s="132"/>
      <c r="L1319" s="106"/>
      <c r="M1319" s="310"/>
      <c r="N1319" s="194"/>
    </row>
    <row r="1320" spans="2:14" ht="15" customHeight="1">
      <c r="B1320" s="192"/>
      <c r="C1320" s="188"/>
      <c r="D1320" s="142"/>
      <c r="E1320" s="189"/>
      <c r="F1320" s="193"/>
      <c r="G1320" s="188"/>
      <c r="H1320" s="121"/>
      <c r="I1320" s="132"/>
      <c r="J1320" s="211"/>
      <c r="K1320" s="132"/>
      <c r="L1320" s="106"/>
      <c r="M1320" s="310"/>
      <c r="N1320" s="194"/>
    </row>
    <row r="1321" spans="2:14" ht="15" customHeight="1">
      <c r="B1321" s="192"/>
      <c r="C1321" s="188"/>
      <c r="D1321" s="142"/>
      <c r="E1321" s="189"/>
      <c r="F1321" s="193"/>
      <c r="G1321" s="188"/>
      <c r="H1321" s="121"/>
      <c r="I1321" s="132"/>
      <c r="J1321" s="211"/>
      <c r="K1321" s="132"/>
      <c r="L1321" s="106"/>
      <c r="M1321" s="310"/>
      <c r="N1321" s="194"/>
    </row>
    <row r="1322" spans="2:14" ht="15" customHeight="1">
      <c r="B1322" s="192"/>
      <c r="C1322" s="188"/>
      <c r="D1322" s="142"/>
      <c r="E1322" s="189"/>
      <c r="F1322" s="193"/>
      <c r="G1322" s="188"/>
      <c r="H1322" s="121"/>
      <c r="I1322" s="132"/>
      <c r="J1322" s="211"/>
      <c r="K1322" s="132"/>
      <c r="L1322" s="106"/>
      <c r="M1322" s="310"/>
      <c r="N1322" s="194"/>
    </row>
    <row r="1323" spans="2:14" ht="15" customHeight="1">
      <c r="B1323" s="192"/>
      <c r="C1323" s="188"/>
      <c r="D1323" s="142"/>
      <c r="E1323" s="189"/>
      <c r="F1323" s="193"/>
      <c r="G1323" s="188"/>
      <c r="H1323" s="121"/>
      <c r="I1323" s="132"/>
      <c r="J1323" s="211"/>
      <c r="K1323" s="132"/>
      <c r="L1323" s="106"/>
      <c r="M1323" s="310"/>
      <c r="N1323" s="194"/>
    </row>
    <row r="1324" spans="2:14" ht="15" customHeight="1">
      <c r="B1324" s="192"/>
      <c r="C1324" s="188"/>
      <c r="D1324" s="142"/>
      <c r="E1324" s="189"/>
      <c r="F1324" s="193"/>
      <c r="G1324" s="188"/>
      <c r="H1324" s="121"/>
      <c r="I1324" s="132"/>
      <c r="J1324" s="211"/>
      <c r="K1324" s="89"/>
      <c r="L1324" s="106"/>
      <c r="M1324" s="310"/>
      <c r="N1324" s="194"/>
    </row>
    <row r="1325" spans="2:14" ht="15" customHeight="1">
      <c r="B1325" s="192"/>
      <c r="C1325" s="188"/>
      <c r="D1325" s="142"/>
      <c r="E1325" s="189"/>
      <c r="F1325" s="193"/>
      <c r="G1325" s="188"/>
      <c r="H1325" s="121"/>
      <c r="I1325" s="132"/>
      <c r="J1325" s="211"/>
      <c r="K1325" s="89"/>
      <c r="L1325" s="106"/>
      <c r="M1325" s="310"/>
      <c r="N1325" s="194"/>
    </row>
    <row r="1326" spans="2:14" ht="15" customHeight="1">
      <c r="B1326" s="192"/>
      <c r="C1326" s="188"/>
      <c r="D1326" s="142"/>
      <c r="E1326" s="189"/>
      <c r="F1326" s="193"/>
      <c r="G1326" s="188"/>
      <c r="H1326" s="121"/>
      <c r="I1326" s="132"/>
      <c r="J1326" s="211"/>
      <c r="K1326" s="89"/>
      <c r="L1326" s="106"/>
      <c r="M1326" s="310"/>
      <c r="N1326" s="194"/>
    </row>
    <row r="1327" spans="2:14" ht="15" customHeight="1">
      <c r="B1327" s="192"/>
      <c r="C1327" s="188"/>
      <c r="D1327" s="142"/>
      <c r="E1327" s="189"/>
      <c r="F1327" s="193"/>
      <c r="G1327" s="188"/>
      <c r="H1327" s="121"/>
      <c r="I1327" s="132"/>
      <c r="J1327" s="211"/>
      <c r="K1327" s="89"/>
      <c r="L1327" s="106"/>
      <c r="M1327" s="310"/>
      <c r="N1327" s="194"/>
    </row>
    <row r="1328" spans="2:14" ht="15" customHeight="1">
      <c r="B1328" s="187"/>
      <c r="C1328" s="188"/>
      <c r="D1328" s="142"/>
      <c r="E1328" s="189"/>
      <c r="F1328" s="193"/>
      <c r="G1328" s="188"/>
      <c r="H1328" s="121"/>
      <c r="I1328" s="132"/>
      <c r="J1328" s="211"/>
      <c r="K1328" s="89"/>
      <c r="L1328" s="106"/>
      <c r="M1328" s="310"/>
      <c r="N1328" s="194"/>
    </row>
    <row r="1329" spans="2:15" ht="15" customHeight="1">
      <c r="B1329" s="187"/>
      <c r="C1329" s="188"/>
      <c r="D1329" s="142"/>
      <c r="E1329" s="189"/>
      <c r="F1329" s="193"/>
      <c r="G1329" s="188"/>
      <c r="H1329" s="121"/>
      <c r="I1329" s="132"/>
      <c r="J1329" s="211"/>
      <c r="K1329" s="89"/>
      <c r="L1329" s="106"/>
      <c r="M1329" s="310"/>
      <c r="N1329" s="194"/>
    </row>
    <row r="1330" spans="2:15" ht="15" customHeight="1">
      <c r="B1330" s="187"/>
      <c r="C1330" s="188"/>
      <c r="D1330" s="142"/>
      <c r="E1330" s="189"/>
      <c r="F1330" s="193"/>
      <c r="G1330" s="188"/>
      <c r="H1330" s="121"/>
      <c r="I1330" s="132"/>
      <c r="J1330" s="211"/>
      <c r="K1330" s="89"/>
      <c r="L1330" s="106"/>
      <c r="M1330" s="310"/>
      <c r="N1330" s="194"/>
    </row>
    <row r="1331" spans="2:15" ht="15" customHeight="1">
      <c r="B1331" s="187"/>
      <c r="C1331" s="188"/>
      <c r="D1331" s="142"/>
      <c r="E1331" s="189"/>
      <c r="F1331" s="193"/>
      <c r="G1331" s="188"/>
      <c r="H1331" s="121"/>
      <c r="I1331" s="132"/>
      <c r="J1331" s="211"/>
      <c r="K1331" s="89"/>
      <c r="L1331" s="106"/>
      <c r="M1331" s="310"/>
      <c r="N1331" s="194"/>
    </row>
    <row r="1332" spans="2:15" ht="15" customHeight="1">
      <c r="B1332" s="187"/>
      <c r="C1332" s="188"/>
      <c r="D1332" s="142"/>
      <c r="E1332" s="189"/>
      <c r="F1332" s="193"/>
      <c r="G1332" s="188"/>
      <c r="H1332" s="121"/>
      <c r="I1332" s="132"/>
      <c r="J1332" s="211"/>
      <c r="K1332" s="89"/>
      <c r="L1332" s="106"/>
      <c r="M1332" s="310"/>
      <c r="N1332" s="194"/>
    </row>
    <row r="1333" spans="2:15" ht="15" customHeight="1">
      <c r="B1333" s="187"/>
      <c r="C1333" s="188"/>
      <c r="D1333" s="142"/>
      <c r="E1333" s="189"/>
      <c r="F1333" s="193"/>
      <c r="G1333" s="188"/>
      <c r="H1333" s="121"/>
      <c r="I1333" s="132"/>
      <c r="J1333" s="211"/>
      <c r="K1333" s="89"/>
      <c r="L1333" s="106"/>
      <c r="M1333" s="310"/>
      <c r="N1333" s="194"/>
    </row>
    <row r="1334" spans="2:15" ht="15" customHeight="1">
      <c r="B1334" s="187"/>
      <c r="C1334" s="188"/>
      <c r="D1334" s="142"/>
      <c r="E1334" s="189"/>
      <c r="F1334" s="193"/>
      <c r="G1334" s="188"/>
      <c r="H1334" s="121"/>
      <c r="I1334" s="132"/>
      <c r="J1334" s="211"/>
      <c r="K1334" s="89"/>
      <c r="L1334" s="106"/>
      <c r="M1334" s="310"/>
      <c r="N1334" s="194"/>
    </row>
    <row r="1335" spans="2:15" ht="15" customHeight="1">
      <c r="B1335" s="187"/>
      <c r="C1335" s="188"/>
      <c r="D1335" s="142"/>
      <c r="E1335" s="189"/>
      <c r="F1335" s="193"/>
      <c r="G1335" s="188"/>
      <c r="H1335" s="121"/>
      <c r="I1335" s="132"/>
      <c r="J1335" s="211"/>
      <c r="K1335" s="89"/>
      <c r="L1335" s="106"/>
      <c r="M1335" s="310"/>
      <c r="N1335" s="194"/>
    </row>
    <row r="1336" spans="2:15" ht="15" customHeight="1">
      <c r="B1336" s="187"/>
      <c r="C1336" s="188"/>
      <c r="D1336" s="142"/>
      <c r="E1336" s="189"/>
      <c r="F1336" s="193"/>
      <c r="G1336" s="188"/>
      <c r="H1336" s="121"/>
      <c r="I1336" s="132"/>
      <c r="J1336" s="211"/>
      <c r="K1336" s="89"/>
      <c r="L1336" s="106"/>
      <c r="M1336" s="310"/>
      <c r="N1336" s="194"/>
    </row>
    <row r="1337" spans="2:15" ht="15" customHeight="1">
      <c r="B1337" s="187"/>
      <c r="C1337" s="188"/>
      <c r="D1337" s="142"/>
      <c r="E1337" s="189"/>
      <c r="F1337" s="193"/>
      <c r="G1337" s="188"/>
      <c r="H1337" s="121"/>
      <c r="I1337" s="132"/>
      <c r="J1337" s="211"/>
      <c r="K1337" s="89"/>
      <c r="L1337" s="106"/>
      <c r="M1337" s="310"/>
      <c r="N1337" s="194"/>
      <c r="O1337" s="76" t="s">
        <v>811</v>
      </c>
    </row>
    <row r="1338" spans="2:15" ht="15" customHeight="1">
      <c r="B1338" s="187"/>
      <c r="C1338" s="188"/>
      <c r="D1338" s="142"/>
      <c r="E1338" s="189"/>
      <c r="F1338" s="193"/>
      <c r="G1338" s="188"/>
      <c r="H1338" s="121"/>
      <c r="I1338" s="132"/>
      <c r="J1338" s="211"/>
      <c r="K1338" s="89"/>
      <c r="L1338" s="106"/>
      <c r="M1338" s="310"/>
      <c r="N1338" s="194"/>
    </row>
    <row r="1339" spans="2:15" ht="15" customHeight="1">
      <c r="B1339" s="187"/>
      <c r="C1339" s="188"/>
      <c r="D1339" s="142"/>
      <c r="E1339" s="189"/>
      <c r="F1339" s="193"/>
      <c r="G1339" s="188"/>
      <c r="H1339" s="121"/>
      <c r="I1339" s="132"/>
      <c r="J1339" s="221"/>
      <c r="K1339" s="89"/>
      <c r="L1339" s="106"/>
      <c r="M1339" s="310"/>
      <c r="N1339" s="194"/>
    </row>
    <row r="1340" spans="2:15" ht="15" customHeight="1">
      <c r="B1340" s="187"/>
      <c r="C1340" s="188"/>
      <c r="D1340" s="142"/>
      <c r="E1340" s="189"/>
      <c r="F1340" s="193"/>
      <c r="G1340" s="188"/>
      <c r="H1340" s="121"/>
      <c r="I1340" s="132"/>
      <c r="J1340" s="221"/>
      <c r="K1340" s="89"/>
      <c r="L1340" s="106"/>
      <c r="M1340" s="310"/>
      <c r="N1340" s="194"/>
    </row>
    <row r="1341" spans="2:15" ht="15" customHeight="1">
      <c r="B1341" s="311"/>
      <c r="C1341" s="312"/>
      <c r="D1341" s="313"/>
      <c r="E1341" s="314"/>
      <c r="F1341" s="315"/>
      <c r="G1341" s="312"/>
      <c r="H1341" s="316"/>
      <c r="I1341" s="317"/>
      <c r="J1341" s="180"/>
      <c r="K1341" s="318"/>
      <c r="L1341" s="319"/>
      <c r="M1341" s="194"/>
      <c r="N1341" s="194"/>
    </row>
    <row r="1342" spans="2:15" ht="15" customHeight="1">
      <c r="B1342" s="187"/>
      <c r="C1342" s="188"/>
      <c r="D1342" s="142"/>
      <c r="E1342" s="190"/>
      <c r="F1342" s="193"/>
      <c r="G1342" s="188"/>
      <c r="H1342" s="121"/>
      <c r="I1342" s="132"/>
      <c r="J1342" s="179"/>
      <c r="K1342" s="89"/>
      <c r="L1342" s="184"/>
      <c r="M1342" s="194"/>
      <c r="N1342" s="194"/>
    </row>
    <row r="1343" spans="2:15" ht="15" customHeight="1">
      <c r="B1343" s="187"/>
      <c r="C1343" s="188"/>
      <c r="D1343" s="142"/>
      <c r="E1343" s="189"/>
      <c r="F1343" s="193"/>
      <c r="G1343" s="188"/>
      <c r="H1343" s="121"/>
      <c r="I1343" s="132"/>
      <c r="J1343" s="179"/>
      <c r="K1343" s="89"/>
      <c r="L1343" s="184"/>
      <c r="M1343" s="194"/>
      <c r="N1343" s="194"/>
    </row>
    <row r="1344" spans="2:15" ht="15" customHeight="1">
      <c r="B1344" s="187"/>
      <c r="C1344" s="188"/>
      <c r="D1344" s="142"/>
      <c r="E1344" s="189"/>
      <c r="F1344" s="193"/>
      <c r="G1344" s="188"/>
      <c r="H1344" s="121"/>
      <c r="I1344" s="132"/>
      <c r="J1344" s="179"/>
      <c r="K1344" s="89"/>
      <c r="L1344" s="184"/>
      <c r="M1344" s="194"/>
      <c r="N1344" s="194"/>
    </row>
    <row r="1345" spans="2:15" ht="15" customHeight="1">
      <c r="B1345" s="187"/>
      <c r="C1345" s="188"/>
      <c r="D1345" s="142"/>
      <c r="E1345" s="189"/>
      <c r="F1345" s="193"/>
      <c r="G1345" s="188"/>
      <c r="H1345" s="121"/>
      <c r="I1345" s="132"/>
      <c r="J1345" s="179"/>
      <c r="K1345" s="89"/>
      <c r="L1345" s="184"/>
      <c r="M1345" s="194"/>
      <c r="N1345" s="194"/>
    </row>
    <row r="1346" spans="2:15" ht="15" customHeight="1">
      <c r="B1346" s="187"/>
      <c r="C1346" s="188"/>
      <c r="D1346" s="142"/>
      <c r="E1346" s="189"/>
      <c r="F1346" s="193"/>
      <c r="G1346" s="188"/>
      <c r="H1346" s="121"/>
      <c r="I1346" s="132"/>
      <c r="J1346" s="179"/>
      <c r="K1346" s="89"/>
      <c r="L1346" s="184"/>
      <c r="M1346" s="194"/>
      <c r="N1346" s="194"/>
    </row>
    <row r="1347" spans="2:15" ht="15" customHeight="1">
      <c r="B1347" s="187"/>
      <c r="C1347" s="188"/>
      <c r="D1347" s="142"/>
      <c r="E1347" s="189"/>
      <c r="F1347" s="193"/>
      <c r="G1347" s="188"/>
      <c r="H1347" s="121"/>
      <c r="I1347" s="132"/>
      <c r="J1347" s="179"/>
      <c r="K1347" s="89"/>
      <c r="L1347" s="184"/>
      <c r="M1347" s="194"/>
      <c r="N1347" s="194"/>
    </row>
    <row r="1348" spans="2:15" ht="15" customHeight="1">
      <c r="B1348" s="187"/>
      <c r="C1348" s="188"/>
      <c r="D1348" s="142"/>
      <c r="E1348" s="189"/>
      <c r="F1348" s="193"/>
      <c r="G1348" s="188"/>
      <c r="H1348" s="121"/>
      <c r="I1348" s="132"/>
      <c r="J1348" s="179"/>
      <c r="K1348" s="89"/>
      <c r="L1348" s="184"/>
      <c r="M1348" s="194"/>
      <c r="N1348" s="194"/>
    </row>
    <row r="1349" spans="2:15" ht="15" customHeight="1">
      <c r="B1349" s="187"/>
      <c r="C1349" s="188"/>
      <c r="D1349" s="142"/>
      <c r="E1349" s="189"/>
      <c r="F1349" s="193"/>
      <c r="G1349" s="188"/>
      <c r="H1349" s="121"/>
      <c r="I1349" s="132"/>
      <c r="J1349" s="179"/>
      <c r="K1349" s="89"/>
      <c r="L1349" s="184"/>
      <c r="M1349" s="194"/>
      <c r="N1349" s="194"/>
    </row>
    <row r="1350" spans="2:15" ht="15" customHeight="1">
      <c r="B1350" s="187"/>
      <c r="C1350" s="188"/>
      <c r="D1350" s="142"/>
      <c r="E1350" s="189"/>
      <c r="F1350" s="193"/>
      <c r="G1350" s="188"/>
      <c r="H1350" s="121"/>
      <c r="I1350" s="132"/>
      <c r="J1350" s="179"/>
      <c r="K1350" s="89"/>
      <c r="L1350" s="184"/>
      <c r="M1350" s="194"/>
      <c r="N1350" s="194"/>
    </row>
    <row r="1351" spans="2:15" ht="15" customHeight="1">
      <c r="B1351" s="187"/>
      <c r="C1351" s="188"/>
      <c r="D1351" s="142"/>
      <c r="E1351" s="189"/>
      <c r="F1351" s="193"/>
      <c r="G1351" s="188"/>
      <c r="H1351" s="121"/>
      <c r="I1351" s="132"/>
      <c r="J1351" s="179"/>
      <c r="K1351" s="89"/>
      <c r="L1351" s="184"/>
      <c r="M1351" s="194"/>
      <c r="N1351" s="194"/>
    </row>
    <row r="1352" spans="2:15" ht="15" customHeight="1">
      <c r="B1352" s="187"/>
      <c r="C1352" s="188"/>
      <c r="D1352" s="142"/>
      <c r="E1352" s="189"/>
      <c r="F1352" s="193"/>
      <c r="G1352" s="188"/>
      <c r="H1352" s="121"/>
      <c r="I1352" s="132"/>
      <c r="J1352" s="179"/>
      <c r="K1352" s="89"/>
      <c r="L1352" s="184"/>
      <c r="M1352" s="194"/>
      <c r="N1352" s="194"/>
    </row>
    <row r="1353" spans="2:15" ht="15" customHeight="1">
      <c r="B1353" s="187"/>
      <c r="C1353" s="188"/>
      <c r="D1353" s="142"/>
      <c r="E1353" s="189"/>
      <c r="F1353" s="193"/>
      <c r="G1353" s="188"/>
      <c r="H1353" s="121"/>
      <c r="I1353" s="132"/>
      <c r="J1353" s="179"/>
      <c r="K1353" s="89"/>
      <c r="L1353" s="184"/>
      <c r="M1353" s="194"/>
      <c r="N1353" s="194"/>
    </row>
    <row r="1354" spans="2:15" ht="15" customHeight="1">
      <c r="B1354" s="187"/>
      <c r="C1354" s="188"/>
      <c r="D1354" s="142"/>
      <c r="E1354" s="189"/>
      <c r="F1354" s="193"/>
      <c r="G1354" s="188"/>
      <c r="H1354" s="121"/>
      <c r="I1354" s="132"/>
      <c r="J1354" s="179"/>
      <c r="K1354" s="89"/>
      <c r="L1354" s="184"/>
      <c r="M1354" s="194"/>
      <c r="N1354" s="194"/>
    </row>
    <row r="1355" spans="2:15" ht="15" customHeight="1">
      <c r="B1355" s="187"/>
      <c r="C1355" s="188"/>
      <c r="D1355" s="142"/>
      <c r="E1355" s="189"/>
      <c r="F1355" s="193"/>
      <c r="G1355" s="188"/>
      <c r="H1355" s="121"/>
      <c r="I1355" s="132"/>
      <c r="J1355" s="179"/>
      <c r="K1355" s="89"/>
      <c r="L1355" s="184"/>
      <c r="M1355" s="194"/>
      <c r="N1355" s="194"/>
    </row>
    <row r="1356" spans="2:15" ht="15" customHeight="1">
      <c r="B1356" s="187"/>
      <c r="C1356" s="188"/>
      <c r="D1356" s="142"/>
      <c r="E1356" s="189"/>
      <c r="F1356" s="193"/>
      <c r="G1356" s="188"/>
      <c r="H1356" s="121"/>
      <c r="I1356" s="132"/>
      <c r="J1356" s="179"/>
      <c r="K1356" s="89"/>
      <c r="L1356" s="184"/>
      <c r="M1356" s="194"/>
      <c r="N1356" s="194"/>
    </row>
    <row r="1357" spans="2:15" ht="15" customHeight="1">
      <c r="B1357" s="187"/>
      <c r="C1357" s="188"/>
      <c r="D1357" s="142"/>
      <c r="E1357" s="189"/>
      <c r="F1357" s="193"/>
      <c r="G1357" s="188"/>
      <c r="H1357" s="121"/>
      <c r="I1357" s="132"/>
      <c r="J1357" s="179"/>
      <c r="K1357" s="89"/>
      <c r="L1357" s="184"/>
      <c r="M1357" s="194"/>
      <c r="N1357" s="194"/>
    </row>
    <row r="1358" spans="2:15" ht="15" customHeight="1">
      <c r="B1358" s="187"/>
      <c r="C1358" s="188"/>
      <c r="D1358" s="142"/>
      <c r="E1358" s="189"/>
      <c r="F1358" s="193"/>
      <c r="G1358" s="188"/>
      <c r="H1358" s="121"/>
      <c r="I1358" s="132"/>
      <c r="J1358" s="179"/>
      <c r="K1358" s="89"/>
      <c r="L1358" s="184"/>
      <c r="M1358" s="194"/>
      <c r="N1358" s="194"/>
      <c r="O1358" s="76" t="s">
        <v>807</v>
      </c>
    </row>
    <row r="1359" spans="2:15" ht="15" customHeight="1">
      <c r="B1359" s="187"/>
      <c r="C1359" s="188"/>
      <c r="D1359" s="142"/>
      <c r="E1359" s="189"/>
      <c r="F1359" s="193"/>
      <c r="G1359" s="188"/>
      <c r="H1359" s="121"/>
      <c r="I1359" s="132"/>
      <c r="J1359" s="179"/>
      <c r="K1359" s="89"/>
      <c r="L1359" s="184"/>
      <c r="M1359" s="194"/>
      <c r="N1359" s="194"/>
    </row>
    <row r="1360" spans="2:15" ht="15" customHeight="1">
      <c r="B1360" s="187"/>
      <c r="C1360" s="188"/>
      <c r="D1360" s="142"/>
      <c r="E1360" s="189"/>
      <c r="F1360" s="193"/>
      <c r="G1360" s="188"/>
      <c r="H1360" s="121"/>
      <c r="I1360" s="132"/>
      <c r="J1360" s="179"/>
      <c r="K1360" s="89"/>
      <c r="L1360" s="184"/>
      <c r="M1360" s="194"/>
      <c r="N1360" s="194"/>
    </row>
    <row r="1361" spans="2:15" ht="15" customHeight="1">
      <c r="B1361" s="187"/>
      <c r="C1361" s="188"/>
      <c r="D1361" s="142"/>
      <c r="E1361" s="189"/>
      <c r="F1361" s="193"/>
      <c r="G1361" s="188"/>
      <c r="H1361" s="121"/>
      <c r="I1361" s="132"/>
      <c r="J1361" s="179"/>
      <c r="K1361" s="89"/>
      <c r="L1361" s="184"/>
      <c r="M1361" s="194"/>
      <c r="N1361" s="194"/>
    </row>
    <row r="1362" spans="2:15" ht="15" customHeight="1">
      <c r="B1362" s="187"/>
      <c r="C1362" s="188"/>
      <c r="D1362" s="142"/>
      <c r="E1362" s="189"/>
      <c r="F1362" s="193"/>
      <c r="G1362" s="188"/>
      <c r="H1362" s="121"/>
      <c r="I1362" s="132"/>
      <c r="J1362" s="179"/>
      <c r="K1362" s="89"/>
      <c r="L1362" s="184"/>
      <c r="M1362" s="194"/>
      <c r="N1362" s="194"/>
    </row>
    <row r="1363" spans="2:15" ht="15" customHeight="1">
      <c r="B1363" s="187"/>
      <c r="C1363" s="188"/>
      <c r="D1363" s="142"/>
      <c r="E1363" s="189"/>
      <c r="F1363" s="193"/>
      <c r="G1363" s="188"/>
      <c r="H1363" s="121"/>
      <c r="I1363" s="132"/>
      <c r="J1363" s="179"/>
      <c r="K1363" s="89"/>
      <c r="L1363" s="184"/>
      <c r="M1363" s="194"/>
      <c r="N1363" s="194"/>
    </row>
    <row r="1364" spans="2:15" ht="15" customHeight="1">
      <c r="B1364" s="187"/>
      <c r="C1364" s="188"/>
      <c r="D1364" s="142"/>
      <c r="E1364" s="189"/>
      <c r="F1364" s="193"/>
      <c r="G1364" s="188"/>
      <c r="H1364" s="121"/>
      <c r="I1364" s="132"/>
      <c r="J1364" s="179"/>
      <c r="K1364" s="89"/>
      <c r="L1364" s="184"/>
      <c r="M1364" s="194"/>
      <c r="N1364" s="194"/>
    </row>
    <row r="1365" spans="2:15" ht="15" customHeight="1">
      <c r="B1365" s="187"/>
      <c r="C1365" s="188"/>
      <c r="D1365" s="142"/>
      <c r="E1365" s="189"/>
      <c r="F1365" s="193"/>
      <c r="G1365" s="188"/>
      <c r="H1365" s="121"/>
      <c r="I1365" s="132"/>
      <c r="J1365" s="179"/>
      <c r="K1365" s="89"/>
      <c r="L1365" s="184"/>
      <c r="M1365" s="194"/>
      <c r="N1365" s="194"/>
    </row>
    <row r="1366" spans="2:15" ht="15" customHeight="1">
      <c r="B1366" s="187"/>
      <c r="C1366" s="188"/>
      <c r="D1366" s="142"/>
      <c r="E1366" s="189"/>
      <c r="F1366" s="193"/>
      <c r="G1366" s="188"/>
      <c r="H1366" s="121"/>
      <c r="I1366" s="132"/>
      <c r="J1366" s="179"/>
      <c r="K1366" s="89"/>
      <c r="L1366" s="184"/>
      <c r="M1366" s="194"/>
      <c r="N1366" s="194"/>
    </row>
    <row r="1367" spans="2:15" ht="15" customHeight="1">
      <c r="B1367" s="187"/>
      <c r="C1367" s="188"/>
      <c r="D1367" s="142"/>
      <c r="E1367" s="189"/>
      <c r="F1367" s="193"/>
      <c r="G1367" s="188"/>
      <c r="H1367" s="121"/>
      <c r="I1367" s="132"/>
      <c r="J1367" s="179"/>
      <c r="K1367" s="89"/>
      <c r="L1367" s="184"/>
      <c r="M1367" s="194"/>
      <c r="N1367" s="194"/>
    </row>
    <row r="1368" spans="2:15" ht="15" customHeight="1">
      <c r="B1368" s="187"/>
      <c r="C1368" s="188"/>
      <c r="D1368" s="142"/>
      <c r="E1368" s="189"/>
      <c r="F1368" s="193"/>
      <c r="G1368" s="188"/>
      <c r="H1368" s="121"/>
      <c r="I1368" s="132"/>
      <c r="J1368" s="179"/>
      <c r="K1368" s="89"/>
      <c r="L1368" s="184"/>
      <c r="M1368" s="194"/>
      <c r="N1368" s="194"/>
    </row>
    <row r="1369" spans="2:15" ht="15" customHeight="1">
      <c r="B1369" s="187"/>
      <c r="C1369" s="188"/>
      <c r="D1369" s="142"/>
      <c r="E1369" s="189"/>
      <c r="F1369" s="193"/>
      <c r="G1369" s="188"/>
      <c r="H1369" s="121"/>
      <c r="I1369" s="132"/>
      <c r="J1369" s="179"/>
      <c r="K1369" s="89"/>
      <c r="L1369" s="184"/>
      <c r="M1369" s="194"/>
      <c r="N1369" s="194"/>
    </row>
    <row r="1370" spans="2:15" ht="15" customHeight="1">
      <c r="B1370" s="187"/>
      <c r="C1370" s="188"/>
      <c r="D1370" s="142"/>
      <c r="E1370" s="189"/>
      <c r="F1370" s="193"/>
      <c r="G1370" s="188"/>
      <c r="H1370" s="121"/>
      <c r="I1370" s="132"/>
      <c r="J1370" s="179"/>
      <c r="K1370" s="89"/>
      <c r="L1370" s="184"/>
      <c r="M1370" s="194"/>
      <c r="N1370" s="194"/>
    </row>
    <row r="1371" spans="2:15" ht="15" customHeight="1">
      <c r="B1371" s="187"/>
      <c r="C1371" s="188"/>
      <c r="D1371" s="142"/>
      <c r="E1371" s="189"/>
      <c r="F1371" s="193"/>
      <c r="G1371" s="188"/>
      <c r="H1371" s="121"/>
      <c r="I1371" s="132"/>
      <c r="J1371" s="179"/>
      <c r="K1371" s="89"/>
      <c r="L1371" s="184"/>
      <c r="M1371" s="194"/>
      <c r="N1371" s="194"/>
    </row>
    <row r="1372" spans="2:15" ht="15" customHeight="1">
      <c r="B1372" s="187"/>
      <c r="C1372" s="188"/>
      <c r="D1372" s="142"/>
      <c r="E1372" s="189"/>
      <c r="F1372" s="193"/>
      <c r="G1372" s="188"/>
      <c r="H1372" s="121"/>
      <c r="I1372" s="132"/>
      <c r="J1372" s="179"/>
      <c r="K1372" s="89"/>
      <c r="L1372" s="184"/>
      <c r="M1372" s="194"/>
      <c r="N1372" s="194"/>
    </row>
    <row r="1373" spans="2:15" ht="15" customHeight="1">
      <c r="B1373" s="187"/>
      <c r="C1373" s="188"/>
      <c r="D1373" s="142"/>
      <c r="E1373" s="189"/>
      <c r="F1373" s="193"/>
      <c r="G1373" s="188"/>
      <c r="H1373" s="121"/>
      <c r="I1373" s="132"/>
      <c r="J1373" s="179"/>
      <c r="K1373" s="89"/>
      <c r="L1373" s="184"/>
      <c r="M1373" s="194"/>
      <c r="N1373" s="194"/>
      <c r="O1373" s="76" t="s">
        <v>344</v>
      </c>
    </row>
    <row r="1374" spans="2:15" ht="15" customHeight="1">
      <c r="B1374" s="187"/>
      <c r="C1374" s="188"/>
      <c r="D1374" s="142"/>
      <c r="E1374" s="189"/>
      <c r="F1374" s="193"/>
      <c r="G1374" s="188"/>
      <c r="H1374" s="121"/>
      <c r="I1374" s="132"/>
      <c r="J1374" s="179"/>
      <c r="K1374" s="89"/>
      <c r="L1374" s="184"/>
      <c r="M1374" s="194"/>
      <c r="N1374" s="194"/>
    </row>
    <row r="1375" spans="2:15" ht="15" customHeight="1">
      <c r="B1375" s="187"/>
      <c r="C1375" s="188"/>
      <c r="D1375" s="142"/>
      <c r="E1375" s="189"/>
      <c r="F1375" s="193"/>
      <c r="G1375" s="188"/>
      <c r="H1375" s="121"/>
      <c r="I1375" s="132"/>
      <c r="J1375" s="179"/>
      <c r="K1375" s="89"/>
      <c r="L1375" s="184"/>
      <c r="M1375" s="194"/>
      <c r="N1375" s="194"/>
    </row>
    <row r="1376" spans="2:15" ht="15" customHeight="1">
      <c r="B1376" s="187"/>
      <c r="C1376" s="188"/>
      <c r="D1376" s="142"/>
      <c r="E1376" s="189"/>
      <c r="F1376" s="193"/>
      <c r="G1376" s="188"/>
      <c r="H1376" s="121"/>
      <c r="I1376" s="132"/>
      <c r="J1376" s="179"/>
      <c r="K1376" s="89"/>
      <c r="L1376" s="184"/>
      <c r="M1376" s="194"/>
      <c r="N1376" s="194"/>
    </row>
    <row r="1377" spans="2:14" ht="15" customHeight="1">
      <c r="B1377" s="187"/>
      <c r="C1377" s="188"/>
      <c r="D1377" s="142"/>
      <c r="E1377" s="189"/>
      <c r="F1377" s="193"/>
      <c r="G1377" s="188"/>
      <c r="H1377" s="121"/>
      <c r="I1377" s="132"/>
      <c r="J1377" s="179"/>
      <c r="K1377" s="89"/>
      <c r="L1377" s="184"/>
      <c r="M1377" s="194"/>
      <c r="N1377" s="194"/>
    </row>
    <row r="1378" spans="2:14" ht="15" customHeight="1">
      <c r="B1378" s="187"/>
      <c r="C1378" s="188"/>
      <c r="D1378" s="142"/>
      <c r="E1378" s="189"/>
      <c r="F1378" s="193"/>
      <c r="G1378" s="188"/>
      <c r="H1378" s="121"/>
      <c r="I1378" s="132"/>
      <c r="J1378" s="179"/>
      <c r="K1378" s="89"/>
      <c r="L1378" s="184"/>
      <c r="M1378" s="194"/>
      <c r="N1378" s="194"/>
    </row>
    <row r="1379" spans="2:14" ht="15" customHeight="1">
      <c r="B1379" s="187"/>
      <c r="C1379" s="188"/>
      <c r="D1379" s="142"/>
      <c r="E1379" s="189"/>
      <c r="F1379" s="193"/>
      <c r="G1379" s="188"/>
      <c r="H1379" s="121"/>
      <c r="I1379" s="132"/>
      <c r="J1379" s="179"/>
      <c r="K1379" s="89"/>
      <c r="L1379" s="184"/>
      <c r="M1379" s="194"/>
      <c r="N1379" s="194"/>
    </row>
    <row r="1380" spans="2:14" ht="15" customHeight="1">
      <c r="B1380" s="187"/>
      <c r="C1380" s="188"/>
      <c r="D1380" s="142"/>
      <c r="E1380" s="189"/>
      <c r="F1380" s="193"/>
      <c r="G1380" s="188"/>
      <c r="H1380" s="121"/>
      <c r="I1380" s="132"/>
      <c r="J1380" s="179"/>
      <c r="K1380" s="89"/>
      <c r="L1380" s="184"/>
      <c r="M1380" s="194"/>
      <c r="N1380" s="194"/>
    </row>
    <row r="1381" spans="2:14" ht="15" customHeight="1">
      <c r="B1381" s="187"/>
      <c r="C1381" s="188"/>
      <c r="D1381" s="142"/>
      <c r="E1381" s="189"/>
      <c r="F1381" s="193"/>
      <c r="G1381" s="188"/>
      <c r="H1381" s="121"/>
      <c r="I1381" s="132"/>
      <c r="J1381" s="179"/>
      <c r="K1381" s="89"/>
      <c r="L1381" s="184"/>
      <c r="M1381" s="194"/>
      <c r="N1381" s="194"/>
    </row>
    <row r="1382" spans="2:14" ht="15" customHeight="1">
      <c r="B1382" s="187"/>
      <c r="C1382" s="188"/>
      <c r="D1382" s="142"/>
      <c r="E1382" s="189"/>
      <c r="F1382" s="193"/>
      <c r="G1382" s="188"/>
      <c r="H1382" s="121"/>
      <c r="I1382" s="132"/>
      <c r="J1382" s="179"/>
      <c r="K1382" s="89"/>
      <c r="L1382" s="184"/>
      <c r="M1382" s="194"/>
      <c r="N1382" s="194"/>
    </row>
    <row r="1383" spans="2:14" ht="15" customHeight="1">
      <c r="B1383" s="187"/>
      <c r="C1383" s="188"/>
      <c r="D1383" s="142"/>
      <c r="E1383" s="189"/>
      <c r="F1383" s="193"/>
      <c r="G1383" s="188"/>
      <c r="H1383" s="121"/>
      <c r="I1383" s="132"/>
      <c r="J1383" s="179"/>
      <c r="K1383" s="89"/>
      <c r="L1383" s="184"/>
      <c r="M1383" s="194"/>
      <c r="N1383" s="194"/>
    </row>
    <row r="1384" spans="2:14" ht="15" customHeight="1">
      <c r="B1384" s="187"/>
      <c r="C1384" s="188"/>
      <c r="D1384" s="142"/>
      <c r="E1384" s="189"/>
      <c r="F1384" s="193"/>
      <c r="G1384" s="188"/>
      <c r="H1384" s="121"/>
      <c r="I1384" s="132"/>
      <c r="J1384" s="179"/>
      <c r="K1384" s="89"/>
      <c r="L1384" s="184"/>
      <c r="M1384" s="194"/>
      <c r="N1384" s="194"/>
    </row>
    <row r="1385" spans="2:14" ht="15" customHeight="1">
      <c r="B1385" s="187"/>
      <c r="C1385" s="188"/>
      <c r="D1385" s="142"/>
      <c r="E1385" s="189"/>
      <c r="F1385" s="193"/>
      <c r="G1385" s="188"/>
      <c r="H1385" s="121"/>
      <c r="I1385" s="132"/>
      <c r="J1385" s="179"/>
      <c r="K1385" s="89"/>
      <c r="L1385" s="184"/>
      <c r="M1385" s="194"/>
      <c r="N1385" s="194"/>
    </row>
    <row r="1386" spans="2:14" ht="15" customHeight="1">
      <c r="B1386" s="187"/>
      <c r="C1386" s="188"/>
      <c r="D1386" s="142"/>
      <c r="E1386" s="189"/>
      <c r="F1386" s="193"/>
      <c r="G1386" s="188"/>
      <c r="H1386" s="121"/>
      <c r="I1386" s="132"/>
      <c r="J1386" s="179"/>
      <c r="K1386" s="89"/>
      <c r="L1386" s="184"/>
      <c r="M1386" s="194"/>
      <c r="N1386" s="194"/>
    </row>
    <row r="1387" spans="2:14" ht="15" customHeight="1">
      <c r="B1387" s="187"/>
      <c r="C1387" s="188"/>
      <c r="D1387" s="142"/>
      <c r="E1387" s="189"/>
      <c r="F1387" s="193"/>
      <c r="G1387" s="188"/>
      <c r="H1387" s="121"/>
      <c r="I1387" s="132"/>
      <c r="J1387" s="179"/>
      <c r="K1387" s="89"/>
      <c r="L1387" s="184"/>
      <c r="M1387" s="194"/>
      <c r="N1387" s="194"/>
    </row>
    <row r="1388" spans="2:14" ht="15" customHeight="1">
      <c r="B1388" s="187"/>
      <c r="C1388" s="188"/>
      <c r="D1388" s="142"/>
      <c r="E1388" s="189"/>
      <c r="F1388" s="193"/>
      <c r="G1388" s="188"/>
      <c r="H1388" s="121"/>
      <c r="I1388" s="132"/>
      <c r="J1388" s="179"/>
      <c r="K1388" s="89"/>
      <c r="L1388" s="184"/>
      <c r="M1388" s="194"/>
      <c r="N1388" s="194"/>
    </row>
    <row r="1389" spans="2:14" ht="15" customHeight="1">
      <c r="B1389" s="187"/>
      <c r="C1389" s="188"/>
      <c r="D1389" s="142"/>
      <c r="E1389" s="189"/>
      <c r="F1389" s="193"/>
      <c r="G1389" s="188"/>
      <c r="H1389" s="121"/>
      <c r="I1389" s="132"/>
      <c r="J1389" s="179"/>
      <c r="K1389" s="89"/>
      <c r="L1389" s="184"/>
      <c r="M1389" s="194"/>
      <c r="N1389" s="194"/>
    </row>
    <row r="1390" spans="2:14" ht="15" customHeight="1">
      <c r="B1390" s="187"/>
      <c r="C1390" s="188"/>
      <c r="D1390" s="142"/>
      <c r="E1390" s="189"/>
      <c r="F1390" s="193"/>
      <c r="G1390" s="188"/>
      <c r="H1390" s="121"/>
      <c r="I1390" s="132"/>
      <c r="J1390" s="179"/>
      <c r="K1390" s="89"/>
      <c r="L1390" s="184"/>
      <c r="M1390" s="194"/>
      <c r="N1390" s="194"/>
    </row>
    <row r="1391" spans="2:14" ht="15" customHeight="1">
      <c r="B1391" s="187"/>
      <c r="C1391" s="188"/>
      <c r="D1391" s="142"/>
      <c r="E1391" s="189"/>
      <c r="F1391" s="193"/>
      <c r="G1391" s="188"/>
      <c r="H1391" s="121"/>
      <c r="I1391" s="132"/>
      <c r="J1391" s="179"/>
      <c r="K1391" s="89"/>
      <c r="L1391" s="184"/>
      <c r="M1391" s="194"/>
      <c r="N1391" s="194"/>
    </row>
    <row r="1392" spans="2:14" ht="15" customHeight="1">
      <c r="B1392" s="187"/>
      <c r="C1392" s="188"/>
      <c r="D1392" s="142"/>
      <c r="E1392" s="189"/>
      <c r="F1392" s="193"/>
      <c r="G1392" s="188"/>
      <c r="H1392" s="121"/>
      <c r="I1392" s="132"/>
      <c r="J1392" s="179"/>
      <c r="K1392" s="89"/>
      <c r="L1392" s="184"/>
      <c r="M1392" s="194"/>
      <c r="N1392" s="194"/>
    </row>
    <row r="1393" spans="2:15" ht="15" customHeight="1">
      <c r="B1393" s="187"/>
      <c r="C1393" s="188"/>
      <c r="D1393" s="142"/>
      <c r="E1393" s="189"/>
      <c r="F1393" s="193"/>
      <c r="G1393" s="188"/>
      <c r="H1393" s="121"/>
      <c r="I1393" s="132"/>
      <c r="J1393" s="179"/>
      <c r="K1393" s="89"/>
      <c r="L1393" s="184"/>
      <c r="M1393" s="194"/>
      <c r="N1393" s="194"/>
    </row>
    <row r="1394" spans="2:15" ht="15" customHeight="1">
      <c r="B1394" s="187"/>
      <c r="C1394" s="188"/>
      <c r="D1394" s="142"/>
      <c r="E1394" s="189"/>
      <c r="F1394" s="193"/>
      <c r="G1394" s="188"/>
      <c r="H1394" s="121"/>
      <c r="I1394" s="132"/>
      <c r="J1394" s="179"/>
      <c r="K1394" s="89"/>
      <c r="L1394" s="184"/>
      <c r="M1394" s="194"/>
      <c r="N1394" s="194"/>
    </row>
    <row r="1395" spans="2:15" ht="15" customHeight="1">
      <c r="B1395" s="187"/>
      <c r="C1395" s="188"/>
      <c r="D1395" s="142"/>
      <c r="E1395" s="189"/>
      <c r="F1395" s="193"/>
      <c r="G1395" s="188"/>
      <c r="H1395" s="121"/>
      <c r="I1395" s="132"/>
      <c r="J1395" s="179"/>
      <c r="K1395" s="89"/>
      <c r="L1395" s="184"/>
      <c r="M1395" s="194"/>
      <c r="N1395" s="194"/>
    </row>
    <row r="1396" spans="2:15" ht="15" customHeight="1">
      <c r="B1396" s="187"/>
      <c r="C1396" s="188"/>
      <c r="D1396" s="142"/>
      <c r="E1396" s="189"/>
      <c r="F1396" s="193"/>
      <c r="G1396" s="188"/>
      <c r="H1396" s="121"/>
      <c r="I1396" s="132"/>
      <c r="J1396" s="179"/>
      <c r="K1396" s="89"/>
      <c r="L1396" s="184"/>
      <c r="M1396" s="194"/>
      <c r="N1396" s="194"/>
    </row>
    <row r="1397" spans="2:15" ht="15" customHeight="1">
      <c r="B1397" s="187"/>
      <c r="C1397" s="188"/>
      <c r="D1397" s="142"/>
      <c r="E1397" s="189"/>
      <c r="F1397" s="193"/>
      <c r="G1397" s="188"/>
      <c r="H1397" s="121"/>
      <c r="I1397" s="132"/>
      <c r="J1397" s="179"/>
      <c r="K1397" s="89"/>
      <c r="L1397" s="184"/>
      <c r="M1397" s="194"/>
      <c r="N1397" s="194"/>
    </row>
    <row r="1398" spans="2:15" ht="15" customHeight="1">
      <c r="B1398" s="187"/>
      <c r="C1398" s="188"/>
      <c r="D1398" s="142"/>
      <c r="E1398" s="189"/>
      <c r="F1398" s="193"/>
      <c r="G1398" s="188"/>
      <c r="H1398" s="121"/>
      <c r="I1398" s="132"/>
      <c r="J1398" s="179"/>
      <c r="K1398" s="89"/>
      <c r="L1398" s="184"/>
      <c r="M1398" s="194"/>
      <c r="N1398" s="194"/>
    </row>
    <row r="1399" spans="2:15" ht="15" customHeight="1">
      <c r="B1399" s="187"/>
      <c r="C1399" s="188"/>
      <c r="D1399" s="142"/>
      <c r="E1399" s="189"/>
      <c r="F1399" s="193"/>
      <c r="G1399" s="188"/>
      <c r="H1399" s="121"/>
      <c r="I1399" s="132"/>
      <c r="J1399" s="179"/>
      <c r="K1399" s="89"/>
      <c r="L1399" s="184"/>
      <c r="M1399" s="194"/>
      <c r="N1399" s="194"/>
    </row>
    <row r="1400" spans="2:15" ht="15" customHeight="1">
      <c r="B1400" s="187"/>
      <c r="C1400" s="188"/>
      <c r="D1400" s="142"/>
      <c r="E1400" s="189"/>
      <c r="F1400" s="193"/>
      <c r="G1400" s="188"/>
      <c r="H1400" s="121"/>
      <c r="I1400" s="132"/>
      <c r="J1400" s="179"/>
      <c r="K1400" s="89"/>
      <c r="L1400" s="184"/>
      <c r="M1400" s="194"/>
      <c r="N1400" s="194"/>
    </row>
    <row r="1401" spans="2:15" ht="15" customHeight="1">
      <c r="B1401" s="187"/>
      <c r="C1401" s="188"/>
      <c r="D1401" s="142"/>
      <c r="E1401" s="189"/>
      <c r="F1401" s="193"/>
      <c r="G1401" s="188"/>
      <c r="H1401" s="121"/>
      <c r="I1401" s="132"/>
      <c r="J1401" s="179"/>
      <c r="K1401" s="89"/>
      <c r="L1401" s="184"/>
      <c r="M1401" s="194"/>
      <c r="N1401" s="194"/>
    </row>
    <row r="1402" spans="2:15" ht="15" customHeight="1">
      <c r="B1402" s="187"/>
      <c r="C1402" s="188"/>
      <c r="D1402" s="142"/>
      <c r="E1402" s="189"/>
      <c r="F1402" s="193"/>
      <c r="G1402" s="188"/>
      <c r="H1402" s="121"/>
      <c r="I1402" s="132"/>
      <c r="J1402" s="179"/>
      <c r="K1402" s="89"/>
      <c r="L1402" s="184"/>
      <c r="M1402" s="194"/>
      <c r="N1402" s="194"/>
      <c r="O1402" s="76" t="s">
        <v>812</v>
      </c>
    </row>
    <row r="1403" spans="2:15" ht="15" customHeight="1">
      <c r="B1403" s="187"/>
      <c r="C1403" s="188"/>
      <c r="D1403" s="142"/>
      <c r="E1403" s="189"/>
      <c r="F1403" s="193"/>
      <c r="G1403" s="188"/>
      <c r="H1403" s="121"/>
      <c r="I1403" s="132"/>
      <c r="J1403" s="179"/>
      <c r="K1403" s="89"/>
      <c r="L1403" s="184"/>
      <c r="M1403" s="194"/>
      <c r="N1403" s="194"/>
    </row>
    <row r="1404" spans="2:15" ht="15" customHeight="1">
      <c r="B1404" s="187"/>
      <c r="C1404" s="188"/>
      <c r="D1404" s="142"/>
      <c r="E1404" s="189"/>
      <c r="F1404" s="193"/>
      <c r="G1404" s="188"/>
      <c r="H1404" s="121"/>
      <c r="I1404" s="132"/>
      <c r="J1404" s="179"/>
      <c r="K1404" s="89"/>
      <c r="L1404" s="184"/>
      <c r="M1404" s="194"/>
      <c r="N1404" s="194"/>
    </row>
    <row r="1405" spans="2:15" ht="15" customHeight="1">
      <c r="B1405" s="187"/>
      <c r="C1405" s="188"/>
      <c r="D1405" s="142"/>
      <c r="E1405" s="189"/>
      <c r="F1405" s="193"/>
      <c r="G1405" s="188"/>
      <c r="H1405" s="121"/>
      <c r="I1405" s="132"/>
      <c r="J1405" s="179"/>
      <c r="K1405" s="89"/>
      <c r="L1405" s="184"/>
      <c r="M1405" s="194"/>
      <c r="N1405" s="194"/>
    </row>
    <row r="1406" spans="2:15" ht="15" customHeight="1">
      <c r="B1406" s="187"/>
      <c r="C1406" s="188"/>
      <c r="D1406" s="142"/>
      <c r="E1406" s="189"/>
      <c r="F1406" s="193"/>
      <c r="G1406" s="188"/>
      <c r="H1406" s="121"/>
      <c r="I1406" s="132"/>
      <c r="J1406" s="179"/>
      <c r="K1406" s="89"/>
      <c r="L1406" s="184"/>
      <c r="M1406" s="194"/>
      <c r="N1406" s="194"/>
    </row>
    <row r="1407" spans="2:15" ht="15" customHeight="1">
      <c r="B1407" s="187"/>
      <c r="C1407" s="188"/>
      <c r="D1407" s="142"/>
      <c r="E1407" s="189"/>
      <c r="F1407" s="193"/>
      <c r="G1407" s="188"/>
      <c r="H1407" s="121"/>
      <c r="I1407" s="132"/>
      <c r="J1407" s="179"/>
      <c r="K1407" s="89"/>
      <c r="L1407" s="184"/>
      <c r="M1407" s="194"/>
      <c r="N1407" s="194"/>
    </row>
    <row r="1408" spans="2:15" ht="15" customHeight="1">
      <c r="B1408" s="187"/>
      <c r="C1408" s="188"/>
      <c r="D1408" s="142"/>
      <c r="E1408" s="189"/>
      <c r="F1408" s="193"/>
      <c r="G1408" s="188"/>
      <c r="H1408" s="121"/>
      <c r="I1408" s="132"/>
      <c r="J1408" s="179"/>
      <c r="K1408" s="89"/>
      <c r="L1408" s="184"/>
      <c r="M1408" s="194"/>
      <c r="N1408" s="194"/>
    </row>
    <row r="1409" spans="2:14" ht="15" customHeight="1">
      <c r="B1409" s="187"/>
      <c r="C1409" s="188"/>
      <c r="D1409" s="142"/>
      <c r="E1409" s="189"/>
      <c r="F1409" s="193"/>
      <c r="G1409" s="188"/>
      <c r="H1409" s="121"/>
      <c r="I1409" s="132"/>
      <c r="J1409" s="179"/>
      <c r="K1409" s="89"/>
      <c r="L1409" s="184"/>
      <c r="M1409" s="194"/>
      <c r="N1409" s="194"/>
    </row>
    <row r="1410" spans="2:14" ht="15" customHeight="1">
      <c r="B1410" s="187"/>
      <c r="C1410" s="188"/>
      <c r="D1410" s="142"/>
      <c r="E1410" s="189"/>
      <c r="F1410" s="193"/>
      <c r="G1410" s="188"/>
      <c r="H1410" s="121"/>
      <c r="I1410" s="132"/>
      <c r="J1410" s="179"/>
      <c r="K1410" s="89"/>
      <c r="L1410" s="184"/>
      <c r="M1410" s="194"/>
      <c r="N1410" s="194"/>
    </row>
    <row r="1411" spans="2:14" ht="15" customHeight="1">
      <c r="B1411" s="187"/>
      <c r="C1411" s="188"/>
      <c r="D1411" s="142"/>
      <c r="E1411" s="189"/>
      <c r="F1411" s="193"/>
      <c r="G1411" s="188"/>
      <c r="H1411" s="121"/>
      <c r="I1411" s="132"/>
      <c r="J1411" s="179"/>
      <c r="K1411" s="89"/>
      <c r="L1411" s="184"/>
      <c r="M1411" s="194"/>
      <c r="N1411" s="194"/>
    </row>
    <row r="1412" spans="2:14" ht="15" customHeight="1">
      <c r="B1412" s="187"/>
      <c r="C1412" s="188"/>
      <c r="D1412" s="142"/>
      <c r="E1412" s="189"/>
      <c r="F1412" s="193"/>
      <c r="G1412" s="188"/>
      <c r="H1412" s="121"/>
      <c r="I1412" s="132"/>
      <c r="J1412" s="179"/>
      <c r="K1412" s="89"/>
      <c r="L1412" s="184"/>
      <c r="M1412" s="194"/>
      <c r="N1412" s="194"/>
    </row>
    <row r="1413" spans="2:14" ht="15" customHeight="1">
      <c r="B1413" s="187"/>
      <c r="C1413" s="188"/>
      <c r="D1413" s="142"/>
      <c r="E1413" s="189"/>
      <c r="F1413" s="193"/>
      <c r="G1413" s="188"/>
      <c r="H1413" s="121"/>
      <c r="I1413" s="132"/>
      <c r="J1413" s="179"/>
      <c r="K1413" s="89"/>
      <c r="L1413" s="184"/>
      <c r="M1413" s="194"/>
      <c r="N1413" s="194"/>
    </row>
    <row r="1414" spans="2:14" ht="15" customHeight="1">
      <c r="B1414" s="187"/>
      <c r="C1414" s="188"/>
      <c r="D1414" s="142"/>
      <c r="E1414" s="189"/>
      <c r="F1414" s="193"/>
      <c r="G1414" s="188"/>
      <c r="H1414" s="121"/>
      <c r="I1414" s="132"/>
      <c r="J1414" s="179"/>
      <c r="K1414" s="89"/>
      <c r="L1414" s="184"/>
      <c r="M1414" s="194"/>
      <c r="N1414" s="194"/>
    </row>
    <row r="1415" spans="2:14" ht="15" customHeight="1">
      <c r="B1415" s="187"/>
      <c r="C1415" s="188"/>
      <c r="D1415" s="142"/>
      <c r="E1415" s="189"/>
      <c r="F1415" s="193"/>
      <c r="G1415" s="188"/>
      <c r="H1415" s="121"/>
      <c r="I1415" s="132"/>
      <c r="J1415" s="179"/>
      <c r="K1415" s="89"/>
      <c r="L1415" s="184"/>
      <c r="M1415" s="194"/>
      <c r="N1415" s="194"/>
    </row>
    <row r="1416" spans="2:14" ht="15" customHeight="1">
      <c r="B1416" s="187"/>
      <c r="C1416" s="195"/>
      <c r="D1416" s="142"/>
      <c r="E1416" s="189"/>
      <c r="F1416" s="193"/>
      <c r="G1416" s="188"/>
      <c r="H1416" s="121"/>
      <c r="I1416" s="132"/>
      <c r="J1416" s="179"/>
      <c r="K1416" s="89"/>
      <c r="L1416" s="184"/>
      <c r="M1416" s="194"/>
      <c r="N1416" s="194"/>
    </row>
    <row r="1417" spans="2:14" ht="15" customHeight="1">
      <c r="B1417" s="187"/>
      <c r="C1417" s="195"/>
      <c r="D1417" s="142"/>
      <c r="E1417" s="189"/>
      <c r="F1417" s="193"/>
      <c r="G1417" s="188"/>
      <c r="H1417" s="121"/>
      <c r="I1417" s="132"/>
      <c r="J1417" s="179"/>
      <c r="K1417" s="89"/>
      <c r="L1417" s="184"/>
      <c r="M1417" s="194"/>
      <c r="N1417" s="194"/>
    </row>
    <row r="1418" spans="2:14" ht="15" customHeight="1">
      <c r="B1418" s="187"/>
      <c r="C1418" s="188"/>
      <c r="D1418" s="142"/>
      <c r="E1418" s="189"/>
      <c r="F1418" s="193"/>
      <c r="G1418" s="188"/>
      <c r="H1418" s="121"/>
      <c r="I1418" s="132"/>
      <c r="J1418" s="179"/>
      <c r="K1418" s="89"/>
      <c r="L1418" s="184"/>
      <c r="M1418" s="194"/>
      <c r="N1418" s="194"/>
    </row>
    <row r="1419" spans="2:14" ht="15" customHeight="1">
      <c r="B1419" s="187"/>
      <c r="C1419" s="188"/>
      <c r="D1419" s="142"/>
      <c r="E1419" s="189"/>
      <c r="F1419" s="193"/>
      <c r="G1419" s="188"/>
      <c r="H1419" s="121"/>
      <c r="I1419" s="132"/>
      <c r="J1419" s="179"/>
      <c r="K1419" s="89"/>
      <c r="L1419" s="184"/>
      <c r="M1419" s="194"/>
      <c r="N1419" s="194"/>
    </row>
    <row r="1420" spans="2:14" ht="15" customHeight="1">
      <c r="B1420" s="187"/>
      <c r="C1420" s="188"/>
      <c r="D1420" s="142"/>
      <c r="E1420" s="189"/>
      <c r="F1420" s="193"/>
      <c r="G1420" s="188"/>
      <c r="H1420" s="121"/>
      <c r="I1420" s="132"/>
      <c r="J1420" s="179"/>
      <c r="K1420" s="89"/>
      <c r="L1420" s="184"/>
      <c r="M1420" s="194"/>
      <c r="N1420" s="194"/>
    </row>
    <row r="1421" spans="2:14" ht="15" customHeight="1">
      <c r="B1421" s="187"/>
      <c r="C1421" s="188"/>
      <c r="D1421" s="142"/>
      <c r="E1421" s="189"/>
      <c r="F1421" s="193"/>
      <c r="G1421" s="188"/>
      <c r="H1421" s="121"/>
      <c r="I1421" s="132"/>
      <c r="J1421" s="179"/>
      <c r="K1421" s="89"/>
      <c r="L1421" s="184"/>
      <c r="M1421" s="194"/>
      <c r="N1421" s="194"/>
    </row>
    <row r="1422" spans="2:14" ht="15" customHeight="1">
      <c r="B1422" s="187"/>
      <c r="C1422" s="188"/>
      <c r="D1422" s="142"/>
      <c r="E1422" s="189"/>
      <c r="F1422" s="193"/>
      <c r="G1422" s="188"/>
      <c r="H1422" s="121"/>
      <c r="I1422" s="132"/>
      <c r="J1422" s="179"/>
      <c r="K1422" s="89"/>
      <c r="L1422" s="184"/>
      <c r="M1422" s="194"/>
      <c r="N1422" s="194"/>
    </row>
    <row r="1423" spans="2:14" ht="15" customHeight="1">
      <c r="B1423" s="187"/>
      <c r="C1423" s="188"/>
      <c r="D1423" s="142"/>
      <c r="E1423" s="189"/>
      <c r="F1423" s="193"/>
      <c r="G1423" s="188"/>
      <c r="H1423" s="121"/>
      <c r="I1423" s="132"/>
      <c r="J1423" s="179"/>
      <c r="K1423" s="89"/>
      <c r="L1423" s="184"/>
      <c r="M1423" s="194"/>
      <c r="N1423" s="194"/>
    </row>
    <row r="1424" spans="2:14" ht="15" customHeight="1">
      <c r="B1424" s="187"/>
      <c r="C1424" s="188"/>
      <c r="D1424" s="142"/>
      <c r="E1424" s="189"/>
      <c r="F1424" s="193"/>
      <c r="G1424" s="188"/>
      <c r="H1424" s="121"/>
      <c r="I1424" s="132"/>
      <c r="J1424" s="179"/>
      <c r="K1424" s="89"/>
      <c r="L1424" s="184"/>
      <c r="M1424" s="194"/>
      <c r="N1424" s="194"/>
    </row>
    <row r="1425" spans="2:15" ht="15" customHeight="1">
      <c r="B1425" s="187"/>
      <c r="C1425" s="188"/>
      <c r="D1425" s="142"/>
      <c r="E1425" s="189"/>
      <c r="F1425" s="193"/>
      <c r="G1425" s="188"/>
      <c r="H1425" s="121"/>
      <c r="I1425" s="132"/>
      <c r="J1425" s="179"/>
      <c r="K1425" s="89"/>
      <c r="L1425" s="184"/>
      <c r="M1425" s="194"/>
      <c r="N1425" s="194"/>
    </row>
    <row r="1426" spans="2:15" ht="15" customHeight="1">
      <c r="B1426" s="187"/>
      <c r="C1426" s="188"/>
      <c r="D1426" s="142"/>
      <c r="E1426" s="189"/>
      <c r="F1426" s="193"/>
      <c r="G1426" s="188"/>
      <c r="H1426" s="121"/>
      <c r="I1426" s="132"/>
      <c r="J1426" s="179"/>
      <c r="K1426" s="89"/>
      <c r="L1426" s="184"/>
      <c r="M1426" s="194"/>
      <c r="N1426" s="194"/>
    </row>
    <row r="1427" spans="2:15" ht="15" customHeight="1">
      <c r="B1427" s="187"/>
      <c r="C1427" s="188"/>
      <c r="D1427" s="142"/>
      <c r="E1427" s="189"/>
      <c r="F1427" s="193"/>
      <c r="G1427" s="188"/>
      <c r="H1427" s="121"/>
      <c r="I1427" s="132"/>
      <c r="J1427" s="179"/>
      <c r="K1427" s="89"/>
      <c r="L1427" s="184"/>
      <c r="M1427" s="194"/>
      <c r="N1427" s="194"/>
      <c r="O1427" s="76" t="s">
        <v>813</v>
      </c>
    </row>
    <row r="1428" spans="2:15" ht="15" customHeight="1">
      <c r="B1428" s="187"/>
      <c r="C1428" s="188"/>
      <c r="D1428" s="142"/>
      <c r="E1428" s="189"/>
      <c r="F1428" s="193"/>
      <c r="G1428" s="188"/>
      <c r="H1428" s="121"/>
      <c r="I1428" s="132"/>
      <c r="J1428" s="179"/>
      <c r="K1428" s="89"/>
      <c r="L1428" s="184"/>
      <c r="M1428" s="194"/>
      <c r="N1428" s="194"/>
    </row>
    <row r="1429" spans="2:15" ht="15" customHeight="1">
      <c r="B1429" s="187"/>
      <c r="C1429" s="188"/>
      <c r="D1429" s="142"/>
      <c r="E1429" s="189"/>
      <c r="F1429" s="193"/>
      <c r="G1429" s="196"/>
      <c r="H1429" s="121"/>
      <c r="I1429" s="132"/>
      <c r="J1429" s="179"/>
      <c r="K1429" s="89"/>
      <c r="L1429" s="184"/>
      <c r="M1429" s="194"/>
      <c r="N1429" s="194"/>
    </row>
    <row r="1430" spans="2:15" ht="15" customHeight="1">
      <c r="B1430" s="187"/>
      <c r="C1430" s="188"/>
      <c r="D1430" s="142"/>
      <c r="E1430" s="189"/>
      <c r="F1430" s="193"/>
      <c r="G1430" s="196"/>
      <c r="H1430" s="121"/>
      <c r="I1430" s="132"/>
      <c r="J1430" s="179"/>
      <c r="K1430" s="89"/>
      <c r="L1430" s="184"/>
      <c r="M1430" s="194"/>
      <c r="N1430" s="194"/>
    </row>
    <row r="1431" spans="2:15" ht="15" customHeight="1">
      <c r="B1431" s="187"/>
      <c r="C1431" s="188"/>
      <c r="D1431" s="142"/>
      <c r="E1431" s="189"/>
      <c r="F1431" s="193"/>
      <c r="G1431" s="196"/>
      <c r="H1431" s="121"/>
      <c r="I1431" s="132"/>
      <c r="J1431" s="179"/>
      <c r="K1431" s="89"/>
      <c r="L1431" s="184"/>
      <c r="M1431" s="194"/>
      <c r="N1431" s="194"/>
    </row>
    <row r="1432" spans="2:15" ht="15" customHeight="1">
      <c r="B1432" s="187"/>
      <c r="C1432" s="188"/>
      <c r="D1432" s="142"/>
      <c r="E1432" s="189"/>
      <c r="F1432" s="193"/>
      <c r="G1432" s="196"/>
      <c r="H1432" s="121"/>
      <c r="I1432" s="132"/>
      <c r="J1432" s="179"/>
      <c r="K1432" s="89"/>
      <c r="L1432" s="184"/>
      <c r="M1432" s="194"/>
      <c r="N1432" s="194"/>
    </row>
    <row r="1433" spans="2:15" ht="15" customHeight="1">
      <c r="B1433" s="187"/>
      <c r="C1433" s="188"/>
      <c r="D1433" s="142"/>
      <c r="E1433" s="189"/>
      <c r="F1433" s="193"/>
      <c r="G1433" s="196"/>
      <c r="H1433" s="121"/>
      <c r="I1433" s="132"/>
      <c r="J1433" s="179"/>
      <c r="K1433" s="89"/>
      <c r="L1433" s="184"/>
      <c r="M1433" s="194"/>
      <c r="N1433" s="194"/>
    </row>
    <row r="1434" spans="2:15" ht="15" customHeight="1">
      <c r="B1434" s="187"/>
      <c r="C1434" s="188"/>
      <c r="D1434" s="142"/>
      <c r="E1434" s="189"/>
      <c r="F1434" s="193"/>
      <c r="G1434" s="196"/>
      <c r="H1434" s="121"/>
      <c r="I1434" s="132"/>
      <c r="J1434" s="179"/>
      <c r="K1434" s="89"/>
      <c r="L1434" s="184"/>
      <c r="M1434" s="194"/>
      <c r="N1434" s="194"/>
    </row>
    <row r="1435" spans="2:15" ht="15" customHeight="1">
      <c r="B1435" s="187"/>
      <c r="C1435" s="188"/>
      <c r="D1435" s="142"/>
      <c r="E1435" s="189"/>
      <c r="F1435" s="193"/>
      <c r="G1435" s="196"/>
      <c r="H1435" s="121"/>
      <c r="I1435" s="132"/>
      <c r="J1435" s="179"/>
      <c r="K1435" s="89"/>
      <c r="L1435" s="184"/>
      <c r="M1435" s="194"/>
      <c r="N1435" s="194"/>
    </row>
    <row r="1436" spans="2:15" ht="15" customHeight="1">
      <c r="B1436" s="187"/>
      <c r="C1436" s="188"/>
      <c r="D1436" s="142"/>
      <c r="E1436" s="189"/>
      <c r="F1436" s="193"/>
      <c r="G1436" s="196"/>
      <c r="H1436" s="121"/>
      <c r="I1436" s="132"/>
      <c r="J1436" s="179"/>
      <c r="K1436" s="89"/>
      <c r="L1436" s="184"/>
      <c r="M1436" s="194"/>
      <c r="N1436" s="194"/>
    </row>
    <row r="1437" spans="2:15" ht="15" customHeight="1">
      <c r="B1437" s="187"/>
      <c r="C1437" s="188"/>
      <c r="D1437" s="142"/>
      <c r="E1437" s="189"/>
      <c r="F1437" s="193"/>
      <c r="G1437" s="188"/>
      <c r="H1437" s="121"/>
      <c r="I1437" s="132"/>
      <c r="J1437" s="179"/>
      <c r="K1437" s="89"/>
      <c r="L1437" s="184"/>
      <c r="M1437" s="194"/>
      <c r="N1437" s="194"/>
    </row>
    <row r="1438" spans="2:15" ht="15" customHeight="1">
      <c r="B1438" s="187"/>
      <c r="C1438" s="188"/>
      <c r="D1438" s="142"/>
      <c r="E1438" s="189"/>
      <c r="F1438" s="193"/>
      <c r="G1438" s="188"/>
      <c r="H1438" s="121"/>
      <c r="I1438" s="132"/>
      <c r="J1438" s="179"/>
      <c r="K1438" s="89"/>
      <c r="L1438" s="184"/>
      <c r="M1438" s="194"/>
      <c r="N1438" s="194"/>
    </row>
    <row r="1439" spans="2:15" ht="15" customHeight="1">
      <c r="B1439" s="187"/>
      <c r="C1439" s="188"/>
      <c r="D1439" s="142"/>
      <c r="E1439" s="189"/>
      <c r="F1439" s="193"/>
      <c r="G1439" s="188"/>
      <c r="H1439" s="121"/>
      <c r="I1439" s="132"/>
      <c r="J1439" s="179"/>
      <c r="K1439" s="89"/>
      <c r="L1439" s="184"/>
      <c r="M1439" s="194"/>
      <c r="N1439" s="194"/>
    </row>
    <row r="1440" spans="2:15" ht="15" customHeight="1">
      <c r="B1440" s="187"/>
      <c r="C1440" s="188"/>
      <c r="D1440" s="142"/>
      <c r="E1440" s="189"/>
      <c r="F1440" s="193"/>
      <c r="G1440" s="188"/>
      <c r="H1440" s="121"/>
      <c r="I1440" s="132"/>
      <c r="J1440" s="179"/>
      <c r="K1440" s="89"/>
      <c r="L1440" s="184"/>
      <c r="M1440" s="194"/>
      <c r="N1440" s="194"/>
    </row>
    <row r="1441" spans="2:14" ht="15" customHeight="1">
      <c r="B1441" s="187"/>
      <c r="C1441" s="188"/>
      <c r="D1441" s="142"/>
      <c r="E1441" s="189"/>
      <c r="F1441" s="193"/>
      <c r="G1441" s="188"/>
      <c r="H1441" s="121"/>
      <c r="I1441" s="132"/>
      <c r="J1441" s="179"/>
      <c r="K1441" s="89"/>
      <c r="L1441" s="184"/>
      <c r="M1441" s="194"/>
      <c r="N1441" s="194"/>
    </row>
    <row r="1442" spans="2:14" ht="15" customHeight="1">
      <c r="B1442" s="187"/>
      <c r="C1442" s="188"/>
      <c r="D1442" s="142"/>
      <c r="E1442" s="189"/>
      <c r="F1442" s="193"/>
      <c r="G1442" s="188"/>
      <c r="H1442" s="121"/>
      <c r="I1442" s="132"/>
      <c r="J1442" s="179"/>
      <c r="K1442" s="89"/>
      <c r="L1442" s="184"/>
      <c r="M1442" s="194"/>
      <c r="N1442" s="194"/>
    </row>
    <row r="1443" spans="2:14" ht="15" customHeight="1">
      <c r="B1443" s="187"/>
      <c r="C1443" s="188"/>
      <c r="D1443" s="142"/>
      <c r="E1443" s="189"/>
      <c r="F1443" s="193"/>
      <c r="G1443" s="188"/>
      <c r="H1443" s="121"/>
      <c r="I1443" s="132"/>
      <c r="J1443" s="179"/>
      <c r="K1443" s="89"/>
      <c r="L1443" s="184"/>
      <c r="M1443" s="194"/>
      <c r="N1443" s="194"/>
    </row>
    <row r="1444" spans="2:14" ht="15" customHeight="1">
      <c r="B1444" s="187"/>
      <c r="C1444" s="188"/>
      <c r="D1444" s="142"/>
      <c r="E1444" s="189"/>
      <c r="F1444" s="193"/>
      <c r="G1444" s="188"/>
      <c r="H1444" s="121"/>
      <c r="I1444" s="132"/>
      <c r="J1444" s="179"/>
      <c r="K1444" s="89"/>
      <c r="L1444" s="184"/>
      <c r="M1444" s="194"/>
      <c r="N1444" s="194"/>
    </row>
    <row r="1445" spans="2:14" ht="15" customHeight="1">
      <c r="B1445" s="187"/>
      <c r="C1445" s="188"/>
      <c r="D1445" s="142"/>
      <c r="E1445" s="189"/>
      <c r="F1445" s="193"/>
      <c r="G1445" s="196"/>
      <c r="H1445" s="121"/>
      <c r="I1445" s="132"/>
      <c r="J1445" s="179"/>
      <c r="K1445" s="89"/>
      <c r="L1445" s="184"/>
      <c r="M1445" s="194"/>
      <c r="N1445" s="194"/>
    </row>
    <row r="1446" spans="2:14" ht="15" customHeight="1">
      <c r="B1446" s="187"/>
      <c r="C1446" s="188"/>
      <c r="D1446" s="142"/>
      <c r="E1446" s="189"/>
      <c r="F1446" s="193"/>
      <c r="G1446" s="196"/>
      <c r="H1446" s="121"/>
      <c r="I1446" s="132"/>
      <c r="J1446" s="179"/>
      <c r="K1446" s="89"/>
      <c r="L1446" s="184"/>
      <c r="M1446" s="194"/>
      <c r="N1446" s="194"/>
    </row>
    <row r="1447" spans="2:14" ht="15" customHeight="1">
      <c r="B1447" s="187"/>
      <c r="C1447" s="188"/>
      <c r="D1447" s="142"/>
      <c r="E1447" s="189"/>
      <c r="F1447" s="193"/>
      <c r="G1447" s="196"/>
      <c r="H1447" s="121"/>
      <c r="I1447" s="132"/>
      <c r="J1447" s="179"/>
      <c r="K1447" s="89"/>
      <c r="L1447" s="184"/>
      <c r="M1447" s="194"/>
      <c r="N1447" s="194"/>
    </row>
    <row r="1448" spans="2:14" ht="15" customHeight="1">
      <c r="B1448" s="187"/>
      <c r="C1448" s="188"/>
      <c r="D1448" s="142"/>
      <c r="E1448" s="189"/>
      <c r="F1448" s="193"/>
      <c r="G1448" s="196"/>
      <c r="H1448" s="121"/>
      <c r="I1448" s="132"/>
      <c r="J1448" s="179"/>
      <c r="K1448" s="89"/>
      <c r="L1448" s="184"/>
      <c r="M1448" s="194"/>
      <c r="N1448" s="194"/>
    </row>
    <row r="1449" spans="2:14" ht="15" customHeight="1">
      <c r="B1449" s="187"/>
      <c r="C1449" s="188"/>
      <c r="D1449" s="142"/>
      <c r="E1449" s="189"/>
      <c r="F1449" s="193"/>
      <c r="G1449" s="196"/>
      <c r="H1449" s="121"/>
      <c r="I1449" s="132"/>
      <c r="J1449" s="179"/>
      <c r="K1449" s="89"/>
      <c r="L1449" s="184"/>
      <c r="M1449" s="194"/>
      <c r="N1449" s="194"/>
    </row>
    <row r="1450" spans="2:14" ht="15" customHeight="1">
      <c r="B1450" s="187"/>
      <c r="C1450" s="188"/>
      <c r="D1450" s="142"/>
      <c r="E1450" s="189"/>
      <c r="F1450" s="193"/>
      <c r="G1450" s="196"/>
      <c r="H1450" s="121"/>
      <c r="I1450" s="132"/>
      <c r="J1450" s="179"/>
      <c r="K1450" s="89"/>
      <c r="L1450" s="184"/>
      <c r="M1450" s="194"/>
      <c r="N1450" s="194"/>
    </row>
    <row r="1451" spans="2:14" ht="15" customHeight="1">
      <c r="B1451" s="187"/>
      <c r="C1451" s="188"/>
      <c r="D1451" s="142"/>
      <c r="E1451" s="189"/>
      <c r="F1451" s="193"/>
      <c r="G1451" s="197"/>
      <c r="H1451" s="121"/>
      <c r="I1451" s="132"/>
      <c r="J1451" s="179"/>
      <c r="K1451" s="89"/>
      <c r="L1451" s="184"/>
      <c r="M1451" s="194"/>
      <c r="N1451" s="194"/>
    </row>
    <row r="1452" spans="2:14" ht="15" customHeight="1">
      <c r="B1452" s="187"/>
      <c r="C1452" s="188"/>
      <c r="D1452" s="142"/>
      <c r="E1452" s="189"/>
      <c r="F1452" s="193"/>
      <c r="G1452" s="197"/>
      <c r="H1452" s="121"/>
      <c r="I1452" s="132"/>
      <c r="J1452" s="179"/>
      <c r="K1452" s="89"/>
      <c r="L1452" s="184"/>
      <c r="M1452" s="194"/>
      <c r="N1452" s="194"/>
    </row>
    <row r="1453" spans="2:14" ht="15" customHeight="1">
      <c r="B1453" s="187"/>
      <c r="C1453" s="188"/>
      <c r="D1453" s="142"/>
      <c r="E1453" s="189"/>
      <c r="F1453" s="193"/>
      <c r="G1453" s="197"/>
      <c r="H1453" s="121"/>
      <c r="I1453" s="132"/>
      <c r="J1453" s="179"/>
      <c r="K1453" s="89"/>
      <c r="L1453" s="184"/>
      <c r="M1453" s="194"/>
      <c r="N1453" s="194"/>
    </row>
    <row r="1454" spans="2:14" ht="15" customHeight="1">
      <c r="B1454" s="187"/>
      <c r="C1454" s="188"/>
      <c r="D1454" s="142"/>
      <c r="E1454" s="189"/>
      <c r="F1454" s="193"/>
      <c r="G1454" s="197"/>
      <c r="H1454" s="121"/>
      <c r="I1454" s="132"/>
      <c r="J1454" s="179"/>
      <c r="K1454" s="89"/>
      <c r="L1454" s="184"/>
      <c r="M1454" s="194"/>
      <c r="N1454" s="194"/>
    </row>
    <row r="1455" spans="2:14" ht="15" customHeight="1">
      <c r="B1455" s="187"/>
      <c r="C1455" s="188"/>
      <c r="D1455" s="142"/>
      <c r="E1455" s="189"/>
      <c r="F1455" s="193"/>
      <c r="G1455" s="197"/>
      <c r="H1455" s="121"/>
      <c r="I1455" s="132"/>
      <c r="J1455" s="179"/>
      <c r="K1455" s="89"/>
      <c r="L1455" s="184"/>
      <c r="M1455" s="194"/>
      <c r="N1455" s="194"/>
    </row>
    <row r="1456" spans="2:14" ht="15" customHeight="1">
      <c r="B1456" s="201"/>
      <c r="C1456" s="202"/>
      <c r="E1456" s="203"/>
      <c r="G1456" s="204"/>
      <c r="H1456" s="178"/>
      <c r="I1456" s="238"/>
      <c r="J1456" s="205"/>
      <c r="K1456" s="89"/>
      <c r="L1456" s="184"/>
      <c r="M1456" s="134"/>
      <c r="N1456" s="134"/>
    </row>
    <row r="1457" spans="2:14" ht="15" customHeight="1">
      <c r="B1457" s="187"/>
      <c r="C1457" s="188"/>
      <c r="D1457" s="142"/>
      <c r="E1457" s="189"/>
      <c r="F1457" s="193"/>
      <c r="G1457" s="188"/>
      <c r="H1457" s="178"/>
      <c r="I1457" s="238"/>
      <c r="J1457" s="183"/>
      <c r="K1457" s="89"/>
      <c r="L1457" s="184"/>
      <c r="M1457" s="194"/>
      <c r="N1457" s="194"/>
    </row>
    <row r="1458" spans="2:14" ht="15" customHeight="1">
      <c r="B1458" s="187"/>
      <c r="C1458" s="188"/>
      <c r="D1458" s="142"/>
      <c r="E1458" s="189"/>
      <c r="F1458" s="193"/>
      <c r="G1458" s="188"/>
      <c r="H1458" s="178"/>
      <c r="I1458" s="238"/>
      <c r="J1458" s="183"/>
      <c r="K1458" s="89"/>
      <c r="L1458" s="184"/>
      <c r="M1458" s="194"/>
      <c r="N1458" s="194"/>
    </row>
    <row r="1459" spans="2:14" ht="15" customHeight="1">
      <c r="B1459" s="187"/>
      <c r="C1459" s="188"/>
      <c r="D1459" s="142"/>
      <c r="E1459" s="189"/>
      <c r="F1459" s="193"/>
      <c r="G1459" s="188"/>
      <c r="H1459" s="178"/>
      <c r="I1459" s="238"/>
      <c r="J1459" s="183"/>
      <c r="K1459" s="89"/>
      <c r="L1459" s="184"/>
      <c r="M1459" s="194"/>
      <c r="N1459" s="194"/>
    </row>
    <row r="1460" spans="2:14" ht="15" customHeight="1">
      <c r="B1460" s="187"/>
      <c r="C1460" s="188"/>
      <c r="D1460" s="142"/>
      <c r="E1460" s="189"/>
      <c r="F1460" s="193"/>
      <c r="G1460" s="188"/>
      <c r="H1460" s="178"/>
      <c r="I1460" s="238"/>
      <c r="J1460" s="183"/>
      <c r="K1460" s="89"/>
      <c r="L1460" s="184"/>
      <c r="M1460" s="194"/>
      <c r="N1460" s="194"/>
    </row>
    <row r="1461" spans="2:14" ht="15" customHeight="1">
      <c r="B1461" s="187"/>
      <c r="C1461" s="188"/>
      <c r="D1461" s="142"/>
      <c r="E1461" s="190"/>
      <c r="F1461" s="193"/>
      <c r="G1461" s="188"/>
      <c r="H1461" s="178"/>
      <c r="I1461" s="238"/>
      <c r="J1461" s="183"/>
      <c r="K1461" s="89"/>
      <c r="L1461" s="184"/>
      <c r="M1461" s="194"/>
      <c r="N1461" s="194"/>
    </row>
    <row r="1462" spans="2:14" ht="15" customHeight="1">
      <c r="B1462" s="187"/>
      <c r="C1462" s="188"/>
      <c r="D1462" s="142"/>
      <c r="E1462" s="190"/>
      <c r="F1462" s="193"/>
      <c r="G1462" s="188"/>
      <c r="H1462" s="178"/>
      <c r="I1462" s="238"/>
      <c r="J1462" s="183"/>
      <c r="K1462" s="89"/>
      <c r="L1462" s="184"/>
      <c r="M1462" s="194"/>
      <c r="N1462" s="194"/>
    </row>
    <row r="1463" spans="2:14" ht="15" customHeight="1">
      <c r="B1463" s="187"/>
      <c r="C1463" s="188"/>
      <c r="D1463" s="142"/>
      <c r="E1463" s="189"/>
      <c r="F1463" s="193"/>
      <c r="G1463" s="188"/>
      <c r="H1463" s="178"/>
      <c r="I1463" s="238"/>
      <c r="J1463" s="183"/>
      <c r="K1463" s="89"/>
      <c r="L1463" s="184"/>
      <c r="M1463" s="194"/>
      <c r="N1463" s="194"/>
    </row>
    <row r="1464" spans="2:14" ht="15" customHeight="1">
      <c r="B1464" s="187"/>
      <c r="C1464" s="188"/>
      <c r="D1464" s="142"/>
      <c r="E1464" s="189"/>
      <c r="F1464" s="193"/>
      <c r="G1464" s="188"/>
      <c r="H1464" s="178"/>
      <c r="I1464" s="238"/>
      <c r="J1464" s="183"/>
      <c r="K1464" s="89"/>
      <c r="L1464" s="184"/>
      <c r="M1464" s="194"/>
      <c r="N1464" s="194"/>
    </row>
    <row r="1465" spans="2:14" ht="15" customHeight="1">
      <c r="B1465" s="187"/>
      <c r="C1465" s="188"/>
      <c r="D1465" s="142"/>
      <c r="E1465" s="190"/>
      <c r="F1465" s="193"/>
      <c r="G1465" s="188"/>
      <c r="H1465" s="178"/>
      <c r="I1465" s="238"/>
      <c r="J1465" s="183"/>
      <c r="K1465" s="89"/>
      <c r="L1465" s="184"/>
      <c r="M1465" s="194"/>
      <c r="N1465" s="194"/>
    </row>
    <row r="1466" spans="2:14" ht="15" customHeight="1">
      <c r="B1466" s="187"/>
      <c r="C1466" s="188"/>
      <c r="D1466" s="142"/>
      <c r="E1466" s="190"/>
      <c r="F1466" s="193"/>
      <c r="G1466" s="188"/>
      <c r="H1466" s="178"/>
      <c r="I1466" s="238"/>
      <c r="J1466" s="183"/>
      <c r="K1466" s="89"/>
      <c r="L1466" s="184"/>
      <c r="M1466" s="194"/>
      <c r="N1466" s="194"/>
    </row>
    <row r="1467" spans="2:14" ht="15" customHeight="1">
      <c r="B1467" s="187"/>
      <c r="C1467" s="188"/>
      <c r="D1467" s="142"/>
      <c r="E1467" s="189"/>
      <c r="F1467" s="193"/>
      <c r="G1467" s="188"/>
      <c r="H1467" s="178"/>
      <c r="I1467" s="238"/>
      <c r="J1467" s="183"/>
      <c r="K1467" s="89"/>
      <c r="L1467" s="184"/>
      <c r="M1467" s="194"/>
      <c r="N1467" s="194"/>
    </row>
    <row r="1468" spans="2:14" ht="15" customHeight="1">
      <c r="B1468" s="187"/>
      <c r="C1468" s="188"/>
      <c r="D1468" s="142"/>
      <c r="E1468" s="189"/>
      <c r="F1468" s="193"/>
      <c r="G1468" s="188"/>
      <c r="H1468" s="178"/>
      <c r="I1468" s="238"/>
      <c r="J1468" s="183"/>
      <c r="K1468" s="89"/>
      <c r="L1468" s="184"/>
      <c r="M1468" s="194"/>
      <c r="N1468" s="194"/>
    </row>
    <row r="1469" spans="2:14" ht="15" customHeight="1">
      <c r="B1469" s="187"/>
      <c r="C1469" s="188"/>
      <c r="D1469" s="142"/>
      <c r="E1469" s="189"/>
      <c r="F1469" s="193"/>
      <c r="G1469" s="188"/>
      <c r="H1469" s="178"/>
      <c r="I1469" s="238"/>
      <c r="J1469" s="209"/>
      <c r="K1469" s="89"/>
      <c r="L1469" s="184"/>
      <c r="M1469" s="194"/>
      <c r="N1469" s="194"/>
    </row>
    <row r="1470" spans="2:14" ht="15" customHeight="1">
      <c r="B1470" s="187"/>
      <c r="C1470" s="188"/>
      <c r="D1470" s="142"/>
      <c r="E1470" s="189"/>
      <c r="F1470" s="193"/>
      <c r="G1470" s="188"/>
      <c r="H1470" s="178"/>
      <c r="I1470" s="238"/>
      <c r="J1470" s="228"/>
      <c r="K1470" s="89"/>
      <c r="L1470" s="184"/>
      <c r="M1470" s="194"/>
      <c r="N1470" s="194"/>
    </row>
    <row r="1471" spans="2:14" ht="15" customHeight="1">
      <c r="B1471" s="187"/>
      <c r="C1471" s="188"/>
      <c r="D1471" s="142"/>
      <c r="E1471" s="189"/>
      <c r="F1471" s="193"/>
      <c r="G1471" s="188"/>
      <c r="H1471" s="178"/>
      <c r="I1471" s="238"/>
      <c r="J1471" s="207"/>
      <c r="K1471" s="89"/>
      <c r="L1471" s="184"/>
      <c r="M1471" s="194"/>
      <c r="N1471" s="194"/>
    </row>
    <row r="1472" spans="2:14" ht="15" customHeight="1">
      <c r="B1472" s="187"/>
      <c r="C1472" s="188"/>
      <c r="D1472" s="142"/>
      <c r="E1472" s="189"/>
      <c r="F1472" s="193"/>
      <c r="G1472" s="188"/>
      <c r="H1472" s="178"/>
      <c r="I1472" s="238"/>
      <c r="K1472" s="89"/>
      <c r="L1472" s="184"/>
      <c r="M1472" s="194"/>
      <c r="N1472" s="194"/>
    </row>
    <row r="1473" spans="2:15" ht="15" customHeight="1">
      <c r="B1473" s="187"/>
      <c r="C1473" s="188"/>
      <c r="D1473" s="142"/>
      <c r="E1473" s="189"/>
      <c r="F1473" s="193"/>
      <c r="G1473" s="188"/>
      <c r="H1473" s="178"/>
      <c r="I1473" s="238"/>
      <c r="J1473" s="179"/>
      <c r="K1473" s="89"/>
      <c r="L1473" s="184"/>
      <c r="M1473" s="194"/>
      <c r="N1473" s="194"/>
    </row>
    <row r="1474" spans="2:15" ht="15" customHeight="1">
      <c r="B1474" s="187"/>
      <c r="C1474" s="188"/>
      <c r="D1474" s="142"/>
      <c r="E1474" s="189"/>
      <c r="F1474" s="193"/>
      <c r="G1474" s="188"/>
      <c r="H1474" s="178"/>
      <c r="I1474" s="238"/>
      <c r="J1474" s="179"/>
      <c r="K1474" s="89"/>
      <c r="L1474" s="184"/>
      <c r="M1474" s="194"/>
      <c r="N1474" s="194"/>
      <c r="O1474" s="76" t="s">
        <v>814</v>
      </c>
    </row>
    <row r="1475" spans="2:15" ht="15" customHeight="1">
      <c r="B1475" s="187"/>
      <c r="C1475" s="188"/>
      <c r="D1475" s="142"/>
      <c r="E1475" s="189"/>
      <c r="F1475" s="193"/>
      <c r="G1475" s="188"/>
      <c r="H1475" s="178"/>
      <c r="I1475" s="238"/>
      <c r="J1475" s="179"/>
      <c r="K1475" s="89"/>
      <c r="L1475" s="184"/>
      <c r="M1475" s="194"/>
      <c r="N1475" s="194"/>
    </row>
    <row r="1476" spans="2:15" ht="15" customHeight="1">
      <c r="B1476" s="187"/>
      <c r="C1476" s="188"/>
      <c r="D1476" s="142"/>
      <c r="E1476" s="189"/>
      <c r="F1476" s="193"/>
      <c r="G1476" s="188"/>
      <c r="H1476" s="178"/>
      <c r="I1476" s="238"/>
      <c r="J1476" s="179"/>
      <c r="K1476" s="89"/>
      <c r="L1476" s="184"/>
      <c r="M1476" s="194"/>
      <c r="N1476" s="194"/>
    </row>
    <row r="1477" spans="2:15" ht="15" customHeight="1">
      <c r="B1477" s="187"/>
      <c r="C1477" s="188"/>
      <c r="D1477" s="142"/>
      <c r="E1477" s="189"/>
      <c r="F1477" s="193"/>
      <c r="G1477" s="188"/>
      <c r="H1477" s="178"/>
      <c r="I1477" s="238"/>
      <c r="J1477" s="179"/>
      <c r="K1477" s="89"/>
      <c r="L1477" s="184"/>
      <c r="M1477" s="194"/>
      <c r="N1477" s="194"/>
    </row>
    <row r="1478" spans="2:15" ht="15" customHeight="1">
      <c r="B1478" s="187"/>
      <c r="C1478" s="188"/>
      <c r="D1478" s="142"/>
      <c r="E1478" s="189"/>
      <c r="F1478" s="193"/>
      <c r="G1478" s="188"/>
      <c r="H1478" s="178"/>
      <c r="I1478" s="238"/>
      <c r="J1478" s="179"/>
      <c r="K1478" s="89"/>
      <c r="L1478" s="184"/>
      <c r="M1478" s="194"/>
      <c r="N1478" s="194"/>
    </row>
    <row r="1479" spans="2:15" ht="15" customHeight="1">
      <c r="B1479" s="187"/>
      <c r="C1479" s="188"/>
      <c r="D1479" s="142"/>
      <c r="E1479" s="189"/>
      <c r="F1479" s="193"/>
      <c r="G1479" s="188"/>
      <c r="H1479" s="178"/>
      <c r="I1479" s="238"/>
      <c r="J1479" s="179"/>
      <c r="K1479" s="89"/>
      <c r="L1479" s="184"/>
      <c r="M1479" s="194"/>
      <c r="N1479" s="194"/>
    </row>
    <row r="1480" spans="2:15" ht="15" customHeight="1">
      <c r="B1480" s="187"/>
      <c r="C1480" s="188"/>
      <c r="D1480" s="142"/>
      <c r="E1480" s="189"/>
      <c r="F1480" s="193"/>
      <c r="G1480" s="188"/>
      <c r="H1480" s="178"/>
      <c r="I1480" s="238"/>
      <c r="J1480" s="179"/>
      <c r="K1480" s="89"/>
      <c r="L1480" s="184"/>
      <c r="M1480" s="194"/>
      <c r="N1480" s="194"/>
    </row>
    <row r="1481" spans="2:15" ht="15" customHeight="1">
      <c r="B1481" s="187"/>
      <c r="C1481" s="188"/>
      <c r="D1481" s="142"/>
      <c r="E1481" s="189"/>
      <c r="F1481" s="193"/>
      <c r="G1481" s="188"/>
      <c r="H1481" s="178"/>
      <c r="I1481" s="238"/>
      <c r="J1481" s="179"/>
      <c r="K1481" s="89"/>
      <c r="L1481" s="184"/>
      <c r="M1481" s="194"/>
      <c r="N1481" s="194"/>
    </row>
    <row r="1482" spans="2:15" ht="15" customHeight="1">
      <c r="B1482" s="187"/>
      <c r="C1482" s="188"/>
      <c r="D1482" s="142"/>
      <c r="E1482" s="189"/>
      <c r="F1482" s="193"/>
      <c r="G1482" s="188"/>
      <c r="H1482" s="178"/>
      <c r="I1482" s="238"/>
      <c r="J1482" s="179"/>
      <c r="K1482" s="89"/>
      <c r="L1482" s="184"/>
      <c r="M1482" s="194"/>
      <c r="N1482" s="194"/>
    </row>
    <row r="1483" spans="2:15" ht="15" customHeight="1">
      <c r="B1483" s="187"/>
      <c r="C1483" s="188"/>
      <c r="D1483" s="142"/>
      <c r="E1483" s="189"/>
      <c r="F1483" s="193"/>
      <c r="G1483" s="188"/>
      <c r="H1483" s="178"/>
      <c r="I1483" s="238"/>
      <c r="J1483" s="179"/>
      <c r="K1483" s="89"/>
      <c r="L1483" s="184"/>
      <c r="M1483" s="194"/>
      <c r="N1483" s="194"/>
    </row>
    <row r="1484" spans="2:15" ht="15" customHeight="1">
      <c r="B1484" s="187"/>
      <c r="C1484" s="188"/>
      <c r="D1484" s="142"/>
      <c r="E1484" s="189"/>
      <c r="F1484" s="193"/>
      <c r="G1484" s="188"/>
      <c r="H1484" s="178"/>
      <c r="I1484" s="238"/>
      <c r="J1484" s="179"/>
      <c r="K1484" s="89"/>
      <c r="L1484" s="184"/>
      <c r="M1484" s="194"/>
      <c r="N1484" s="194"/>
    </row>
    <row r="1485" spans="2:15" ht="15" customHeight="1">
      <c r="B1485" s="187"/>
      <c r="C1485" s="188"/>
      <c r="D1485" s="142"/>
      <c r="E1485" s="189"/>
      <c r="F1485" s="193"/>
      <c r="G1485" s="188"/>
      <c r="H1485" s="178"/>
      <c r="I1485" s="238"/>
      <c r="J1485" s="179"/>
      <c r="K1485" s="89"/>
      <c r="L1485" s="184"/>
      <c r="M1485" s="194"/>
      <c r="N1485" s="194"/>
    </row>
    <row r="1486" spans="2:15" ht="15" customHeight="1">
      <c r="B1486" s="187"/>
      <c r="C1486" s="188"/>
      <c r="D1486" s="142"/>
      <c r="E1486" s="189"/>
      <c r="F1486" s="193"/>
      <c r="G1486" s="188"/>
      <c r="H1486" s="178"/>
      <c r="I1486" s="238"/>
      <c r="J1486" s="179"/>
      <c r="K1486" s="89"/>
      <c r="L1486" s="184"/>
      <c r="M1486" s="194"/>
      <c r="N1486" s="194"/>
    </row>
    <row r="1487" spans="2:15" ht="15" customHeight="1">
      <c r="B1487" s="187"/>
      <c r="C1487" s="188"/>
      <c r="D1487" s="142"/>
      <c r="E1487" s="189"/>
      <c r="F1487" s="193"/>
      <c r="G1487" s="188"/>
      <c r="H1487" s="178"/>
      <c r="I1487" s="238"/>
      <c r="J1487" s="179"/>
      <c r="K1487" s="89"/>
      <c r="L1487" s="184"/>
      <c r="M1487" s="194"/>
      <c r="N1487" s="194"/>
    </row>
    <row r="1488" spans="2:15" ht="15" customHeight="1">
      <c r="B1488" s="187"/>
      <c r="C1488" s="188"/>
      <c r="D1488" s="142"/>
      <c r="E1488" s="189"/>
      <c r="F1488" s="193"/>
      <c r="G1488" s="188"/>
      <c r="H1488" s="178"/>
      <c r="I1488" s="238"/>
      <c r="J1488" s="179"/>
      <c r="K1488" s="89"/>
      <c r="L1488" s="184"/>
      <c r="M1488" s="194"/>
      <c r="N1488" s="194"/>
    </row>
    <row r="1489" spans="2:14" ht="15" customHeight="1">
      <c r="B1489" s="187"/>
      <c r="C1489" s="188"/>
      <c r="D1489" s="142"/>
      <c r="E1489" s="189"/>
      <c r="F1489" s="193"/>
      <c r="G1489" s="188"/>
      <c r="H1489" s="178"/>
      <c r="I1489" s="238"/>
      <c r="J1489" s="179"/>
      <c r="K1489" s="89"/>
      <c r="L1489" s="184"/>
      <c r="M1489" s="194"/>
      <c r="N1489" s="194"/>
    </row>
    <row r="1490" spans="2:14" ht="15" customHeight="1">
      <c r="B1490" s="187"/>
      <c r="C1490" s="188"/>
      <c r="D1490" s="142"/>
      <c r="E1490" s="189"/>
      <c r="F1490" s="193"/>
      <c r="G1490" s="188"/>
      <c r="H1490" s="178"/>
      <c r="I1490" s="238"/>
      <c r="J1490" s="179"/>
      <c r="K1490" s="89"/>
      <c r="L1490" s="184"/>
      <c r="M1490" s="194"/>
      <c r="N1490" s="194"/>
    </row>
    <row r="1491" spans="2:14" ht="15" customHeight="1">
      <c r="B1491" s="187"/>
      <c r="C1491" s="188"/>
      <c r="D1491" s="142"/>
      <c r="E1491" s="189"/>
      <c r="F1491" s="193"/>
      <c r="G1491" s="188"/>
      <c r="H1491" s="178"/>
      <c r="I1491" s="238"/>
      <c r="J1491" s="179"/>
      <c r="K1491" s="89"/>
      <c r="L1491" s="184"/>
      <c r="M1491" s="194"/>
      <c r="N1491" s="194"/>
    </row>
    <row r="1492" spans="2:14" ht="15" customHeight="1">
      <c r="B1492" s="187"/>
      <c r="C1492" s="188"/>
      <c r="D1492" s="142"/>
      <c r="E1492" s="189"/>
      <c r="F1492" s="193"/>
      <c r="G1492" s="188"/>
      <c r="H1492" s="178"/>
      <c r="I1492" s="238"/>
      <c r="J1492" s="179"/>
      <c r="K1492" s="89"/>
      <c r="L1492" s="184"/>
      <c r="M1492" s="194"/>
      <c r="N1492" s="194"/>
    </row>
    <row r="1493" spans="2:14" ht="15" customHeight="1">
      <c r="B1493" s="187"/>
      <c r="C1493" s="188"/>
      <c r="D1493" s="142"/>
      <c r="E1493" s="189"/>
      <c r="F1493" s="193"/>
      <c r="G1493" s="188"/>
      <c r="H1493" s="178"/>
      <c r="I1493" s="238"/>
      <c r="J1493" s="179"/>
      <c r="K1493" s="89"/>
      <c r="L1493" s="184"/>
      <c r="M1493" s="194"/>
      <c r="N1493" s="194"/>
    </row>
    <row r="1494" spans="2:14" ht="15" customHeight="1">
      <c r="B1494" s="187"/>
      <c r="C1494" s="188"/>
      <c r="D1494" s="142"/>
      <c r="E1494" s="189"/>
      <c r="F1494" s="193"/>
      <c r="G1494" s="188"/>
      <c r="H1494" s="178"/>
      <c r="I1494" s="238"/>
      <c r="J1494" s="179"/>
      <c r="K1494" s="89"/>
      <c r="L1494" s="184"/>
      <c r="M1494" s="194"/>
      <c r="N1494" s="194"/>
    </row>
    <row r="1495" spans="2:14" ht="15" customHeight="1">
      <c r="B1495" s="187"/>
      <c r="C1495" s="188"/>
      <c r="D1495" s="142"/>
      <c r="E1495" s="189"/>
      <c r="F1495" s="193"/>
      <c r="G1495" s="188"/>
      <c r="H1495" s="178"/>
      <c r="I1495" s="238"/>
      <c r="J1495" s="179"/>
      <c r="K1495" s="89"/>
      <c r="L1495" s="184"/>
      <c r="M1495" s="194"/>
      <c r="N1495" s="194"/>
    </row>
    <row r="1496" spans="2:14" ht="15" customHeight="1">
      <c r="B1496" s="187"/>
      <c r="C1496" s="188"/>
      <c r="D1496" s="142"/>
      <c r="E1496" s="189"/>
      <c r="F1496" s="193"/>
      <c r="G1496" s="188"/>
      <c r="H1496" s="178"/>
      <c r="I1496" s="238"/>
      <c r="J1496" s="179"/>
      <c r="K1496" s="89"/>
      <c r="L1496" s="184"/>
      <c r="M1496" s="194"/>
      <c r="N1496" s="194"/>
    </row>
    <row r="1497" spans="2:14" ht="15" customHeight="1">
      <c r="B1497" s="187"/>
      <c r="C1497" s="188"/>
      <c r="D1497" s="142"/>
      <c r="E1497" s="189"/>
      <c r="F1497" s="193"/>
      <c r="G1497" s="188"/>
      <c r="H1497" s="178"/>
      <c r="I1497" s="238"/>
      <c r="J1497" s="179"/>
      <c r="K1497" s="89"/>
      <c r="L1497" s="184"/>
      <c r="M1497" s="194"/>
      <c r="N1497" s="194"/>
    </row>
    <row r="1498" spans="2:14" ht="15" customHeight="1">
      <c r="B1498" s="187"/>
      <c r="C1498" s="188"/>
      <c r="D1498" s="142"/>
      <c r="E1498" s="189"/>
      <c r="F1498" s="193"/>
      <c r="G1498" s="188"/>
      <c r="H1498" s="178"/>
      <c r="I1498" s="238"/>
      <c r="J1498" s="179"/>
      <c r="K1498" s="89"/>
      <c r="L1498" s="184"/>
      <c r="M1498" s="194"/>
      <c r="N1498" s="194"/>
    </row>
    <row r="1499" spans="2:14" ht="15" customHeight="1">
      <c r="B1499" s="187"/>
      <c r="C1499" s="188"/>
      <c r="D1499" s="142"/>
      <c r="E1499" s="189"/>
      <c r="F1499" s="193"/>
      <c r="G1499" s="188"/>
      <c r="H1499" s="178"/>
      <c r="I1499" s="238"/>
      <c r="J1499" s="179"/>
      <c r="K1499" s="89"/>
      <c r="L1499" s="184"/>
      <c r="M1499" s="194"/>
      <c r="N1499" s="194"/>
    </row>
    <row r="1500" spans="2:14" ht="15" customHeight="1">
      <c r="B1500" s="187"/>
      <c r="C1500" s="188"/>
      <c r="D1500" s="142"/>
      <c r="E1500" s="189"/>
      <c r="F1500" s="193"/>
      <c r="G1500" s="188"/>
      <c r="H1500" s="178"/>
      <c r="I1500" s="238"/>
      <c r="J1500" s="179"/>
      <c r="K1500" s="89"/>
      <c r="L1500" s="184"/>
      <c r="M1500" s="194"/>
      <c r="N1500" s="194"/>
    </row>
    <row r="1501" spans="2:14" ht="15" customHeight="1">
      <c r="B1501" s="187"/>
      <c r="C1501" s="188"/>
      <c r="D1501" s="142"/>
      <c r="E1501" s="189"/>
      <c r="F1501" s="193"/>
      <c r="G1501" s="188"/>
      <c r="H1501" s="178"/>
      <c r="I1501" s="238"/>
      <c r="J1501" s="179"/>
      <c r="K1501" s="89"/>
      <c r="L1501" s="184"/>
      <c r="M1501" s="194"/>
      <c r="N1501" s="194"/>
    </row>
    <row r="1502" spans="2:14" ht="15" customHeight="1">
      <c r="B1502" s="187"/>
      <c r="C1502" s="188"/>
      <c r="D1502" s="142"/>
      <c r="E1502" s="189"/>
      <c r="F1502" s="193"/>
      <c r="G1502" s="188"/>
      <c r="H1502" s="178"/>
      <c r="I1502" s="238"/>
      <c r="J1502" s="179"/>
      <c r="K1502" s="89"/>
      <c r="L1502" s="184"/>
      <c r="M1502" s="194"/>
      <c r="N1502" s="194"/>
    </row>
    <row r="1503" spans="2:14" ht="15" customHeight="1">
      <c r="B1503" s="187"/>
      <c r="C1503" s="188"/>
      <c r="D1503" s="142"/>
      <c r="E1503" s="189"/>
      <c r="F1503" s="193"/>
      <c r="G1503" s="188"/>
      <c r="H1503" s="178"/>
      <c r="I1503" s="238"/>
      <c r="J1503" s="179"/>
      <c r="K1503" s="89"/>
      <c r="L1503" s="184"/>
      <c r="M1503" s="194"/>
      <c r="N1503" s="194"/>
    </row>
    <row r="1504" spans="2:14" ht="15" customHeight="1">
      <c r="B1504" s="187"/>
      <c r="C1504" s="188"/>
      <c r="D1504" s="142"/>
      <c r="E1504" s="189"/>
      <c r="F1504" s="193"/>
      <c r="G1504" s="188"/>
      <c r="H1504" s="178"/>
      <c r="I1504" s="238"/>
      <c r="J1504" s="179"/>
      <c r="K1504" s="89"/>
      <c r="L1504" s="184"/>
      <c r="M1504" s="194"/>
      <c r="N1504" s="194"/>
    </row>
    <row r="1505" spans="2:14" ht="15" customHeight="1">
      <c r="B1505" s="187"/>
      <c r="C1505" s="188"/>
      <c r="D1505" s="142"/>
      <c r="E1505" s="189"/>
      <c r="F1505" s="193"/>
      <c r="G1505" s="188"/>
      <c r="H1505" s="178"/>
      <c r="I1505" s="238"/>
      <c r="J1505" s="179"/>
      <c r="K1505" s="89"/>
      <c r="L1505" s="184"/>
      <c r="M1505" s="194"/>
      <c r="N1505" s="194"/>
    </row>
    <row r="1506" spans="2:14" ht="15" customHeight="1">
      <c r="B1506" s="187"/>
      <c r="C1506" s="188"/>
      <c r="D1506" s="142"/>
      <c r="E1506" s="189"/>
      <c r="F1506" s="193"/>
      <c r="G1506" s="188"/>
      <c r="H1506" s="178"/>
      <c r="I1506" s="238"/>
      <c r="J1506" s="179"/>
      <c r="K1506" s="89"/>
      <c r="L1506" s="184"/>
      <c r="M1506" s="194"/>
      <c r="N1506" s="194"/>
    </row>
    <row r="1507" spans="2:14" ht="15" customHeight="1">
      <c r="B1507" s="187"/>
      <c r="C1507" s="188"/>
      <c r="D1507" s="142"/>
      <c r="E1507" s="189"/>
      <c r="F1507" s="193"/>
      <c r="G1507" s="188"/>
      <c r="H1507" s="178"/>
      <c r="I1507" s="238"/>
      <c r="J1507" s="179"/>
      <c r="K1507" s="89"/>
      <c r="L1507" s="184"/>
      <c r="M1507" s="194"/>
      <c r="N1507" s="194"/>
    </row>
    <row r="1508" spans="2:14" ht="15" customHeight="1">
      <c r="B1508" s="187"/>
      <c r="C1508" s="188"/>
      <c r="D1508" s="142"/>
      <c r="E1508" s="189"/>
      <c r="F1508" s="193"/>
      <c r="G1508" s="188"/>
      <c r="H1508" s="178"/>
      <c r="I1508" s="238"/>
      <c r="J1508" s="179"/>
      <c r="K1508" s="89"/>
      <c r="L1508" s="184"/>
      <c r="M1508" s="194"/>
      <c r="N1508" s="194"/>
    </row>
    <row r="1509" spans="2:14" ht="15" customHeight="1">
      <c r="B1509" s="187"/>
      <c r="C1509" s="188"/>
      <c r="D1509" s="142"/>
      <c r="E1509" s="189"/>
      <c r="F1509" s="193"/>
      <c r="G1509" s="188"/>
      <c r="H1509" s="178"/>
      <c r="I1509" s="238"/>
      <c r="J1509" s="179"/>
      <c r="K1509" s="89"/>
      <c r="L1509" s="184"/>
      <c r="M1509" s="194"/>
      <c r="N1509" s="194"/>
    </row>
    <row r="1510" spans="2:14" ht="15" customHeight="1">
      <c r="B1510" s="187"/>
      <c r="C1510" s="188"/>
      <c r="D1510" s="142"/>
      <c r="E1510" s="189"/>
      <c r="F1510" s="193"/>
      <c r="G1510" s="188"/>
      <c r="H1510" s="178"/>
      <c r="I1510" s="238"/>
      <c r="J1510" s="179"/>
      <c r="K1510" s="89"/>
      <c r="L1510" s="184"/>
      <c r="M1510" s="194"/>
      <c r="N1510" s="194"/>
    </row>
    <row r="1511" spans="2:14" ht="15" customHeight="1">
      <c r="B1511" s="187"/>
      <c r="C1511" s="188"/>
      <c r="D1511" s="142"/>
      <c r="E1511" s="189"/>
      <c r="F1511" s="193"/>
      <c r="G1511" s="188"/>
      <c r="H1511" s="178"/>
      <c r="I1511" s="238"/>
      <c r="J1511" s="179"/>
      <c r="K1511" s="89"/>
      <c r="L1511" s="184"/>
      <c r="M1511" s="194"/>
      <c r="N1511" s="194"/>
    </row>
    <row r="1512" spans="2:14" ht="15" customHeight="1">
      <c r="B1512" s="187"/>
      <c r="C1512" s="188"/>
      <c r="D1512" s="142"/>
      <c r="E1512" s="189"/>
      <c r="F1512" s="193"/>
      <c r="G1512" s="188"/>
      <c r="H1512" s="178"/>
      <c r="I1512" s="238"/>
      <c r="J1512" s="179"/>
      <c r="K1512" s="89"/>
      <c r="L1512" s="184"/>
      <c r="M1512" s="194"/>
      <c r="N1512" s="194"/>
    </row>
    <row r="1513" spans="2:14" ht="15" customHeight="1">
      <c r="B1513" s="187"/>
      <c r="C1513" s="188"/>
      <c r="D1513" s="142"/>
      <c r="E1513" s="189"/>
      <c r="F1513" s="193"/>
      <c r="G1513" s="188"/>
      <c r="H1513" s="178"/>
      <c r="I1513" s="238"/>
      <c r="J1513" s="179"/>
      <c r="K1513" s="89"/>
      <c r="L1513" s="184"/>
      <c r="M1513" s="194"/>
      <c r="N1513" s="194"/>
    </row>
    <row r="1514" spans="2:14" ht="15" customHeight="1">
      <c r="B1514" s="187"/>
      <c r="C1514" s="188"/>
      <c r="D1514" s="142"/>
      <c r="E1514" s="189"/>
      <c r="F1514" s="193"/>
      <c r="G1514" s="188"/>
      <c r="H1514" s="178"/>
      <c r="I1514" s="238"/>
      <c r="J1514" s="179"/>
      <c r="K1514" s="89"/>
      <c r="L1514" s="184"/>
      <c r="M1514" s="194"/>
      <c r="N1514" s="194"/>
    </row>
    <row r="1515" spans="2:14" ht="15" customHeight="1">
      <c r="B1515" s="187"/>
      <c r="C1515" s="188"/>
      <c r="D1515" s="142"/>
      <c r="E1515" s="189"/>
      <c r="F1515" s="193"/>
      <c r="G1515" s="188"/>
      <c r="H1515" s="178"/>
      <c r="I1515" s="238"/>
      <c r="J1515" s="179"/>
      <c r="K1515" s="89"/>
      <c r="L1515" s="184"/>
      <c r="M1515" s="194"/>
      <c r="N1515" s="194"/>
    </row>
    <row r="1516" spans="2:14" ht="15" customHeight="1">
      <c r="B1516" s="187"/>
      <c r="C1516" s="188"/>
      <c r="D1516" s="142"/>
      <c r="E1516" s="189"/>
      <c r="F1516" s="193"/>
      <c r="G1516" s="188"/>
      <c r="H1516" s="178"/>
      <c r="I1516" s="238"/>
      <c r="J1516" s="179"/>
      <c r="K1516" s="89"/>
      <c r="L1516" s="184"/>
      <c r="M1516" s="194"/>
      <c r="N1516" s="194"/>
    </row>
    <row r="1517" spans="2:14" ht="15" customHeight="1">
      <c r="B1517" s="187"/>
      <c r="C1517" s="188"/>
      <c r="D1517" s="142"/>
      <c r="E1517" s="189"/>
      <c r="F1517" s="193"/>
      <c r="G1517" s="188"/>
      <c r="H1517" s="178"/>
      <c r="I1517" s="238"/>
      <c r="J1517" s="179"/>
      <c r="K1517" s="89"/>
      <c r="L1517" s="184"/>
      <c r="M1517" s="194"/>
      <c r="N1517" s="194"/>
    </row>
    <row r="1518" spans="2:14" ht="15" customHeight="1">
      <c r="B1518" s="187"/>
      <c r="C1518" s="188"/>
      <c r="D1518" s="142"/>
      <c r="E1518" s="189"/>
      <c r="F1518" s="193"/>
      <c r="G1518" s="188"/>
      <c r="H1518" s="178"/>
      <c r="I1518" s="238"/>
      <c r="J1518" s="179"/>
      <c r="K1518" s="89"/>
      <c r="L1518" s="184"/>
      <c r="M1518" s="194"/>
      <c r="N1518" s="194"/>
    </row>
    <row r="1519" spans="2:14" ht="15" customHeight="1">
      <c r="B1519" s="187"/>
      <c r="C1519" s="188"/>
      <c r="D1519" s="142"/>
      <c r="E1519" s="189"/>
      <c r="F1519" s="193"/>
      <c r="G1519" s="188"/>
      <c r="H1519" s="178"/>
      <c r="I1519" s="238"/>
      <c r="J1519" s="179"/>
      <c r="K1519" s="89"/>
      <c r="L1519" s="184"/>
      <c r="M1519" s="194"/>
      <c r="N1519" s="194"/>
    </row>
    <row r="1520" spans="2:14" ht="15" customHeight="1">
      <c r="B1520" s="187"/>
      <c r="C1520" s="188"/>
      <c r="D1520" s="142"/>
      <c r="E1520" s="189"/>
      <c r="F1520" s="193"/>
      <c r="G1520" s="188"/>
      <c r="H1520" s="178"/>
      <c r="I1520" s="238"/>
      <c r="J1520" s="179"/>
      <c r="K1520" s="89"/>
      <c r="L1520" s="184"/>
      <c r="M1520" s="194"/>
      <c r="N1520" s="194"/>
    </row>
    <row r="1521" spans="2:14" ht="15" customHeight="1">
      <c r="B1521" s="187"/>
      <c r="C1521" s="188"/>
      <c r="D1521" s="142"/>
      <c r="E1521" s="189"/>
      <c r="F1521" s="193"/>
      <c r="G1521" s="188"/>
      <c r="H1521" s="178"/>
      <c r="I1521" s="238"/>
      <c r="J1521" s="179"/>
      <c r="K1521" s="89"/>
      <c r="L1521" s="184"/>
      <c r="M1521" s="194"/>
      <c r="N1521" s="194"/>
    </row>
    <row r="1522" spans="2:14" ht="15" customHeight="1">
      <c r="B1522" s="187"/>
      <c r="C1522" s="188"/>
      <c r="D1522" s="142"/>
      <c r="E1522" s="189"/>
      <c r="F1522" s="193"/>
      <c r="G1522" s="188"/>
      <c r="H1522" s="178"/>
      <c r="I1522" s="238"/>
      <c r="J1522" s="179"/>
      <c r="K1522" s="89"/>
      <c r="L1522" s="184"/>
      <c r="M1522" s="194"/>
      <c r="N1522" s="194"/>
    </row>
    <row r="1523" spans="2:14" ht="15" customHeight="1">
      <c r="B1523" s="187"/>
      <c r="C1523" s="188"/>
      <c r="D1523" s="142"/>
      <c r="E1523" s="189"/>
      <c r="F1523" s="193"/>
      <c r="G1523" s="188"/>
      <c r="H1523" s="178"/>
      <c r="I1523" s="238"/>
      <c r="J1523" s="179"/>
      <c r="K1523" s="89"/>
      <c r="L1523" s="184"/>
      <c r="M1523" s="194"/>
      <c r="N1523" s="194"/>
    </row>
    <row r="1524" spans="2:14" ht="15" customHeight="1">
      <c r="B1524" s="187"/>
      <c r="C1524" s="188"/>
      <c r="D1524" s="142"/>
      <c r="E1524" s="189"/>
      <c r="F1524" s="193"/>
      <c r="G1524" s="188"/>
      <c r="H1524" s="178"/>
      <c r="I1524" s="238"/>
      <c r="J1524" s="179"/>
      <c r="K1524" s="89"/>
      <c r="L1524" s="184"/>
      <c r="M1524" s="194"/>
      <c r="N1524" s="194"/>
    </row>
    <row r="1525" spans="2:14" ht="15" customHeight="1">
      <c r="B1525" s="187"/>
      <c r="C1525" s="188"/>
      <c r="D1525" s="142"/>
      <c r="E1525" s="189"/>
      <c r="F1525" s="193"/>
      <c r="G1525" s="188"/>
      <c r="H1525" s="178"/>
      <c r="I1525" s="238"/>
      <c r="J1525" s="179"/>
      <c r="K1525" s="89"/>
      <c r="L1525" s="184"/>
      <c r="M1525" s="194"/>
      <c r="N1525" s="194"/>
    </row>
    <row r="1526" spans="2:14" ht="15" customHeight="1">
      <c r="B1526" s="187"/>
      <c r="C1526" s="188"/>
      <c r="D1526" s="142"/>
      <c r="E1526" s="189"/>
      <c r="F1526" s="193"/>
      <c r="G1526" s="188"/>
      <c r="H1526" s="178"/>
      <c r="I1526" s="238"/>
      <c r="J1526" s="179"/>
      <c r="K1526" s="89"/>
      <c r="L1526" s="184"/>
      <c r="M1526" s="194"/>
      <c r="N1526" s="194"/>
    </row>
    <row r="1527" spans="2:14" ht="15" customHeight="1">
      <c r="B1527" s="187"/>
      <c r="C1527" s="188"/>
      <c r="D1527" s="142"/>
      <c r="E1527" s="189"/>
      <c r="F1527" s="193"/>
      <c r="G1527" s="188"/>
      <c r="H1527" s="178"/>
      <c r="I1527" s="238"/>
      <c r="J1527" s="179"/>
      <c r="K1527" s="89"/>
      <c r="L1527" s="184"/>
      <c r="M1527" s="194"/>
      <c r="N1527" s="194"/>
    </row>
    <row r="1528" spans="2:14" ht="15" customHeight="1">
      <c r="B1528" s="187"/>
      <c r="C1528" s="188"/>
      <c r="D1528" s="142"/>
      <c r="E1528" s="189"/>
      <c r="F1528" s="193"/>
      <c r="G1528" s="188"/>
      <c r="H1528" s="178"/>
      <c r="I1528" s="238"/>
      <c r="J1528" s="179"/>
      <c r="K1528" s="89"/>
      <c r="L1528" s="184"/>
      <c r="M1528" s="194"/>
      <c r="N1528" s="194"/>
    </row>
    <row r="1529" spans="2:14" ht="15" customHeight="1">
      <c r="B1529" s="187"/>
      <c r="C1529" s="188"/>
      <c r="D1529" s="142"/>
      <c r="E1529" s="189"/>
      <c r="F1529" s="193"/>
      <c r="G1529" s="188"/>
      <c r="H1529" s="178"/>
      <c r="I1529" s="238"/>
      <c r="J1529" s="179"/>
      <c r="K1529" s="89"/>
      <c r="L1529" s="184"/>
      <c r="M1529" s="194"/>
      <c r="N1529" s="194"/>
    </row>
    <row r="1530" spans="2:14" ht="15" customHeight="1">
      <c r="B1530" s="187"/>
      <c r="C1530" s="188"/>
      <c r="D1530" s="142"/>
      <c r="E1530" s="189"/>
      <c r="F1530" s="193"/>
      <c r="G1530" s="188"/>
      <c r="H1530" s="178"/>
      <c r="I1530" s="238"/>
      <c r="J1530" s="179"/>
      <c r="K1530" s="89"/>
      <c r="L1530" s="184"/>
      <c r="M1530" s="194"/>
      <c r="N1530" s="194"/>
    </row>
    <row r="1531" spans="2:14" ht="15" customHeight="1">
      <c r="B1531" s="187"/>
      <c r="C1531" s="188"/>
      <c r="D1531" s="142"/>
      <c r="E1531" s="189"/>
      <c r="F1531" s="193"/>
      <c r="G1531" s="188"/>
      <c r="H1531" s="178"/>
      <c r="I1531" s="238"/>
      <c r="J1531" s="179"/>
      <c r="K1531" s="89"/>
      <c r="L1531" s="184"/>
      <c r="M1531" s="194"/>
      <c r="N1531" s="194"/>
    </row>
    <row r="1532" spans="2:14" ht="15" customHeight="1">
      <c r="B1532" s="187"/>
      <c r="C1532" s="188"/>
      <c r="D1532" s="142"/>
      <c r="E1532" s="189"/>
      <c r="F1532" s="193"/>
      <c r="G1532" s="188"/>
      <c r="H1532" s="178"/>
      <c r="I1532" s="238"/>
      <c r="J1532" s="179"/>
      <c r="K1532" s="89"/>
      <c r="L1532" s="184"/>
      <c r="M1532" s="194"/>
      <c r="N1532" s="194"/>
    </row>
    <row r="1533" spans="2:14" ht="15" customHeight="1">
      <c r="B1533" s="187"/>
      <c r="C1533" s="188"/>
      <c r="D1533" s="142"/>
      <c r="E1533" s="189"/>
      <c r="F1533" s="193"/>
      <c r="G1533" s="188"/>
      <c r="H1533" s="178"/>
      <c r="I1533" s="238"/>
      <c r="J1533" s="179"/>
      <c r="K1533" s="89"/>
      <c r="L1533" s="184"/>
      <c r="M1533" s="194"/>
      <c r="N1533" s="194"/>
    </row>
    <row r="1534" spans="2:14" ht="15" customHeight="1">
      <c r="B1534" s="187"/>
      <c r="C1534" s="188"/>
      <c r="D1534" s="142"/>
      <c r="E1534" s="189"/>
      <c r="F1534" s="193"/>
      <c r="G1534" s="188"/>
      <c r="H1534" s="178"/>
      <c r="I1534" s="238"/>
      <c r="J1534" s="179"/>
      <c r="K1534" s="89"/>
      <c r="L1534" s="184"/>
      <c r="M1534" s="194"/>
      <c r="N1534" s="194"/>
    </row>
    <row r="1535" spans="2:14" ht="15" customHeight="1">
      <c r="B1535" s="187"/>
      <c r="C1535" s="188"/>
      <c r="D1535" s="142"/>
      <c r="E1535" s="189"/>
      <c r="F1535" s="193"/>
      <c r="G1535" s="188"/>
      <c r="H1535" s="178"/>
      <c r="I1535" s="238"/>
      <c r="J1535" s="179"/>
      <c r="K1535" s="89"/>
      <c r="L1535" s="184"/>
      <c r="M1535" s="194"/>
      <c r="N1535" s="194"/>
    </row>
    <row r="1536" spans="2:14" ht="15" customHeight="1">
      <c r="B1536" s="187"/>
      <c r="C1536" s="188"/>
      <c r="D1536" s="142"/>
      <c r="E1536" s="189"/>
      <c r="F1536" s="193"/>
      <c r="G1536" s="188"/>
      <c r="H1536" s="178"/>
      <c r="I1536" s="238"/>
      <c r="J1536" s="179"/>
      <c r="K1536" s="89"/>
      <c r="L1536" s="184"/>
      <c r="M1536" s="194"/>
      <c r="N1536" s="194"/>
    </row>
    <row r="1537" spans="2:14" ht="15" customHeight="1">
      <c r="B1537" s="187"/>
      <c r="C1537" s="188"/>
      <c r="D1537" s="142"/>
      <c r="E1537" s="189"/>
      <c r="F1537" s="193"/>
      <c r="G1537" s="188"/>
      <c r="H1537" s="178"/>
      <c r="I1537" s="238"/>
      <c r="J1537" s="179"/>
      <c r="K1537" s="89"/>
      <c r="L1537" s="184"/>
      <c r="M1537" s="194"/>
      <c r="N1537" s="194"/>
    </row>
    <row r="1538" spans="2:14" ht="15" customHeight="1">
      <c r="B1538" s="187"/>
      <c r="C1538" s="188"/>
      <c r="D1538" s="142"/>
      <c r="E1538" s="189"/>
      <c r="F1538" s="193"/>
      <c r="G1538" s="188"/>
      <c r="H1538" s="178"/>
      <c r="I1538" s="238"/>
      <c r="J1538" s="179"/>
      <c r="K1538" s="89"/>
      <c r="L1538" s="184"/>
      <c r="M1538" s="194"/>
      <c r="N1538" s="194"/>
    </row>
    <row r="1539" spans="2:14" ht="15" customHeight="1">
      <c r="B1539" s="187"/>
      <c r="C1539" s="188"/>
      <c r="D1539" s="142"/>
      <c r="E1539" s="189"/>
      <c r="F1539" s="193"/>
      <c r="G1539" s="188"/>
      <c r="H1539" s="178"/>
      <c r="I1539" s="238"/>
      <c r="J1539" s="179"/>
      <c r="K1539" s="89"/>
      <c r="L1539" s="184"/>
      <c r="M1539" s="194"/>
      <c r="N1539" s="194"/>
    </row>
    <row r="1540" spans="2:14" ht="15" customHeight="1">
      <c r="B1540" s="187"/>
      <c r="C1540" s="188"/>
      <c r="D1540" s="142"/>
      <c r="E1540" s="189"/>
      <c r="F1540" s="193"/>
      <c r="G1540" s="188"/>
      <c r="H1540" s="178"/>
      <c r="I1540" s="238"/>
      <c r="J1540" s="179"/>
      <c r="K1540" s="89"/>
      <c r="L1540" s="184"/>
      <c r="M1540" s="194"/>
      <c r="N1540" s="194"/>
    </row>
    <row r="1541" spans="2:14" ht="15" customHeight="1">
      <c r="B1541" s="187"/>
      <c r="C1541" s="188"/>
      <c r="D1541" s="142"/>
      <c r="E1541" s="189"/>
      <c r="F1541" s="193"/>
      <c r="G1541" s="188"/>
      <c r="H1541" s="178"/>
      <c r="I1541" s="238"/>
      <c r="J1541" s="179"/>
      <c r="K1541" s="89"/>
      <c r="L1541" s="184"/>
      <c r="M1541" s="194"/>
      <c r="N1541" s="194"/>
    </row>
    <row r="1542" spans="2:14" ht="15" customHeight="1">
      <c r="B1542" s="187"/>
      <c r="C1542" s="188"/>
      <c r="D1542" s="142"/>
      <c r="E1542" s="189"/>
      <c r="F1542" s="193"/>
      <c r="G1542" s="188"/>
      <c r="H1542" s="178"/>
      <c r="I1542" s="238"/>
      <c r="J1542" s="179"/>
      <c r="K1542" s="89"/>
      <c r="L1542" s="184"/>
      <c r="M1542" s="194"/>
      <c r="N1542" s="194"/>
    </row>
    <row r="1543" spans="2:14" ht="15" customHeight="1">
      <c r="B1543" s="187"/>
      <c r="C1543" s="188"/>
      <c r="D1543" s="142"/>
      <c r="E1543" s="189"/>
      <c r="F1543" s="193"/>
      <c r="G1543" s="188"/>
      <c r="H1543" s="178"/>
      <c r="I1543" s="238"/>
      <c r="J1543" s="179"/>
      <c r="K1543" s="89"/>
      <c r="L1543" s="184"/>
      <c r="M1543" s="194"/>
      <c r="N1543" s="194"/>
    </row>
    <row r="1544" spans="2:14" ht="15" customHeight="1">
      <c r="B1544" s="187"/>
      <c r="C1544" s="188"/>
      <c r="D1544" s="142"/>
      <c r="E1544" s="189"/>
      <c r="F1544" s="193"/>
      <c r="G1544" s="188"/>
      <c r="H1544" s="178"/>
      <c r="I1544" s="238"/>
      <c r="J1544" s="179"/>
      <c r="K1544" s="89"/>
      <c r="L1544" s="184"/>
      <c r="M1544" s="194"/>
      <c r="N1544" s="194"/>
    </row>
    <row r="1545" spans="2:14" ht="15" customHeight="1">
      <c r="B1545" s="187"/>
      <c r="C1545" s="188"/>
      <c r="D1545" s="142"/>
      <c r="E1545" s="189"/>
      <c r="F1545" s="193"/>
      <c r="G1545" s="188"/>
      <c r="H1545" s="178"/>
      <c r="I1545" s="238"/>
      <c r="J1545" s="179"/>
      <c r="K1545" s="89"/>
      <c r="L1545" s="184"/>
      <c r="M1545" s="194"/>
      <c r="N1545" s="194"/>
    </row>
    <row r="1546" spans="2:14" ht="15" customHeight="1">
      <c r="B1546" s="187"/>
      <c r="C1546" s="188"/>
      <c r="D1546" s="142"/>
      <c r="E1546" s="189"/>
      <c r="F1546" s="193"/>
      <c r="G1546" s="188"/>
      <c r="H1546" s="178"/>
      <c r="I1546" s="238"/>
      <c r="J1546" s="179"/>
      <c r="K1546" s="89"/>
      <c r="L1546" s="184"/>
      <c r="M1546" s="194"/>
      <c r="N1546" s="194"/>
    </row>
    <row r="1547" spans="2:14" ht="15" customHeight="1">
      <c r="B1547" s="187"/>
      <c r="C1547" s="188"/>
      <c r="D1547" s="142"/>
      <c r="E1547" s="189"/>
      <c r="F1547" s="193"/>
      <c r="G1547" s="188"/>
      <c r="H1547" s="178"/>
      <c r="I1547" s="238"/>
      <c r="J1547" s="179"/>
      <c r="K1547" s="89"/>
      <c r="L1547" s="184"/>
      <c r="M1547" s="194"/>
      <c r="N1547" s="194"/>
    </row>
    <row r="1548" spans="2:14" ht="15" customHeight="1">
      <c r="B1548" s="187"/>
      <c r="C1548" s="188"/>
      <c r="D1548" s="142"/>
      <c r="E1548" s="189"/>
      <c r="F1548" s="193"/>
      <c r="G1548" s="188"/>
      <c r="H1548" s="178"/>
      <c r="I1548" s="238"/>
      <c r="J1548" s="179"/>
      <c r="K1548" s="89"/>
      <c r="L1548" s="184"/>
      <c r="M1548" s="194"/>
      <c r="N1548" s="194"/>
    </row>
    <row r="1549" spans="2:14" ht="15" customHeight="1">
      <c r="B1549" s="187"/>
      <c r="C1549" s="188"/>
      <c r="D1549" s="142"/>
      <c r="E1549" s="189"/>
      <c r="F1549" s="193"/>
      <c r="G1549" s="188"/>
      <c r="H1549" s="178"/>
      <c r="I1549" s="238"/>
      <c r="J1549" s="179"/>
      <c r="K1549" s="89"/>
      <c r="L1549" s="184"/>
      <c r="M1549" s="194"/>
      <c r="N1549" s="194"/>
    </row>
    <row r="1550" spans="2:14" ht="15" customHeight="1">
      <c r="B1550" s="187"/>
      <c r="C1550" s="188"/>
      <c r="D1550" s="142"/>
      <c r="E1550" s="189"/>
      <c r="F1550" s="193"/>
      <c r="G1550" s="188"/>
      <c r="H1550" s="178"/>
      <c r="I1550" s="238"/>
      <c r="J1550" s="179"/>
      <c r="K1550" s="89"/>
      <c r="L1550" s="184"/>
      <c r="M1550" s="194"/>
      <c r="N1550" s="194"/>
    </row>
    <row r="1551" spans="2:14" ht="15" customHeight="1">
      <c r="B1551" s="187"/>
      <c r="C1551" s="188"/>
      <c r="D1551" s="142"/>
      <c r="E1551" s="189"/>
      <c r="F1551" s="193"/>
      <c r="G1551" s="188"/>
      <c r="H1551" s="178"/>
      <c r="I1551" s="238"/>
      <c r="J1551" s="179"/>
      <c r="K1551" s="89"/>
      <c r="L1551" s="184"/>
      <c r="M1551" s="194"/>
      <c r="N1551" s="194"/>
    </row>
    <row r="1552" spans="2:14" ht="15" customHeight="1">
      <c r="B1552" s="187"/>
      <c r="C1552" s="188"/>
      <c r="D1552" s="142"/>
      <c r="E1552" s="189"/>
      <c r="F1552" s="193"/>
      <c r="G1552" s="188"/>
      <c r="H1552" s="178"/>
      <c r="I1552" s="238"/>
      <c r="J1552" s="205"/>
      <c r="K1552" s="89"/>
      <c r="L1552" s="184"/>
      <c r="M1552" s="194"/>
      <c r="N1552" s="194"/>
    </row>
    <row r="1553" spans="2:14" ht="15" customHeight="1">
      <c r="B1553" s="187"/>
      <c r="C1553" s="188"/>
      <c r="D1553" s="142"/>
      <c r="E1553" s="189"/>
      <c r="F1553" s="193"/>
      <c r="G1553" s="188"/>
      <c r="H1553" s="178"/>
      <c r="I1553" s="238"/>
      <c r="J1553" s="179"/>
      <c r="K1553" s="89"/>
      <c r="L1553" s="184"/>
      <c r="M1553" s="194"/>
      <c r="N1553" s="194"/>
    </row>
    <row r="1554" spans="2:14" ht="15" customHeight="1">
      <c r="B1554" s="187"/>
      <c r="C1554" s="188"/>
      <c r="D1554" s="142"/>
      <c r="E1554" s="189"/>
      <c r="F1554" s="193"/>
      <c r="G1554" s="188"/>
      <c r="H1554" s="178"/>
      <c r="I1554" s="238"/>
      <c r="J1554" s="207"/>
      <c r="K1554" s="89"/>
      <c r="L1554" s="184"/>
      <c r="M1554" s="194"/>
      <c r="N1554" s="194"/>
    </row>
    <row r="1555" spans="2:14" ht="15" customHeight="1">
      <c r="B1555" s="187"/>
      <c r="C1555" s="188"/>
      <c r="D1555" s="142"/>
      <c r="E1555" s="189"/>
      <c r="F1555" s="193"/>
      <c r="G1555" s="188"/>
      <c r="H1555" s="178"/>
      <c r="I1555" s="238"/>
      <c r="J1555" s="179"/>
      <c r="K1555" s="89"/>
      <c r="L1555" s="184"/>
      <c r="M1555" s="194"/>
      <c r="N1555" s="194"/>
    </row>
    <row r="1556" spans="2:14" ht="15" customHeight="1">
      <c r="B1556" s="187"/>
      <c r="C1556" s="188"/>
      <c r="D1556" s="142"/>
      <c r="E1556" s="189"/>
      <c r="F1556" s="193"/>
      <c r="G1556" s="188"/>
      <c r="H1556" s="178"/>
      <c r="I1556" s="238"/>
      <c r="J1556" s="207"/>
      <c r="K1556" s="89"/>
      <c r="L1556" s="184"/>
      <c r="M1556" s="194"/>
      <c r="N1556" s="194"/>
    </row>
    <row r="1557" spans="2:14" ht="15" customHeight="1">
      <c r="B1557" s="187"/>
      <c r="C1557" s="188"/>
      <c r="D1557" s="142"/>
      <c r="E1557" s="189"/>
      <c r="F1557" s="193"/>
      <c r="G1557" s="188"/>
      <c r="H1557" s="178"/>
      <c r="I1557" s="238"/>
      <c r="J1557" s="179"/>
      <c r="K1557" s="89"/>
      <c r="L1557" s="184"/>
      <c r="M1557" s="194"/>
      <c r="N1557" s="194"/>
    </row>
    <row r="1558" spans="2:14" ht="15" customHeight="1">
      <c r="B1558" s="187"/>
      <c r="C1558" s="188"/>
      <c r="D1558" s="142"/>
      <c r="E1558" s="189"/>
      <c r="F1558" s="193"/>
      <c r="G1558" s="188"/>
      <c r="H1558" s="178"/>
      <c r="I1558" s="238"/>
      <c r="J1558" s="207"/>
      <c r="K1558" s="89"/>
      <c r="L1558" s="184"/>
      <c r="M1558" s="194"/>
      <c r="N1558" s="194"/>
    </row>
    <row r="1559" spans="2:14" ht="15" customHeight="1">
      <c r="B1559" s="187"/>
      <c r="C1559" s="188"/>
      <c r="D1559" s="142"/>
      <c r="E1559" s="189"/>
      <c r="F1559" s="193"/>
      <c r="G1559" s="188"/>
      <c r="H1559" s="178"/>
      <c r="I1559" s="238"/>
      <c r="J1559" s="179"/>
      <c r="K1559" s="89"/>
      <c r="L1559" s="184"/>
      <c r="M1559" s="194"/>
      <c r="N1559" s="194"/>
    </row>
    <row r="1560" spans="2:14" ht="15" customHeight="1">
      <c r="B1560" s="187"/>
      <c r="C1560" s="188"/>
      <c r="D1560" s="142"/>
      <c r="E1560" s="189"/>
      <c r="F1560" s="193"/>
      <c r="G1560" s="188"/>
      <c r="H1560" s="178"/>
      <c r="I1560" s="238"/>
      <c r="J1560" s="207"/>
      <c r="K1560" s="89"/>
      <c r="L1560" s="184"/>
      <c r="M1560" s="194"/>
      <c r="N1560" s="194"/>
    </row>
    <row r="1561" spans="2:14" ht="15" customHeight="1">
      <c r="B1561" s="187"/>
      <c r="C1561" s="188"/>
      <c r="D1561" s="142"/>
      <c r="E1561" s="189"/>
      <c r="F1561" s="193"/>
      <c r="G1561" s="188"/>
      <c r="H1561" s="178"/>
      <c r="I1561" s="238"/>
      <c r="J1561" s="179"/>
      <c r="K1561" s="89"/>
      <c r="L1561" s="184"/>
      <c r="M1561" s="194"/>
      <c r="N1561" s="194"/>
    </row>
    <row r="1562" spans="2:14" ht="15" customHeight="1">
      <c r="B1562" s="187"/>
      <c r="C1562" s="188"/>
      <c r="D1562" s="142"/>
      <c r="E1562" s="189"/>
      <c r="F1562" s="193"/>
      <c r="G1562" s="188"/>
      <c r="H1562" s="178"/>
      <c r="I1562" s="238"/>
      <c r="J1562" s="207"/>
      <c r="K1562" s="89"/>
      <c r="L1562" s="184"/>
      <c r="M1562" s="194"/>
      <c r="N1562" s="194"/>
    </row>
    <row r="1563" spans="2:14" ht="15" customHeight="1">
      <c r="B1563" s="187"/>
      <c r="C1563" s="188"/>
      <c r="D1563" s="142"/>
      <c r="E1563" s="189"/>
      <c r="F1563" s="193"/>
      <c r="G1563" s="188"/>
      <c r="H1563" s="178"/>
      <c r="I1563" s="238"/>
      <c r="J1563" s="179"/>
      <c r="K1563" s="89"/>
      <c r="L1563" s="184"/>
      <c r="M1563" s="194"/>
      <c r="N1563" s="194"/>
    </row>
    <row r="1564" spans="2:14" ht="15" customHeight="1">
      <c r="B1564" s="187"/>
      <c r="C1564" s="188"/>
      <c r="D1564" s="142"/>
      <c r="E1564" s="189"/>
      <c r="F1564" s="193"/>
      <c r="G1564" s="188"/>
      <c r="H1564" s="178"/>
      <c r="I1564" s="238"/>
      <c r="J1564" s="207"/>
      <c r="K1564" s="89"/>
      <c r="L1564" s="184"/>
      <c r="M1564" s="194"/>
      <c r="N1564" s="194"/>
    </row>
    <row r="1565" spans="2:14" ht="15" customHeight="1">
      <c r="B1565" s="187"/>
      <c r="C1565" s="188"/>
      <c r="D1565" s="142"/>
      <c r="E1565" s="189"/>
      <c r="F1565" s="193"/>
      <c r="G1565" s="188"/>
      <c r="H1565" s="178"/>
      <c r="I1565" s="238"/>
      <c r="J1565" s="179"/>
      <c r="K1565" s="89"/>
      <c r="L1565" s="184"/>
      <c r="M1565" s="194"/>
      <c r="N1565" s="194"/>
    </row>
    <row r="1566" spans="2:14" ht="15" customHeight="1">
      <c r="B1566" s="187"/>
      <c r="C1566" s="188"/>
      <c r="D1566" s="142"/>
      <c r="E1566" s="189"/>
      <c r="F1566" s="193"/>
      <c r="G1566" s="188"/>
      <c r="H1566" s="178"/>
      <c r="I1566" s="238"/>
      <c r="J1566" s="207"/>
      <c r="K1566" s="89"/>
      <c r="L1566" s="184"/>
      <c r="M1566" s="194"/>
      <c r="N1566" s="194"/>
    </row>
    <row r="1567" spans="2:14" ht="15" customHeight="1">
      <c r="B1567" s="187"/>
      <c r="C1567" s="188"/>
      <c r="D1567" s="142"/>
      <c r="E1567" s="189"/>
      <c r="F1567" s="193"/>
      <c r="G1567" s="188"/>
      <c r="H1567" s="178"/>
      <c r="I1567" s="238"/>
      <c r="J1567" s="179"/>
      <c r="K1567" s="89"/>
      <c r="L1567" s="184"/>
      <c r="M1567" s="194"/>
      <c r="N1567" s="194"/>
    </row>
    <row r="1568" spans="2:14" ht="15" customHeight="1">
      <c r="B1568" s="187"/>
      <c r="C1568" s="188"/>
      <c r="D1568" s="142"/>
      <c r="E1568" s="189"/>
      <c r="F1568" s="193"/>
      <c r="G1568" s="188"/>
      <c r="H1568" s="178"/>
      <c r="I1568" s="238"/>
      <c r="J1568" s="207"/>
      <c r="K1568" s="89"/>
      <c r="L1568" s="184"/>
      <c r="M1568" s="194"/>
      <c r="N1568" s="194"/>
    </row>
    <row r="1569" spans="2:25" ht="15" customHeight="1">
      <c r="B1569" s="187"/>
      <c r="C1569" s="188"/>
      <c r="D1569" s="142"/>
      <c r="E1569" s="189"/>
      <c r="F1569" s="193"/>
      <c r="G1569" s="188"/>
      <c r="H1569" s="178"/>
      <c r="I1569" s="238"/>
      <c r="J1569" s="179"/>
      <c r="K1569" s="89"/>
      <c r="L1569" s="184"/>
      <c r="M1569" s="194"/>
      <c r="N1569" s="194"/>
    </row>
    <row r="1570" spans="2:25" ht="15" customHeight="1">
      <c r="B1570" s="187"/>
      <c r="C1570" s="188"/>
      <c r="D1570" s="142"/>
      <c r="E1570" s="189"/>
      <c r="F1570" s="193"/>
      <c r="G1570" s="188"/>
      <c r="H1570" s="178"/>
      <c r="I1570" s="238"/>
      <c r="J1570" s="207"/>
      <c r="K1570" s="89"/>
      <c r="L1570" s="184"/>
      <c r="M1570" s="194"/>
      <c r="N1570" s="194"/>
    </row>
    <row r="1571" spans="2:25" ht="15" customHeight="1">
      <c r="B1571" s="187"/>
      <c r="C1571" s="188"/>
      <c r="D1571" s="142"/>
      <c r="E1571" s="189"/>
      <c r="F1571" s="193"/>
      <c r="G1571" s="188"/>
      <c r="H1571" s="178"/>
      <c r="I1571" s="238"/>
      <c r="J1571" s="179"/>
      <c r="K1571" s="89"/>
      <c r="L1571" s="184"/>
      <c r="M1571" s="194"/>
      <c r="N1571" s="194"/>
    </row>
    <row r="1572" spans="2:25" ht="15" customHeight="1">
      <c r="B1572" s="187"/>
      <c r="C1572" s="188"/>
      <c r="D1572" s="142"/>
      <c r="E1572" s="189"/>
      <c r="F1572" s="193"/>
      <c r="G1572" s="188"/>
      <c r="H1572" s="178"/>
      <c r="I1572" s="238"/>
      <c r="J1572" s="207"/>
      <c r="K1572" s="89"/>
      <c r="L1572" s="184"/>
      <c r="M1572" s="194"/>
      <c r="N1572" s="194"/>
    </row>
    <row r="1573" spans="2:25" ht="15" customHeight="1">
      <c r="B1573" s="187"/>
      <c r="C1573" s="188"/>
      <c r="D1573" s="142"/>
      <c r="E1573" s="189"/>
      <c r="F1573" s="193"/>
      <c r="G1573" s="188"/>
      <c r="H1573" s="178"/>
      <c r="I1573" s="238"/>
      <c r="J1573" s="179"/>
      <c r="K1573" s="89"/>
      <c r="L1573" s="184"/>
      <c r="M1573" s="194"/>
      <c r="N1573" s="194"/>
    </row>
    <row r="1574" spans="2:25" ht="15" customHeight="1">
      <c r="B1574" s="187"/>
      <c r="C1574" s="188"/>
      <c r="D1574" s="142"/>
      <c r="E1574" s="189"/>
      <c r="F1574" s="193"/>
      <c r="G1574" s="188"/>
      <c r="H1574" s="178"/>
      <c r="I1574" s="238"/>
      <c r="J1574" s="207"/>
      <c r="K1574" s="89"/>
      <c r="L1574" s="184"/>
      <c r="M1574" s="194"/>
      <c r="N1574" s="194"/>
    </row>
    <row r="1575" spans="2:25" ht="15" customHeight="1">
      <c r="B1575" s="187"/>
      <c r="C1575" s="188"/>
      <c r="D1575" s="142"/>
      <c r="E1575" s="189"/>
      <c r="F1575" s="193"/>
      <c r="G1575" s="188"/>
      <c r="H1575" s="178"/>
      <c r="I1575" s="238"/>
      <c r="J1575" s="179"/>
      <c r="K1575" s="89"/>
      <c r="L1575" s="184"/>
      <c r="M1575" s="194"/>
      <c r="N1575" s="194"/>
    </row>
    <row r="1576" spans="2:25" ht="15" customHeight="1">
      <c r="B1576" s="213"/>
      <c r="C1576" s="214"/>
      <c r="D1576" s="215"/>
      <c r="E1576" s="216"/>
      <c r="F1576" s="217"/>
      <c r="G1576" s="214"/>
      <c r="H1576" s="178"/>
      <c r="I1576" s="238"/>
      <c r="J1576" s="218"/>
      <c r="K1576" s="89"/>
      <c r="L1576" s="184"/>
      <c r="M1576" s="219"/>
      <c r="N1576" s="219"/>
    </row>
    <row r="1577" spans="2:25" ht="15" customHeight="1">
      <c r="B1577" s="187"/>
      <c r="C1577" s="214"/>
      <c r="D1577" s="215"/>
      <c r="E1577" s="216"/>
      <c r="F1577" s="217"/>
      <c r="G1577" s="214"/>
      <c r="H1577" s="178"/>
      <c r="I1577" s="238"/>
      <c r="J1577" s="179"/>
      <c r="K1577" s="89"/>
      <c r="L1577" s="184"/>
      <c r="M1577" s="219"/>
      <c r="N1577" s="219"/>
    </row>
    <row r="1578" spans="2:25" ht="15" customHeight="1">
      <c r="B1578" s="187"/>
      <c r="C1578" s="214"/>
      <c r="D1578" s="215"/>
      <c r="E1578" s="216"/>
      <c r="F1578" s="217"/>
      <c r="G1578" s="214"/>
      <c r="H1578" s="178"/>
      <c r="I1578" s="238"/>
      <c r="J1578" s="218"/>
      <c r="K1578" s="89"/>
      <c r="L1578" s="184"/>
      <c r="M1578" s="219"/>
      <c r="N1578" s="219"/>
    </row>
    <row r="1579" spans="2:25" ht="15" customHeight="1">
      <c r="B1579" s="187"/>
      <c r="C1579" s="188"/>
      <c r="D1579" s="142"/>
      <c r="E1579" s="189"/>
      <c r="F1579" s="193"/>
      <c r="G1579" s="188"/>
      <c r="H1579" s="121"/>
      <c r="I1579" s="132"/>
      <c r="J1579" s="211"/>
      <c r="K1579" s="89"/>
      <c r="L1579" s="184"/>
      <c r="M1579" s="194"/>
      <c r="N1579" s="194"/>
      <c r="O1579" s="199"/>
      <c r="P1579" s="212"/>
      <c r="Q1579" s="207"/>
      <c r="R1579" s="207"/>
      <c r="S1579" s="207"/>
      <c r="T1579" s="207"/>
      <c r="U1579" s="207"/>
      <c r="V1579" s="207"/>
      <c r="W1579" s="207"/>
      <c r="X1579" s="207"/>
      <c r="Y1579" s="207"/>
    </row>
    <row r="1580" spans="2:25" ht="15" customHeight="1">
      <c r="B1580" s="187"/>
      <c r="C1580" s="188"/>
      <c r="D1580" s="142"/>
      <c r="E1580" s="189"/>
      <c r="F1580" s="193"/>
      <c r="G1580" s="188"/>
      <c r="H1580" s="121"/>
      <c r="I1580" s="132"/>
      <c r="J1580" s="211"/>
      <c r="K1580" s="89"/>
      <c r="L1580" s="184"/>
      <c r="M1580" s="194"/>
      <c r="N1580" s="194"/>
      <c r="O1580" s="199"/>
      <c r="P1580" s="212"/>
      <c r="Q1580" s="207"/>
      <c r="R1580" s="207"/>
      <c r="S1580" s="207"/>
      <c r="T1580" s="207"/>
      <c r="U1580" s="207"/>
      <c r="V1580" s="207"/>
      <c r="W1580" s="207"/>
      <c r="X1580" s="207"/>
      <c r="Y1580" s="207"/>
    </row>
    <row r="1581" spans="2:25" ht="15" customHeight="1">
      <c r="B1581" s="187"/>
      <c r="C1581" s="188"/>
      <c r="D1581" s="142"/>
      <c r="E1581" s="189"/>
      <c r="F1581" s="193"/>
      <c r="G1581" s="188"/>
      <c r="H1581" s="121"/>
      <c r="I1581" s="132"/>
      <c r="J1581" s="211"/>
      <c r="K1581" s="89"/>
      <c r="L1581" s="184"/>
      <c r="M1581" s="194"/>
      <c r="N1581" s="194"/>
      <c r="O1581" s="199"/>
      <c r="P1581" s="212"/>
      <c r="Q1581" s="207"/>
      <c r="R1581" s="207"/>
      <c r="S1581" s="207"/>
      <c r="T1581" s="207"/>
      <c r="U1581" s="207"/>
      <c r="V1581" s="207"/>
      <c r="W1581" s="207"/>
      <c r="X1581" s="207"/>
      <c r="Y1581" s="207"/>
    </row>
    <row r="1582" spans="2:25" ht="15" customHeight="1">
      <c r="B1582" s="187"/>
      <c r="C1582" s="188"/>
      <c r="D1582" s="142"/>
      <c r="E1582" s="189"/>
      <c r="F1582" s="193"/>
      <c r="G1582" s="188"/>
      <c r="H1582" s="121"/>
      <c r="I1582" s="132"/>
      <c r="J1582" s="211"/>
      <c r="K1582" s="89"/>
      <c r="L1582" s="184"/>
      <c r="M1582" s="194"/>
      <c r="N1582" s="194"/>
      <c r="O1582" s="199"/>
      <c r="P1582" s="212"/>
      <c r="Q1582" s="207"/>
      <c r="R1582" s="207"/>
      <c r="S1582" s="207"/>
      <c r="T1582" s="207"/>
      <c r="U1582" s="207"/>
      <c r="V1582" s="207"/>
      <c r="W1582" s="207"/>
      <c r="X1582" s="207"/>
      <c r="Y1582" s="207"/>
    </row>
    <row r="1583" spans="2:25" ht="15" customHeight="1">
      <c r="B1583" s="187"/>
      <c r="C1583" s="188"/>
      <c r="D1583" s="142"/>
      <c r="E1583" s="189"/>
      <c r="F1583" s="193"/>
      <c r="G1583" s="188"/>
      <c r="H1583" s="121"/>
      <c r="I1583" s="132"/>
      <c r="J1583" s="211"/>
      <c r="K1583" s="89"/>
      <c r="L1583" s="184"/>
      <c r="M1583" s="194"/>
      <c r="N1583" s="194"/>
      <c r="O1583" s="199"/>
      <c r="P1583" s="212"/>
      <c r="Q1583" s="207"/>
      <c r="R1583" s="207"/>
      <c r="S1583" s="207"/>
      <c r="T1583" s="207"/>
      <c r="U1583" s="207"/>
      <c r="V1583" s="207"/>
      <c r="W1583" s="207"/>
      <c r="X1583" s="207"/>
      <c r="Y1583" s="207"/>
    </row>
    <row r="1584" spans="2:25" ht="15" customHeight="1">
      <c r="B1584" s="187"/>
      <c r="C1584" s="188"/>
      <c r="D1584" s="142"/>
      <c r="E1584" s="189"/>
      <c r="F1584" s="193"/>
      <c r="G1584" s="188"/>
      <c r="H1584" s="121"/>
      <c r="I1584" s="132"/>
      <c r="J1584" s="211"/>
      <c r="K1584" s="89"/>
      <c r="L1584" s="184"/>
      <c r="M1584" s="194"/>
      <c r="N1584" s="194"/>
      <c r="O1584" s="199"/>
      <c r="P1584" s="212"/>
      <c r="Q1584" s="207"/>
      <c r="R1584" s="207"/>
      <c r="S1584" s="207"/>
      <c r="T1584" s="207"/>
      <c r="U1584" s="207"/>
      <c r="V1584" s="207"/>
      <c r="W1584" s="207"/>
      <c r="X1584" s="207"/>
      <c r="Y1584" s="207"/>
    </row>
    <row r="1585" spans="2:25" ht="15" customHeight="1">
      <c r="B1585" s="187"/>
      <c r="C1585" s="188"/>
      <c r="D1585" s="142"/>
      <c r="E1585" s="189"/>
      <c r="F1585" s="193"/>
      <c r="G1585" s="188"/>
      <c r="H1585" s="121"/>
      <c r="I1585" s="132"/>
      <c r="J1585" s="211"/>
      <c r="K1585" s="89"/>
      <c r="L1585" s="184"/>
      <c r="M1585" s="194"/>
      <c r="N1585" s="194"/>
      <c r="O1585" s="199"/>
      <c r="P1585" s="212"/>
      <c r="Q1585" s="207"/>
      <c r="R1585" s="207"/>
      <c r="S1585" s="207"/>
      <c r="T1585" s="207"/>
      <c r="U1585" s="207"/>
      <c r="V1585" s="207"/>
      <c r="W1585" s="207"/>
      <c r="X1585" s="207"/>
      <c r="Y1585" s="207"/>
    </row>
    <row r="1586" spans="2:25" ht="15" customHeight="1">
      <c r="B1586" s="187"/>
      <c r="C1586" s="188"/>
      <c r="D1586" s="142"/>
      <c r="E1586" s="189"/>
      <c r="F1586" s="193"/>
      <c r="G1586" s="188"/>
      <c r="H1586" s="121"/>
      <c r="I1586" s="132"/>
      <c r="J1586" s="211"/>
      <c r="K1586" s="89"/>
      <c r="L1586" s="184"/>
      <c r="M1586" s="194"/>
      <c r="N1586" s="194"/>
      <c r="O1586" s="199"/>
      <c r="P1586" s="212"/>
      <c r="Q1586" s="207"/>
      <c r="R1586" s="207"/>
      <c r="S1586" s="207"/>
      <c r="T1586" s="207"/>
      <c r="U1586" s="207"/>
      <c r="V1586" s="207"/>
      <c r="W1586" s="207"/>
      <c r="X1586" s="207"/>
      <c r="Y1586" s="207"/>
    </row>
    <row r="1587" spans="2:25" ht="15" customHeight="1">
      <c r="B1587" s="187"/>
      <c r="C1587" s="188"/>
      <c r="D1587" s="142"/>
      <c r="E1587" s="189"/>
      <c r="F1587" s="193"/>
      <c r="G1587" s="188"/>
      <c r="H1587" s="121"/>
      <c r="I1587" s="132"/>
      <c r="J1587" s="211"/>
      <c r="K1587" s="89"/>
      <c r="L1587" s="184"/>
      <c r="M1587" s="194"/>
      <c r="N1587" s="194"/>
      <c r="O1587" s="199"/>
      <c r="P1587" s="212"/>
      <c r="Q1587" s="207"/>
      <c r="R1587" s="207"/>
      <c r="S1587" s="207"/>
      <c r="T1587" s="207"/>
      <c r="U1587" s="207"/>
      <c r="V1587" s="207"/>
      <c r="W1587" s="207"/>
      <c r="X1587" s="207"/>
      <c r="Y1587" s="207"/>
    </row>
    <row r="1588" spans="2:25" ht="15" customHeight="1">
      <c r="B1588" s="187"/>
      <c r="C1588" s="188"/>
      <c r="D1588" s="142"/>
      <c r="E1588" s="189"/>
      <c r="F1588" s="193"/>
      <c r="G1588" s="188"/>
      <c r="H1588" s="121"/>
      <c r="I1588" s="132"/>
      <c r="J1588" s="211"/>
      <c r="K1588" s="89"/>
      <c r="L1588" s="184"/>
      <c r="M1588" s="194"/>
      <c r="N1588" s="194"/>
      <c r="O1588" s="199"/>
      <c r="P1588" s="212"/>
      <c r="Q1588" s="207"/>
      <c r="R1588" s="207"/>
      <c r="S1588" s="207"/>
      <c r="T1588" s="207"/>
      <c r="U1588" s="207"/>
      <c r="V1588" s="207"/>
      <c r="W1588" s="207"/>
      <c r="X1588" s="207"/>
      <c r="Y1588" s="207"/>
    </row>
    <row r="1589" spans="2:25" ht="15" customHeight="1">
      <c r="B1589" s="187"/>
      <c r="C1589" s="188"/>
      <c r="D1589" s="142"/>
      <c r="E1589" s="189"/>
      <c r="F1589" s="193"/>
      <c r="G1589" s="188"/>
      <c r="H1589" s="121"/>
      <c r="I1589" s="132"/>
      <c r="J1589" s="211"/>
      <c r="K1589" s="89"/>
      <c r="L1589" s="184"/>
      <c r="M1589" s="194"/>
      <c r="N1589" s="194"/>
      <c r="O1589" s="199"/>
      <c r="P1589" s="212"/>
      <c r="Q1589" s="207"/>
      <c r="R1589" s="207"/>
      <c r="S1589" s="207"/>
      <c r="T1589" s="207"/>
      <c r="U1589" s="207"/>
      <c r="V1589" s="207"/>
      <c r="W1589" s="207"/>
      <c r="X1589" s="207"/>
      <c r="Y1589" s="207"/>
    </row>
    <row r="1590" spans="2:25" ht="15" customHeight="1">
      <c r="B1590" s="187"/>
      <c r="C1590" s="188"/>
      <c r="D1590" s="142"/>
      <c r="E1590" s="189"/>
      <c r="F1590" s="193"/>
      <c r="G1590" s="188"/>
      <c r="H1590" s="121"/>
      <c r="I1590" s="132"/>
      <c r="J1590" s="211"/>
      <c r="K1590" s="89"/>
      <c r="L1590" s="184"/>
      <c r="M1590" s="194"/>
      <c r="N1590" s="194"/>
      <c r="O1590" s="199"/>
      <c r="P1590" s="212"/>
      <c r="Q1590" s="207"/>
      <c r="R1590" s="207"/>
      <c r="S1590" s="207"/>
      <c r="T1590" s="207"/>
      <c r="U1590" s="207"/>
      <c r="V1590" s="207"/>
      <c r="W1590" s="207"/>
      <c r="X1590" s="207"/>
      <c r="Y1590" s="207"/>
    </row>
    <row r="1591" spans="2:25" ht="15" customHeight="1">
      <c r="B1591" s="187"/>
      <c r="C1591" s="188"/>
      <c r="D1591" s="142"/>
      <c r="E1591" s="189"/>
      <c r="F1591" s="193"/>
      <c r="G1591" s="188"/>
      <c r="H1591" s="121"/>
      <c r="I1591" s="132"/>
      <c r="J1591" s="211"/>
      <c r="K1591" s="89"/>
      <c r="L1591" s="184"/>
      <c r="M1591" s="194"/>
      <c r="N1591" s="194"/>
      <c r="O1591" s="199"/>
      <c r="P1591" s="212"/>
      <c r="Q1591" s="207"/>
      <c r="R1591" s="207"/>
      <c r="S1591" s="207"/>
      <c r="T1591" s="207"/>
      <c r="U1591" s="207"/>
      <c r="V1591" s="207"/>
      <c r="W1591" s="207"/>
      <c r="X1591" s="207"/>
      <c r="Y1591" s="207"/>
    </row>
    <row r="1592" spans="2:25" ht="15" customHeight="1">
      <c r="B1592" s="187"/>
      <c r="C1592" s="188"/>
      <c r="D1592" s="142"/>
      <c r="E1592" s="189"/>
      <c r="F1592" s="193"/>
      <c r="G1592" s="188"/>
      <c r="H1592" s="121"/>
      <c r="I1592" s="132"/>
      <c r="J1592" s="211"/>
      <c r="K1592" s="89"/>
      <c r="L1592" s="184"/>
      <c r="M1592" s="194"/>
      <c r="N1592" s="194"/>
      <c r="O1592" s="199"/>
      <c r="P1592" s="212"/>
      <c r="Q1592" s="207"/>
      <c r="R1592" s="207"/>
      <c r="S1592" s="207"/>
      <c r="T1592" s="207"/>
      <c r="U1592" s="207"/>
      <c r="V1592" s="207"/>
      <c r="W1592" s="207"/>
      <c r="X1592" s="207"/>
      <c r="Y1592" s="207"/>
    </row>
    <row r="1593" spans="2:25" ht="15" customHeight="1">
      <c r="B1593" s="187"/>
      <c r="C1593" s="188"/>
      <c r="D1593" s="142"/>
      <c r="E1593" s="189"/>
      <c r="F1593" s="193"/>
      <c r="G1593" s="188"/>
      <c r="H1593" s="121"/>
      <c r="I1593" s="132"/>
      <c r="J1593" s="211"/>
      <c r="K1593" s="89"/>
      <c r="L1593" s="184"/>
      <c r="M1593" s="194"/>
      <c r="N1593" s="194"/>
      <c r="O1593" s="199"/>
      <c r="P1593" s="212"/>
      <c r="Q1593" s="207"/>
      <c r="R1593" s="207"/>
      <c r="S1593" s="207"/>
      <c r="T1593" s="207"/>
      <c r="U1593" s="207"/>
      <c r="V1593" s="207"/>
      <c r="W1593" s="207"/>
      <c r="X1593" s="207"/>
      <c r="Y1593" s="207"/>
    </row>
    <row r="1594" spans="2:25" ht="15" customHeight="1">
      <c r="B1594" s="187"/>
      <c r="C1594" s="188"/>
      <c r="D1594" s="142"/>
      <c r="E1594" s="189"/>
      <c r="F1594" s="193"/>
      <c r="G1594" s="188"/>
      <c r="H1594" s="121"/>
      <c r="I1594" s="132"/>
      <c r="J1594" s="211"/>
      <c r="K1594" s="89"/>
      <c r="L1594" s="184"/>
      <c r="M1594" s="194"/>
      <c r="N1594" s="194"/>
      <c r="O1594" s="199"/>
      <c r="P1594" s="212"/>
      <c r="Q1594" s="207"/>
      <c r="R1594" s="207"/>
      <c r="S1594" s="207"/>
      <c r="T1594" s="207"/>
      <c r="U1594" s="207"/>
      <c r="V1594" s="207"/>
      <c r="W1594" s="207"/>
      <c r="X1594" s="207"/>
      <c r="Y1594" s="207"/>
    </row>
    <row r="1595" spans="2:25" ht="15" customHeight="1">
      <c r="B1595" s="187"/>
      <c r="C1595" s="188"/>
      <c r="D1595" s="142"/>
      <c r="E1595" s="189"/>
      <c r="F1595" s="193"/>
      <c r="G1595" s="188"/>
      <c r="H1595" s="121"/>
      <c r="I1595" s="132"/>
      <c r="J1595" s="211"/>
      <c r="K1595" s="89"/>
      <c r="L1595" s="184"/>
      <c r="M1595" s="194"/>
      <c r="N1595" s="194"/>
      <c r="O1595" s="199"/>
      <c r="P1595" s="212"/>
      <c r="Q1595" s="207"/>
      <c r="R1595" s="207"/>
      <c r="S1595" s="207"/>
      <c r="T1595" s="207"/>
      <c r="U1595" s="207"/>
      <c r="V1595" s="207"/>
      <c r="W1595" s="207"/>
      <c r="X1595" s="207"/>
      <c r="Y1595" s="207"/>
    </row>
    <row r="1596" spans="2:25" ht="15" customHeight="1">
      <c r="B1596" s="187"/>
      <c r="C1596" s="188"/>
      <c r="D1596" s="142"/>
      <c r="E1596" s="189"/>
      <c r="F1596" s="193"/>
      <c r="G1596" s="188"/>
      <c r="H1596" s="121"/>
      <c r="I1596" s="132"/>
      <c r="J1596" s="211"/>
      <c r="K1596" s="89"/>
      <c r="L1596" s="184"/>
      <c r="M1596" s="194"/>
      <c r="N1596" s="194"/>
      <c r="O1596" s="199"/>
      <c r="P1596" s="212"/>
      <c r="Q1596" s="207"/>
      <c r="R1596" s="207"/>
      <c r="S1596" s="207"/>
      <c r="T1596" s="207"/>
      <c r="U1596" s="207"/>
      <c r="V1596" s="207"/>
      <c r="W1596" s="207"/>
      <c r="X1596" s="207"/>
      <c r="Y1596" s="207"/>
    </row>
    <row r="1597" spans="2:25" ht="15" customHeight="1">
      <c r="B1597" s="187"/>
      <c r="C1597" s="188"/>
      <c r="D1597" s="142"/>
      <c r="E1597" s="189"/>
      <c r="F1597" s="193"/>
      <c r="G1597" s="188"/>
      <c r="H1597" s="121"/>
      <c r="I1597" s="132"/>
      <c r="J1597" s="211"/>
      <c r="K1597" s="89"/>
      <c r="L1597" s="184"/>
      <c r="M1597" s="194"/>
      <c r="N1597" s="194"/>
      <c r="O1597" s="199"/>
      <c r="P1597" s="212"/>
      <c r="Q1597" s="207"/>
      <c r="R1597" s="207"/>
      <c r="S1597" s="207"/>
      <c r="T1597" s="207"/>
      <c r="U1597" s="207"/>
      <c r="V1597" s="207"/>
      <c r="W1597" s="207"/>
      <c r="X1597" s="207"/>
      <c r="Y1597" s="207"/>
    </row>
    <row r="1598" spans="2:25" ht="15" customHeight="1">
      <c r="B1598" s="187"/>
      <c r="C1598" s="188"/>
      <c r="D1598" s="142"/>
      <c r="E1598" s="189"/>
      <c r="F1598" s="193"/>
      <c r="G1598" s="188"/>
      <c r="H1598" s="121"/>
      <c r="I1598" s="132"/>
      <c r="J1598" s="211"/>
      <c r="K1598" s="89"/>
      <c r="L1598" s="184"/>
      <c r="M1598" s="194"/>
      <c r="N1598" s="194"/>
      <c r="O1598" s="199"/>
      <c r="P1598" s="212"/>
      <c r="Q1598" s="207"/>
      <c r="R1598" s="207"/>
      <c r="S1598" s="207"/>
      <c r="T1598" s="207"/>
      <c r="U1598" s="207"/>
      <c r="V1598" s="207"/>
      <c r="W1598" s="207"/>
      <c r="X1598" s="207"/>
      <c r="Y1598" s="207"/>
    </row>
    <row r="1599" spans="2:25" ht="15" customHeight="1">
      <c r="B1599" s="187"/>
      <c r="C1599" s="188"/>
      <c r="D1599" s="142"/>
      <c r="E1599" s="189"/>
      <c r="F1599" s="193"/>
      <c r="G1599" s="188"/>
      <c r="H1599" s="121"/>
      <c r="I1599" s="132"/>
      <c r="J1599" s="211"/>
      <c r="K1599" s="89"/>
      <c r="L1599" s="184"/>
      <c r="M1599" s="194"/>
      <c r="N1599" s="194"/>
      <c r="O1599" s="199"/>
      <c r="P1599" s="212"/>
      <c r="Q1599" s="207"/>
      <c r="R1599" s="207"/>
      <c r="S1599" s="207"/>
      <c r="T1599" s="207"/>
      <c r="U1599" s="207"/>
      <c r="V1599" s="207"/>
      <c r="W1599" s="207"/>
      <c r="X1599" s="207"/>
      <c r="Y1599" s="207"/>
    </row>
    <row r="1600" spans="2:25" ht="15" customHeight="1">
      <c r="B1600" s="187"/>
      <c r="C1600" s="188"/>
      <c r="D1600" s="142"/>
      <c r="E1600" s="189"/>
      <c r="F1600" s="193"/>
      <c r="G1600" s="188"/>
      <c r="H1600" s="121"/>
      <c r="I1600" s="132"/>
      <c r="J1600" s="211"/>
      <c r="K1600" s="89"/>
      <c r="L1600" s="184"/>
      <c r="M1600" s="194"/>
      <c r="N1600" s="194"/>
      <c r="O1600" s="199"/>
      <c r="P1600" s="212"/>
      <c r="Q1600" s="207"/>
      <c r="R1600" s="207"/>
      <c r="S1600" s="207"/>
      <c r="T1600" s="207"/>
      <c r="U1600" s="207"/>
      <c r="V1600" s="207"/>
      <c r="W1600" s="207"/>
      <c r="X1600" s="207"/>
      <c r="Y1600" s="207"/>
    </row>
    <row r="1601" spans="2:25" ht="15" customHeight="1">
      <c r="B1601" s="187"/>
      <c r="C1601" s="188"/>
      <c r="D1601" s="142"/>
      <c r="E1601" s="203"/>
      <c r="F1601" s="193"/>
      <c r="G1601" s="202"/>
      <c r="H1601" s="178"/>
      <c r="I1601" s="238"/>
      <c r="J1601" s="211"/>
      <c r="K1601" s="89"/>
      <c r="L1601" s="184"/>
      <c r="M1601" s="194"/>
      <c r="N1601" s="194"/>
      <c r="O1601" s="199"/>
      <c r="P1601" s="212"/>
      <c r="Q1601" s="207"/>
      <c r="R1601" s="207"/>
      <c r="S1601" s="207"/>
      <c r="T1601" s="207"/>
      <c r="U1601" s="207"/>
      <c r="V1601" s="207"/>
      <c r="W1601" s="207"/>
      <c r="X1601" s="207"/>
      <c r="Y1601" s="207"/>
    </row>
    <row r="1602" spans="2:25" ht="15" customHeight="1">
      <c r="B1602" s="187"/>
      <c r="C1602" s="188"/>
      <c r="D1602" s="142"/>
      <c r="E1602" s="177"/>
      <c r="F1602" s="193"/>
      <c r="G1602" s="176"/>
      <c r="H1602" s="178"/>
      <c r="I1602" s="238"/>
      <c r="J1602" s="211"/>
      <c r="K1602" s="89"/>
      <c r="L1602" s="184"/>
      <c r="M1602" s="194"/>
      <c r="N1602" s="194"/>
      <c r="O1602" s="199"/>
      <c r="P1602" s="212"/>
      <c r="Q1602" s="207"/>
      <c r="R1602" s="207"/>
      <c r="S1602" s="207"/>
      <c r="T1602" s="207"/>
      <c r="U1602" s="207"/>
      <c r="V1602" s="207"/>
      <c r="W1602" s="207"/>
      <c r="X1602" s="207"/>
      <c r="Y1602" s="207"/>
    </row>
    <row r="1603" spans="2:25" ht="15" customHeight="1">
      <c r="B1603" s="187"/>
      <c r="C1603" s="188"/>
      <c r="D1603" s="142"/>
      <c r="E1603" s="177"/>
      <c r="F1603" s="193"/>
      <c r="G1603" s="176"/>
      <c r="H1603" s="178"/>
      <c r="I1603" s="238"/>
      <c r="J1603" s="211"/>
      <c r="K1603" s="89"/>
      <c r="L1603" s="184"/>
      <c r="M1603" s="194"/>
      <c r="N1603" s="194"/>
      <c r="O1603" s="199"/>
      <c r="P1603" s="212"/>
      <c r="Q1603" s="207"/>
      <c r="R1603" s="207"/>
      <c r="S1603" s="207"/>
      <c r="T1603" s="207"/>
      <c r="U1603" s="207"/>
      <c r="V1603" s="207"/>
      <c r="W1603" s="207"/>
      <c r="X1603" s="207"/>
      <c r="Y1603" s="207"/>
    </row>
    <row r="1604" spans="2:25" ht="15" customHeight="1">
      <c r="B1604" s="187"/>
      <c r="C1604" s="188"/>
      <c r="D1604" s="142"/>
      <c r="E1604" s="177"/>
      <c r="F1604" s="193"/>
      <c r="G1604" s="176"/>
      <c r="H1604" s="178"/>
      <c r="I1604" s="238"/>
      <c r="J1604" s="211"/>
      <c r="K1604" s="89"/>
      <c r="L1604" s="184"/>
      <c r="M1604" s="194"/>
      <c r="N1604" s="194"/>
      <c r="O1604" s="199"/>
      <c r="P1604" s="212"/>
      <c r="Q1604" s="207"/>
      <c r="R1604" s="207"/>
      <c r="S1604" s="207"/>
      <c r="T1604" s="207"/>
      <c r="U1604" s="207"/>
      <c r="V1604" s="207"/>
      <c r="W1604" s="207"/>
      <c r="X1604" s="207"/>
      <c r="Y1604" s="207"/>
    </row>
    <row r="1605" spans="2:25" ht="15" customHeight="1">
      <c r="B1605" s="187"/>
      <c r="C1605" s="188"/>
      <c r="D1605" s="142"/>
      <c r="E1605" s="177"/>
      <c r="F1605" s="193"/>
      <c r="G1605" s="176"/>
      <c r="H1605" s="178"/>
      <c r="I1605" s="238"/>
      <c r="J1605" s="211"/>
      <c r="K1605" s="89"/>
      <c r="L1605" s="184"/>
      <c r="M1605" s="194"/>
      <c r="N1605" s="194"/>
      <c r="O1605" s="199"/>
      <c r="P1605" s="212"/>
      <c r="Q1605" s="207"/>
      <c r="R1605" s="207"/>
      <c r="S1605" s="207"/>
      <c r="T1605" s="207"/>
      <c r="U1605" s="207"/>
      <c r="V1605" s="207"/>
      <c r="W1605" s="207"/>
      <c r="X1605" s="207"/>
      <c r="Y1605" s="207"/>
    </row>
    <row r="1606" spans="2:25" ht="15" customHeight="1">
      <c r="B1606" s="187"/>
      <c r="C1606" s="188"/>
      <c r="D1606" s="142"/>
      <c r="E1606" s="177"/>
      <c r="F1606" s="193"/>
      <c r="G1606" s="176"/>
      <c r="H1606" s="178"/>
      <c r="I1606" s="238"/>
      <c r="J1606" s="211"/>
      <c r="K1606" s="89"/>
      <c r="L1606" s="184"/>
      <c r="M1606" s="194"/>
      <c r="N1606" s="194"/>
      <c r="O1606" s="199"/>
      <c r="P1606" s="212"/>
      <c r="Q1606" s="207"/>
      <c r="R1606" s="207"/>
      <c r="S1606" s="207"/>
      <c r="T1606" s="207"/>
      <c r="U1606" s="207"/>
      <c r="V1606" s="207"/>
      <c r="W1606" s="207"/>
      <c r="X1606" s="207"/>
      <c r="Y1606" s="207"/>
    </row>
    <row r="1607" spans="2:25" ht="15" customHeight="1">
      <c r="B1607" s="187"/>
      <c r="C1607" s="188"/>
      <c r="D1607" s="142"/>
      <c r="E1607" s="177"/>
      <c r="F1607" s="193"/>
      <c r="G1607" s="176"/>
      <c r="H1607" s="178"/>
      <c r="I1607" s="238"/>
      <c r="J1607" s="211"/>
      <c r="K1607" s="89"/>
      <c r="L1607" s="184"/>
      <c r="M1607" s="194"/>
      <c r="N1607" s="194"/>
      <c r="O1607" s="199"/>
      <c r="P1607" s="212"/>
      <c r="Q1607" s="207"/>
      <c r="R1607" s="207"/>
      <c r="S1607" s="207"/>
      <c r="T1607" s="207"/>
      <c r="U1607" s="207"/>
      <c r="V1607" s="207"/>
      <c r="W1607" s="207"/>
      <c r="X1607" s="207"/>
      <c r="Y1607" s="207"/>
    </row>
    <row r="1608" spans="2:25" ht="15" customHeight="1">
      <c r="B1608" s="187"/>
      <c r="C1608" s="188"/>
      <c r="D1608" s="142"/>
      <c r="E1608" s="177"/>
      <c r="F1608" s="193"/>
      <c r="G1608" s="176"/>
      <c r="H1608" s="178"/>
      <c r="I1608" s="238"/>
      <c r="J1608" s="211"/>
      <c r="K1608" s="89"/>
      <c r="L1608" s="184"/>
      <c r="M1608" s="194"/>
      <c r="N1608" s="194"/>
      <c r="O1608" s="199"/>
      <c r="P1608" s="212"/>
      <c r="Q1608" s="207"/>
      <c r="R1608" s="207"/>
      <c r="S1608" s="207"/>
      <c r="T1608" s="207"/>
      <c r="U1608" s="207"/>
      <c r="V1608" s="207"/>
      <c r="W1608" s="207"/>
      <c r="X1608" s="207"/>
      <c r="Y1608" s="207"/>
    </row>
    <row r="1609" spans="2:25" ht="15" customHeight="1">
      <c r="B1609" s="187"/>
      <c r="C1609" s="188"/>
      <c r="D1609" s="142"/>
      <c r="E1609" s="177"/>
      <c r="F1609" s="193"/>
      <c r="G1609" s="176"/>
      <c r="H1609" s="178"/>
      <c r="I1609" s="238"/>
      <c r="J1609" s="211"/>
      <c r="K1609" s="89"/>
      <c r="L1609" s="184"/>
      <c r="M1609" s="194"/>
      <c r="N1609" s="194"/>
      <c r="O1609" s="199"/>
      <c r="P1609" s="212"/>
      <c r="Q1609" s="207"/>
      <c r="R1609" s="207"/>
      <c r="S1609" s="207"/>
      <c r="T1609" s="207"/>
      <c r="U1609" s="207"/>
      <c r="V1609" s="207"/>
      <c r="W1609" s="207"/>
      <c r="X1609" s="207"/>
      <c r="Y1609" s="207"/>
    </row>
    <row r="1610" spans="2:25" ht="15" customHeight="1">
      <c r="B1610" s="187"/>
      <c r="C1610" s="188"/>
      <c r="D1610" s="142"/>
      <c r="E1610" s="177"/>
      <c r="F1610" s="193"/>
      <c r="G1610" s="176"/>
      <c r="H1610" s="178"/>
      <c r="I1610" s="238"/>
      <c r="J1610" s="211"/>
      <c r="K1610" s="89"/>
      <c r="L1610" s="184"/>
      <c r="M1610" s="194"/>
      <c r="N1610" s="194"/>
      <c r="O1610" s="199"/>
      <c r="P1610" s="212"/>
      <c r="Q1610" s="207"/>
      <c r="R1610" s="207"/>
      <c r="S1610" s="207"/>
      <c r="T1610" s="207"/>
      <c r="U1610" s="207"/>
      <c r="V1610" s="207"/>
      <c r="W1610" s="207"/>
      <c r="X1610" s="207"/>
      <c r="Y1610" s="207"/>
    </row>
    <row r="1611" spans="2:25" ht="15" customHeight="1">
      <c r="B1611" s="187"/>
      <c r="C1611" s="188"/>
      <c r="D1611" s="142"/>
      <c r="E1611" s="177"/>
      <c r="F1611" s="193"/>
      <c r="G1611" s="176"/>
      <c r="H1611" s="178"/>
      <c r="I1611" s="238"/>
      <c r="J1611" s="211"/>
      <c r="K1611" s="89"/>
      <c r="L1611" s="184"/>
      <c r="M1611" s="194"/>
      <c r="N1611" s="194"/>
      <c r="O1611" s="199"/>
      <c r="P1611" s="212"/>
      <c r="Q1611" s="207"/>
      <c r="R1611" s="207"/>
      <c r="S1611" s="207"/>
      <c r="T1611" s="207"/>
      <c r="U1611" s="207"/>
      <c r="V1611" s="207"/>
      <c r="W1611" s="207"/>
      <c r="X1611" s="207"/>
      <c r="Y1611" s="207"/>
    </row>
    <row r="1612" spans="2:25" ht="15" customHeight="1">
      <c r="B1612" s="187"/>
      <c r="C1612" s="188"/>
      <c r="D1612" s="142"/>
      <c r="E1612" s="177"/>
      <c r="F1612" s="193"/>
      <c r="G1612" s="176"/>
      <c r="H1612" s="178"/>
      <c r="I1612" s="238"/>
      <c r="J1612" s="211"/>
      <c r="K1612" s="89"/>
      <c r="L1612" s="184"/>
      <c r="M1612" s="194"/>
      <c r="N1612" s="194"/>
      <c r="O1612" s="199"/>
      <c r="P1612" s="212"/>
      <c r="Q1612" s="207"/>
      <c r="R1612" s="207"/>
      <c r="S1612" s="207"/>
      <c r="T1612" s="207"/>
      <c r="U1612" s="207"/>
      <c r="V1612" s="207"/>
      <c r="W1612" s="207"/>
      <c r="X1612" s="207"/>
      <c r="Y1612" s="207"/>
    </row>
    <row r="1613" spans="2:25" ht="15" customHeight="1">
      <c r="B1613" s="187"/>
      <c r="C1613" s="188"/>
      <c r="D1613" s="142"/>
      <c r="E1613" s="177"/>
      <c r="F1613" s="193"/>
      <c r="G1613" s="176"/>
      <c r="H1613" s="178"/>
      <c r="I1613" s="238"/>
      <c r="J1613" s="211"/>
      <c r="K1613" s="89"/>
      <c r="L1613" s="184"/>
      <c r="M1613" s="194"/>
      <c r="N1613" s="194"/>
      <c r="O1613" s="199"/>
      <c r="P1613" s="212"/>
      <c r="Q1613" s="207"/>
      <c r="R1613" s="207"/>
      <c r="S1613" s="207"/>
      <c r="T1613" s="207"/>
      <c r="U1613" s="207"/>
      <c r="V1613" s="207"/>
      <c r="W1613" s="207"/>
      <c r="X1613" s="207"/>
      <c r="Y1613" s="207"/>
    </row>
    <row r="1614" spans="2:25" ht="15" customHeight="1">
      <c r="B1614" s="187"/>
      <c r="C1614" s="188"/>
      <c r="D1614" s="142"/>
      <c r="E1614" s="177"/>
      <c r="F1614" s="193"/>
      <c r="G1614" s="176"/>
      <c r="H1614" s="178"/>
      <c r="I1614" s="238"/>
      <c r="J1614" s="211"/>
      <c r="K1614" s="89"/>
      <c r="L1614" s="184"/>
      <c r="M1614" s="194"/>
      <c r="N1614" s="194"/>
      <c r="O1614" s="199"/>
      <c r="P1614" s="212"/>
      <c r="Q1614" s="207"/>
      <c r="R1614" s="207"/>
      <c r="S1614" s="207"/>
      <c r="T1614" s="207"/>
      <c r="U1614" s="207"/>
      <c r="V1614" s="207"/>
      <c r="W1614" s="207"/>
      <c r="X1614" s="207"/>
      <c r="Y1614" s="207"/>
    </row>
    <row r="1615" spans="2:25" ht="15" customHeight="1">
      <c r="B1615" s="187"/>
      <c r="C1615" s="188"/>
      <c r="D1615" s="142"/>
      <c r="E1615" s="177"/>
      <c r="F1615" s="193"/>
      <c r="G1615" s="176"/>
      <c r="H1615" s="178"/>
      <c r="I1615" s="238"/>
      <c r="J1615" s="211"/>
      <c r="K1615" s="89"/>
      <c r="L1615" s="184"/>
      <c r="M1615" s="194"/>
      <c r="N1615" s="194"/>
      <c r="O1615" s="199"/>
      <c r="P1615" s="212"/>
      <c r="Q1615" s="207"/>
      <c r="R1615" s="207"/>
      <c r="S1615" s="207"/>
      <c r="T1615" s="207"/>
      <c r="U1615" s="207"/>
      <c r="V1615" s="207"/>
      <c r="W1615" s="207"/>
      <c r="X1615" s="207"/>
      <c r="Y1615" s="207"/>
    </row>
    <row r="1616" spans="2:25" ht="15" customHeight="1">
      <c r="B1616" s="187"/>
      <c r="C1616" s="188"/>
      <c r="D1616" s="142"/>
      <c r="E1616" s="177"/>
      <c r="F1616" s="193"/>
      <c r="G1616" s="176"/>
      <c r="H1616" s="178"/>
      <c r="I1616" s="238"/>
      <c r="J1616" s="211"/>
      <c r="K1616" s="89"/>
      <c r="L1616" s="184"/>
      <c r="M1616" s="194"/>
      <c r="N1616" s="194"/>
      <c r="O1616" s="199"/>
      <c r="P1616" s="212"/>
      <c r="Q1616" s="207"/>
      <c r="R1616" s="207"/>
      <c r="S1616" s="207"/>
      <c r="T1616" s="207"/>
      <c r="U1616" s="207"/>
      <c r="V1616" s="207"/>
      <c r="W1616" s="207"/>
      <c r="X1616" s="207"/>
      <c r="Y1616" s="207"/>
    </row>
    <row r="1617" spans="2:25" ht="15" customHeight="1">
      <c r="B1617" s="187"/>
      <c r="C1617" s="188"/>
      <c r="D1617" s="142"/>
      <c r="E1617" s="177"/>
      <c r="F1617" s="193"/>
      <c r="G1617" s="176"/>
      <c r="H1617" s="178"/>
      <c r="I1617" s="238"/>
      <c r="J1617" s="211"/>
      <c r="K1617" s="89"/>
      <c r="L1617" s="184"/>
      <c r="M1617" s="194"/>
      <c r="N1617" s="194"/>
      <c r="O1617" s="199"/>
      <c r="P1617" s="212"/>
      <c r="Q1617" s="207"/>
      <c r="R1617" s="207"/>
      <c r="S1617" s="207"/>
      <c r="T1617" s="207"/>
      <c r="U1617" s="207"/>
      <c r="V1617" s="207"/>
      <c r="W1617" s="207"/>
      <c r="X1617" s="207"/>
      <c r="Y1617" s="207"/>
    </row>
    <row r="1618" spans="2:25" ht="15" customHeight="1">
      <c r="B1618" s="187"/>
      <c r="C1618" s="188"/>
      <c r="D1618" s="142"/>
      <c r="E1618" s="177"/>
      <c r="F1618" s="193"/>
      <c r="G1618" s="176"/>
      <c r="H1618" s="178"/>
      <c r="I1618" s="238"/>
      <c r="J1618" s="211"/>
      <c r="K1618" s="89"/>
      <c r="L1618" s="184"/>
      <c r="M1618" s="194"/>
      <c r="N1618" s="194"/>
      <c r="O1618" s="199"/>
      <c r="P1618" s="212"/>
      <c r="Q1618" s="207"/>
      <c r="R1618" s="207"/>
      <c r="S1618" s="207"/>
      <c r="T1618" s="207"/>
      <c r="U1618" s="207"/>
      <c r="V1618" s="207"/>
      <c r="W1618" s="207"/>
      <c r="X1618" s="207"/>
      <c r="Y1618" s="207"/>
    </row>
    <row r="1619" spans="2:25" ht="15" customHeight="1">
      <c r="B1619" s="187"/>
      <c r="C1619" s="188"/>
      <c r="D1619" s="142"/>
      <c r="E1619" s="177"/>
      <c r="F1619" s="193"/>
      <c r="G1619" s="176"/>
      <c r="H1619" s="178"/>
      <c r="I1619" s="238"/>
      <c r="J1619" s="211"/>
      <c r="K1619" s="89"/>
      <c r="L1619" s="184"/>
      <c r="M1619" s="194"/>
      <c r="N1619" s="194"/>
      <c r="O1619" s="199"/>
      <c r="P1619" s="212"/>
      <c r="Q1619" s="207"/>
      <c r="R1619" s="207"/>
      <c r="S1619" s="207"/>
      <c r="T1619" s="207"/>
      <c r="U1619" s="207"/>
      <c r="V1619" s="207"/>
      <c r="W1619" s="207"/>
      <c r="X1619" s="207"/>
      <c r="Y1619" s="207"/>
    </row>
    <row r="1620" spans="2:25" ht="15" customHeight="1">
      <c r="B1620" s="187"/>
      <c r="C1620" s="188"/>
      <c r="D1620" s="142"/>
      <c r="E1620" s="177"/>
      <c r="F1620" s="193"/>
      <c r="G1620" s="176"/>
      <c r="H1620" s="178"/>
      <c r="I1620" s="238"/>
      <c r="J1620" s="211"/>
      <c r="K1620" s="89"/>
      <c r="L1620" s="184"/>
      <c r="M1620" s="194"/>
      <c r="N1620" s="194"/>
      <c r="O1620" s="199"/>
      <c r="P1620" s="212"/>
      <c r="Q1620" s="207"/>
      <c r="R1620" s="207"/>
      <c r="S1620" s="207"/>
      <c r="T1620" s="207"/>
      <c r="U1620" s="207"/>
      <c r="V1620" s="207"/>
      <c r="W1620" s="207"/>
      <c r="X1620" s="207"/>
      <c r="Y1620" s="207"/>
    </row>
    <row r="1621" spans="2:25" ht="15" customHeight="1">
      <c r="B1621" s="187"/>
      <c r="C1621" s="188"/>
      <c r="D1621" s="142"/>
      <c r="E1621" s="177"/>
      <c r="F1621" s="193"/>
      <c r="G1621" s="176"/>
      <c r="H1621" s="178"/>
      <c r="I1621" s="238"/>
      <c r="J1621" s="211"/>
      <c r="K1621" s="89"/>
      <c r="L1621" s="184"/>
      <c r="M1621" s="194"/>
      <c r="N1621" s="194"/>
      <c r="O1621" s="199"/>
      <c r="P1621" s="212"/>
      <c r="Q1621" s="207"/>
      <c r="R1621" s="207"/>
      <c r="S1621" s="207"/>
      <c r="T1621" s="207"/>
      <c r="U1621" s="207"/>
      <c r="V1621" s="207"/>
      <c r="W1621" s="207"/>
      <c r="X1621" s="207"/>
      <c r="Y1621" s="207"/>
    </row>
    <row r="1622" spans="2:25" ht="15" customHeight="1">
      <c r="B1622" s="187"/>
      <c r="C1622" s="188"/>
      <c r="D1622" s="142"/>
      <c r="E1622" s="177"/>
      <c r="F1622" s="193"/>
      <c r="G1622" s="176"/>
      <c r="H1622" s="178"/>
      <c r="I1622" s="238"/>
      <c r="J1622" s="211"/>
      <c r="K1622" s="89"/>
      <c r="L1622" s="184"/>
      <c r="M1622" s="194"/>
      <c r="N1622" s="194"/>
      <c r="O1622" s="199"/>
      <c r="P1622" s="212"/>
      <c r="Q1622" s="207"/>
      <c r="R1622" s="207"/>
      <c r="S1622" s="207"/>
      <c r="T1622" s="207"/>
      <c r="U1622" s="207"/>
      <c r="V1622" s="207"/>
      <c r="W1622" s="207"/>
      <c r="X1622" s="207"/>
      <c r="Y1622" s="207"/>
    </row>
    <row r="1623" spans="2:25" ht="15" customHeight="1">
      <c r="B1623" s="187"/>
      <c r="C1623" s="188"/>
      <c r="D1623" s="142"/>
      <c r="E1623" s="177"/>
      <c r="F1623" s="193"/>
      <c r="G1623" s="176"/>
      <c r="H1623" s="178"/>
      <c r="I1623" s="238"/>
      <c r="J1623" s="229"/>
      <c r="K1623" s="89"/>
      <c r="L1623" s="184"/>
      <c r="M1623" s="194"/>
      <c r="N1623" s="194"/>
      <c r="O1623" s="199"/>
      <c r="P1623" s="212"/>
      <c r="Q1623" s="207"/>
      <c r="R1623" s="207"/>
      <c r="S1623" s="207"/>
      <c r="T1623" s="207"/>
      <c r="U1623" s="207"/>
      <c r="V1623" s="207"/>
      <c r="W1623" s="207"/>
      <c r="X1623" s="207"/>
      <c r="Y1623" s="207"/>
    </row>
    <row r="1624" spans="2:25" ht="15" customHeight="1">
      <c r="B1624" s="187"/>
      <c r="C1624" s="188"/>
      <c r="D1624" s="142"/>
      <c r="E1624" s="177"/>
      <c r="F1624" s="193"/>
      <c r="G1624" s="176"/>
      <c r="H1624" s="178"/>
      <c r="I1624" s="238"/>
      <c r="J1624" s="229"/>
      <c r="K1624" s="89"/>
      <c r="L1624" s="184"/>
      <c r="M1624" s="194"/>
      <c r="N1624" s="194"/>
      <c r="O1624" s="199"/>
      <c r="P1624" s="212"/>
      <c r="Q1624" s="207"/>
      <c r="R1624" s="207"/>
      <c r="S1624" s="207"/>
      <c r="T1624" s="207"/>
      <c r="U1624" s="207"/>
      <c r="V1624" s="207"/>
      <c r="W1624" s="207"/>
      <c r="X1624" s="207"/>
      <c r="Y1624" s="207"/>
    </row>
    <row r="1625" spans="2:25" ht="15" customHeight="1">
      <c r="B1625" s="187"/>
      <c r="C1625" s="188"/>
      <c r="D1625" s="142"/>
      <c r="E1625" s="177"/>
      <c r="F1625" s="193"/>
      <c r="G1625" s="176"/>
      <c r="H1625" s="178"/>
      <c r="I1625" s="238"/>
      <c r="J1625" s="179"/>
      <c r="K1625" s="89"/>
      <c r="L1625" s="184"/>
      <c r="M1625" s="194"/>
      <c r="N1625" s="194"/>
      <c r="O1625" s="199"/>
      <c r="P1625" s="212"/>
      <c r="Q1625" s="207"/>
      <c r="R1625" s="207"/>
      <c r="S1625" s="207"/>
      <c r="T1625" s="207"/>
      <c r="U1625" s="207"/>
      <c r="V1625" s="207"/>
      <c r="W1625" s="207"/>
      <c r="X1625" s="207"/>
      <c r="Y1625" s="207"/>
    </row>
    <row r="1626" spans="2:25" ht="15" customHeight="1">
      <c r="B1626" s="187"/>
      <c r="C1626" s="188"/>
      <c r="D1626" s="142"/>
      <c r="E1626" s="177"/>
      <c r="F1626" s="193"/>
      <c r="G1626" s="176"/>
      <c r="H1626" s="178"/>
      <c r="I1626" s="238"/>
      <c r="J1626" s="179"/>
      <c r="K1626" s="89"/>
      <c r="L1626" s="184"/>
      <c r="M1626" s="194"/>
      <c r="N1626" s="194"/>
      <c r="O1626" s="191" t="s">
        <v>815</v>
      </c>
      <c r="P1626" s="212"/>
      <c r="Q1626" s="207"/>
      <c r="R1626" s="207"/>
      <c r="S1626" s="207"/>
      <c r="T1626" s="207"/>
      <c r="U1626" s="207"/>
      <c r="V1626" s="207"/>
      <c r="W1626" s="207"/>
      <c r="X1626" s="207"/>
      <c r="Y1626" s="207"/>
    </row>
    <row r="1627" spans="2:25" ht="15" customHeight="1">
      <c r="B1627" s="187"/>
      <c r="C1627" s="188"/>
      <c r="D1627" s="142"/>
      <c r="E1627" s="177"/>
      <c r="F1627" s="193"/>
      <c r="G1627" s="176"/>
      <c r="H1627" s="178"/>
      <c r="I1627" s="238"/>
      <c r="J1627" s="179"/>
      <c r="K1627" s="89"/>
      <c r="L1627" s="184"/>
      <c r="M1627" s="194"/>
      <c r="N1627" s="194"/>
      <c r="O1627" s="199"/>
      <c r="P1627" s="212"/>
      <c r="Q1627" s="207"/>
      <c r="R1627" s="207"/>
      <c r="S1627" s="207"/>
      <c r="T1627" s="207"/>
      <c r="U1627" s="207"/>
      <c r="V1627" s="207"/>
      <c r="W1627" s="207"/>
      <c r="X1627" s="207"/>
      <c r="Y1627" s="207"/>
    </row>
    <row r="1628" spans="2:25" ht="15" customHeight="1">
      <c r="B1628" s="187"/>
      <c r="C1628" s="188"/>
      <c r="D1628" s="142"/>
      <c r="E1628" s="177"/>
      <c r="F1628" s="193"/>
      <c r="G1628" s="176"/>
      <c r="H1628" s="178"/>
      <c r="I1628" s="238"/>
      <c r="J1628" s="179"/>
      <c r="K1628" s="89"/>
      <c r="L1628" s="184"/>
      <c r="M1628" s="194"/>
      <c r="N1628" s="194"/>
      <c r="O1628" s="199"/>
      <c r="P1628" s="212"/>
      <c r="Q1628" s="207"/>
      <c r="R1628" s="207"/>
      <c r="S1628" s="207"/>
      <c r="T1628" s="207"/>
      <c r="U1628" s="207"/>
      <c r="V1628" s="207"/>
      <c r="W1628" s="207"/>
      <c r="X1628" s="207"/>
      <c r="Y1628" s="207"/>
    </row>
    <row r="1629" spans="2:25" ht="15" customHeight="1">
      <c r="B1629" s="187"/>
      <c r="C1629" s="188"/>
      <c r="D1629" s="142"/>
      <c r="E1629" s="177"/>
      <c r="F1629" s="193"/>
      <c r="G1629" s="176"/>
      <c r="H1629" s="178"/>
      <c r="I1629" s="238"/>
      <c r="J1629" s="179"/>
      <c r="K1629" s="89"/>
      <c r="L1629" s="184"/>
      <c r="M1629" s="194"/>
      <c r="N1629" s="194"/>
      <c r="O1629" s="199"/>
      <c r="P1629" s="212"/>
      <c r="Q1629" s="207"/>
      <c r="R1629" s="207"/>
      <c r="S1629" s="207"/>
      <c r="T1629" s="207"/>
      <c r="U1629" s="207"/>
      <c r="V1629" s="207"/>
      <c r="W1629" s="207"/>
      <c r="X1629" s="207"/>
      <c r="Y1629" s="207"/>
    </row>
    <row r="1630" spans="2:25" ht="15" customHeight="1">
      <c r="B1630" s="187"/>
      <c r="C1630" s="188"/>
      <c r="D1630" s="142"/>
      <c r="E1630" s="177"/>
      <c r="F1630" s="193"/>
      <c r="G1630" s="176"/>
      <c r="H1630" s="178"/>
      <c r="I1630" s="238"/>
      <c r="J1630" s="179"/>
      <c r="K1630" s="89"/>
      <c r="L1630" s="184"/>
      <c r="M1630" s="194"/>
      <c r="N1630" s="194"/>
      <c r="O1630" s="199"/>
      <c r="P1630" s="212"/>
      <c r="Q1630" s="207"/>
      <c r="R1630" s="207"/>
      <c r="S1630" s="207"/>
      <c r="T1630" s="207"/>
      <c r="U1630" s="207"/>
      <c r="V1630" s="207"/>
      <c r="W1630" s="207"/>
      <c r="X1630" s="207"/>
      <c r="Y1630" s="207"/>
    </row>
    <row r="1631" spans="2:25" ht="15" customHeight="1">
      <c r="B1631" s="187"/>
      <c r="C1631" s="188"/>
      <c r="D1631" s="142"/>
      <c r="E1631" s="177"/>
      <c r="F1631" s="193"/>
      <c r="G1631" s="176"/>
      <c r="H1631" s="178"/>
      <c r="I1631" s="238"/>
      <c r="J1631" s="179"/>
      <c r="K1631" s="89"/>
      <c r="L1631" s="184"/>
      <c r="M1631" s="194"/>
      <c r="N1631" s="194"/>
      <c r="O1631" s="199"/>
      <c r="P1631" s="212"/>
      <c r="Q1631" s="207"/>
      <c r="R1631" s="207"/>
      <c r="S1631" s="207"/>
      <c r="T1631" s="207"/>
      <c r="U1631" s="207"/>
      <c r="V1631" s="207"/>
      <c r="W1631" s="207"/>
      <c r="X1631" s="207"/>
      <c r="Y1631" s="207"/>
    </row>
    <row r="1632" spans="2:25" ht="15" customHeight="1">
      <c r="B1632" s="187"/>
      <c r="C1632" s="188"/>
      <c r="D1632" s="142"/>
      <c r="E1632" s="177"/>
      <c r="F1632" s="193"/>
      <c r="G1632" s="176"/>
      <c r="H1632" s="178"/>
      <c r="I1632" s="238"/>
      <c r="J1632" s="179"/>
      <c r="K1632" s="89"/>
      <c r="L1632" s="184"/>
      <c r="M1632" s="194"/>
      <c r="N1632" s="194"/>
      <c r="O1632" s="199"/>
      <c r="P1632" s="212"/>
      <c r="Q1632" s="207"/>
      <c r="R1632" s="207"/>
      <c r="S1632" s="207"/>
      <c r="T1632" s="207"/>
      <c r="U1632" s="207"/>
      <c r="V1632" s="207"/>
      <c r="W1632" s="207"/>
      <c r="X1632" s="207"/>
      <c r="Y1632" s="207"/>
    </row>
    <row r="1633" spans="2:25" ht="15" customHeight="1">
      <c r="B1633" s="187"/>
      <c r="C1633" s="188"/>
      <c r="D1633" s="142"/>
      <c r="E1633" s="177"/>
      <c r="F1633" s="193"/>
      <c r="G1633" s="176"/>
      <c r="H1633" s="178"/>
      <c r="I1633" s="238"/>
      <c r="J1633" s="179"/>
      <c r="K1633" s="89"/>
      <c r="L1633" s="184"/>
      <c r="M1633" s="194"/>
      <c r="N1633" s="194"/>
      <c r="O1633" s="199"/>
      <c r="P1633" s="212"/>
      <c r="Q1633" s="207"/>
      <c r="R1633" s="207"/>
      <c r="S1633" s="207"/>
      <c r="T1633" s="207"/>
      <c r="U1633" s="207"/>
      <c r="V1633" s="207"/>
      <c r="W1633" s="207"/>
      <c r="X1633" s="207"/>
      <c r="Y1633" s="207"/>
    </row>
    <row r="1634" spans="2:25" ht="15" customHeight="1">
      <c r="B1634" s="187"/>
      <c r="C1634" s="188"/>
      <c r="D1634" s="142"/>
      <c r="E1634" s="177"/>
      <c r="F1634" s="193"/>
      <c r="G1634" s="176"/>
      <c r="H1634" s="178"/>
      <c r="I1634" s="238"/>
      <c r="J1634" s="179"/>
      <c r="K1634" s="89"/>
      <c r="L1634" s="184"/>
      <c r="M1634" s="194"/>
      <c r="N1634" s="194"/>
      <c r="O1634" s="199"/>
      <c r="P1634" s="212"/>
      <c r="Q1634" s="207"/>
      <c r="R1634" s="207"/>
      <c r="S1634" s="207"/>
      <c r="T1634" s="207"/>
      <c r="U1634" s="207"/>
      <c r="V1634" s="207"/>
      <c r="W1634" s="207"/>
      <c r="X1634" s="207"/>
      <c r="Y1634" s="207"/>
    </row>
    <row r="1635" spans="2:25" ht="15" customHeight="1">
      <c r="B1635" s="187"/>
      <c r="C1635" s="195"/>
      <c r="D1635" s="142"/>
      <c r="E1635" s="177"/>
      <c r="F1635" s="193"/>
      <c r="G1635" s="176"/>
      <c r="H1635" s="178"/>
      <c r="I1635" s="238"/>
      <c r="J1635" s="179"/>
      <c r="K1635" s="89"/>
      <c r="L1635" s="184"/>
      <c r="M1635" s="194"/>
      <c r="N1635" s="194"/>
      <c r="O1635" s="199"/>
      <c r="P1635" s="212"/>
      <c r="Q1635" s="207"/>
      <c r="R1635" s="207"/>
      <c r="S1635" s="207"/>
      <c r="T1635" s="207"/>
      <c r="U1635" s="207"/>
      <c r="V1635" s="207"/>
      <c r="W1635" s="207"/>
      <c r="X1635" s="207"/>
      <c r="Y1635" s="207"/>
    </row>
    <row r="1636" spans="2:25" ht="15" customHeight="1">
      <c r="B1636" s="187"/>
      <c r="C1636" s="195"/>
      <c r="D1636" s="142"/>
      <c r="E1636" s="177"/>
      <c r="F1636" s="193"/>
      <c r="G1636" s="176"/>
      <c r="H1636" s="178"/>
      <c r="I1636" s="238"/>
      <c r="J1636" s="179"/>
      <c r="K1636" s="89"/>
      <c r="L1636" s="184"/>
      <c r="M1636" s="194"/>
      <c r="N1636" s="194"/>
      <c r="O1636" s="199"/>
      <c r="P1636" s="212"/>
      <c r="Q1636" s="207"/>
      <c r="R1636" s="207"/>
      <c r="S1636" s="207"/>
      <c r="T1636" s="207"/>
      <c r="U1636" s="207"/>
      <c r="V1636" s="207"/>
      <c r="W1636" s="207"/>
      <c r="X1636" s="207"/>
      <c r="Y1636" s="207"/>
    </row>
    <row r="1637" spans="2:25" ht="15" customHeight="1">
      <c r="B1637" s="187"/>
      <c r="C1637" s="188"/>
      <c r="D1637" s="142"/>
      <c r="E1637" s="220"/>
      <c r="F1637" s="193"/>
      <c r="G1637" s="176"/>
      <c r="H1637" s="178"/>
      <c r="I1637" s="238"/>
      <c r="J1637" s="179"/>
      <c r="K1637" s="89"/>
      <c r="L1637" s="184"/>
      <c r="M1637" s="194"/>
      <c r="N1637" s="194"/>
      <c r="O1637" s="199"/>
      <c r="P1637" s="212"/>
      <c r="Q1637" s="207"/>
      <c r="R1637" s="207"/>
      <c r="S1637" s="207"/>
      <c r="T1637" s="207"/>
      <c r="U1637" s="207"/>
      <c r="V1637" s="207"/>
      <c r="W1637" s="207"/>
      <c r="X1637" s="207"/>
      <c r="Y1637" s="207"/>
    </row>
    <row r="1638" spans="2:25" ht="15" customHeight="1">
      <c r="B1638" s="187"/>
      <c r="C1638" s="214"/>
      <c r="D1638" s="215"/>
      <c r="E1638" s="230"/>
      <c r="F1638" s="217"/>
      <c r="G1638" s="226"/>
      <c r="H1638" s="178"/>
      <c r="I1638" s="238"/>
      <c r="J1638" s="227"/>
      <c r="K1638" s="89"/>
      <c r="L1638" s="184"/>
      <c r="M1638" s="219"/>
      <c r="N1638" s="219"/>
      <c r="O1638" s="199"/>
      <c r="P1638" s="212"/>
      <c r="Q1638" s="207"/>
      <c r="R1638" s="207"/>
      <c r="S1638" s="207"/>
      <c r="T1638" s="207"/>
      <c r="U1638" s="207"/>
      <c r="V1638" s="207"/>
      <c r="W1638" s="207"/>
      <c r="X1638" s="207"/>
      <c r="Y1638" s="207"/>
    </row>
    <row r="1639" spans="2:25" ht="15" customHeight="1">
      <c r="B1639" s="187"/>
      <c r="C1639" s="214"/>
      <c r="D1639" s="215"/>
      <c r="E1639" s="225"/>
      <c r="F1639" s="217"/>
      <c r="G1639" s="226"/>
      <c r="H1639" s="178"/>
      <c r="I1639" s="238"/>
      <c r="J1639" s="227"/>
      <c r="K1639" s="89"/>
      <c r="L1639" s="184"/>
      <c r="M1639" s="219"/>
      <c r="N1639" s="219"/>
      <c r="O1639" s="199"/>
      <c r="P1639" s="212"/>
      <c r="Q1639" s="207"/>
      <c r="R1639" s="207"/>
      <c r="S1639" s="207"/>
      <c r="T1639" s="207"/>
      <c r="U1639" s="207"/>
      <c r="V1639" s="207"/>
      <c r="W1639" s="207"/>
      <c r="X1639" s="207"/>
      <c r="Y1639" s="207"/>
    </row>
    <row r="1640" spans="2:25" ht="15" customHeight="1">
      <c r="B1640" s="201"/>
      <c r="C1640" s="214"/>
      <c r="D1640" s="215"/>
      <c r="E1640" s="203"/>
      <c r="F1640" s="217"/>
      <c r="G1640" s="202"/>
      <c r="H1640" s="178"/>
      <c r="I1640" s="238"/>
      <c r="J1640" s="205"/>
      <c r="K1640" s="89"/>
      <c r="L1640" s="184"/>
      <c r="M1640" s="219"/>
      <c r="N1640" s="219"/>
    </row>
    <row r="1641" spans="2:25" ht="15" customHeight="1">
      <c r="B1641" s="223"/>
      <c r="C1641" s="188"/>
      <c r="D1641" s="142"/>
      <c r="E1641" s="189"/>
      <c r="F1641" s="193"/>
      <c r="G1641" s="188"/>
      <c r="H1641" s="121"/>
      <c r="I1641" s="132"/>
      <c r="J1641" s="221"/>
      <c r="K1641" s="89"/>
      <c r="L1641" s="184"/>
      <c r="M1641" s="194"/>
      <c r="N1641" s="194"/>
    </row>
    <row r="1642" spans="2:25" ht="15" customHeight="1">
      <c r="B1642" s="223"/>
      <c r="C1642" s="188"/>
      <c r="D1642" s="142"/>
      <c r="E1642" s="189"/>
      <c r="F1642" s="193"/>
      <c r="G1642" s="188"/>
      <c r="H1642" s="121"/>
      <c r="I1642" s="132"/>
      <c r="J1642" s="221"/>
      <c r="K1642" s="89"/>
      <c r="L1642" s="184"/>
      <c r="M1642" s="194"/>
      <c r="N1642" s="194"/>
    </row>
    <row r="1643" spans="2:25" ht="15" customHeight="1">
      <c r="B1643" s="224"/>
      <c r="C1643" s="188"/>
      <c r="D1643" s="142"/>
      <c r="E1643" s="189"/>
      <c r="F1643" s="193"/>
      <c r="G1643" s="188"/>
      <c r="H1643" s="121"/>
      <c r="I1643" s="132"/>
      <c r="J1643" s="221"/>
      <c r="K1643" s="89"/>
      <c r="L1643" s="184"/>
      <c r="M1643" s="194"/>
      <c r="N1643" s="194"/>
    </row>
    <row r="1644" spans="2:25" ht="15" customHeight="1">
      <c r="B1644" s="224"/>
      <c r="C1644" s="188"/>
      <c r="D1644" s="142"/>
      <c r="E1644" s="189"/>
      <c r="F1644" s="193"/>
      <c r="G1644" s="188"/>
      <c r="H1644" s="121"/>
      <c r="I1644" s="132"/>
      <c r="J1644" s="221"/>
      <c r="K1644" s="89"/>
      <c r="L1644" s="184"/>
      <c r="M1644" s="194"/>
      <c r="N1644" s="194"/>
    </row>
    <row r="1645" spans="2:25" ht="15" customHeight="1">
      <c r="B1645" s="224"/>
      <c r="C1645" s="188"/>
      <c r="D1645" s="142"/>
      <c r="E1645" s="189"/>
      <c r="F1645" s="193"/>
      <c r="G1645" s="188"/>
      <c r="H1645" s="121"/>
      <c r="I1645" s="132"/>
      <c r="J1645" s="221"/>
      <c r="K1645" s="89"/>
      <c r="L1645" s="184"/>
      <c r="M1645" s="194"/>
      <c r="N1645" s="194"/>
    </row>
    <row r="1646" spans="2:25" ht="15" customHeight="1">
      <c r="B1646" s="224"/>
      <c r="C1646" s="188"/>
      <c r="D1646" s="142"/>
      <c r="E1646" s="189"/>
      <c r="F1646" s="193"/>
      <c r="G1646" s="188"/>
      <c r="H1646" s="121"/>
      <c r="I1646" s="132"/>
      <c r="J1646" s="221"/>
      <c r="K1646" s="89"/>
      <c r="L1646" s="184"/>
      <c r="M1646" s="194"/>
      <c r="N1646" s="194"/>
    </row>
    <row r="1647" spans="2:25" ht="15" customHeight="1">
      <c r="B1647" s="224"/>
      <c r="C1647" s="188"/>
      <c r="D1647" s="142"/>
      <c r="E1647" s="189"/>
      <c r="F1647" s="193"/>
      <c r="G1647" s="188"/>
      <c r="H1647" s="121"/>
      <c r="I1647" s="132"/>
      <c r="J1647" s="221"/>
      <c r="K1647" s="89"/>
      <c r="L1647" s="184"/>
      <c r="M1647" s="194"/>
      <c r="N1647" s="194"/>
    </row>
    <row r="1648" spans="2:25" ht="15" customHeight="1">
      <c r="B1648" s="224"/>
      <c r="C1648" s="188"/>
      <c r="D1648" s="142"/>
      <c r="E1648" s="189"/>
      <c r="F1648" s="193"/>
      <c r="G1648" s="188"/>
      <c r="H1648" s="121"/>
      <c r="I1648" s="132"/>
      <c r="J1648" s="221"/>
      <c r="K1648" s="89"/>
      <c r="L1648" s="184"/>
      <c r="M1648" s="194"/>
      <c r="N1648" s="194"/>
    </row>
    <row r="1649" spans="2:14" ht="15" customHeight="1">
      <c r="B1649" s="224"/>
      <c r="C1649" s="188"/>
      <c r="D1649" s="142"/>
      <c r="E1649" s="189"/>
      <c r="F1649" s="193"/>
      <c r="G1649" s="188"/>
      <c r="H1649" s="121"/>
      <c r="I1649" s="132"/>
      <c r="J1649" s="221"/>
      <c r="K1649" s="89"/>
      <c r="L1649" s="184"/>
      <c r="M1649" s="194"/>
      <c r="N1649" s="194"/>
    </row>
    <row r="1650" spans="2:14" ht="15" customHeight="1">
      <c r="B1650" s="224"/>
      <c r="C1650" s="188"/>
      <c r="D1650" s="142"/>
      <c r="E1650" s="189"/>
      <c r="F1650" s="193"/>
      <c r="G1650" s="188"/>
      <c r="H1650" s="121"/>
      <c r="I1650" s="132"/>
      <c r="J1650" s="221"/>
      <c r="K1650" s="89"/>
      <c r="L1650" s="184"/>
      <c r="M1650" s="194"/>
      <c r="N1650" s="194"/>
    </row>
    <row r="1651" spans="2:14" ht="15" customHeight="1">
      <c r="B1651" s="224"/>
      <c r="C1651" s="188"/>
      <c r="D1651" s="142"/>
      <c r="E1651" s="189"/>
      <c r="F1651" s="193"/>
      <c r="G1651" s="188"/>
      <c r="H1651" s="121"/>
      <c r="I1651" s="132"/>
      <c r="J1651" s="221"/>
      <c r="K1651" s="89"/>
      <c r="L1651" s="184"/>
      <c r="M1651" s="194"/>
      <c r="N1651" s="194"/>
    </row>
    <row r="1652" spans="2:14" ht="15" customHeight="1">
      <c r="B1652" s="224"/>
      <c r="C1652" s="188"/>
      <c r="D1652" s="142"/>
      <c r="E1652" s="189"/>
      <c r="F1652" s="193"/>
      <c r="G1652" s="188"/>
      <c r="H1652" s="121"/>
      <c r="I1652" s="132"/>
      <c r="J1652" s="221"/>
      <c r="K1652" s="89"/>
      <c r="L1652" s="184"/>
      <c r="M1652" s="194"/>
      <c r="N1652" s="194"/>
    </row>
    <row r="1653" spans="2:14" ht="15" customHeight="1">
      <c r="B1653" s="224"/>
      <c r="C1653" s="188"/>
      <c r="D1653" s="142"/>
      <c r="E1653" s="189"/>
      <c r="F1653" s="193"/>
      <c r="G1653" s="188"/>
      <c r="H1653" s="222"/>
      <c r="I1653" s="239"/>
      <c r="J1653" s="221"/>
      <c r="K1653" s="89"/>
      <c r="L1653" s="184"/>
      <c r="M1653" s="194"/>
      <c r="N1653" s="194"/>
    </row>
    <row r="1654" spans="2:14" ht="15" customHeight="1">
      <c r="B1654" s="224"/>
      <c r="C1654" s="188"/>
      <c r="D1654" s="142"/>
      <c r="E1654" s="189"/>
      <c r="F1654" s="193"/>
      <c r="G1654" s="188"/>
      <c r="H1654" s="222"/>
      <c r="I1654" s="239"/>
      <c r="J1654" s="221"/>
      <c r="K1654" s="89"/>
      <c r="L1654" s="184"/>
      <c r="M1654" s="194"/>
      <c r="N1654" s="194"/>
    </row>
    <row r="1655" spans="2:14" ht="15" customHeight="1">
      <c r="B1655" s="224"/>
      <c r="C1655" s="188"/>
      <c r="D1655" s="142"/>
      <c r="E1655" s="189"/>
      <c r="F1655" s="193"/>
      <c r="G1655" s="188"/>
      <c r="H1655" s="121"/>
      <c r="I1655" s="132"/>
      <c r="J1655" s="221"/>
      <c r="K1655" s="89"/>
      <c r="L1655" s="184"/>
      <c r="M1655" s="194"/>
      <c r="N1655" s="194"/>
    </row>
    <row r="1656" spans="2:14" ht="15" customHeight="1">
      <c r="B1656" s="224"/>
      <c r="C1656" s="188"/>
      <c r="D1656" s="142"/>
      <c r="E1656" s="189"/>
      <c r="F1656" s="193"/>
      <c r="G1656" s="188"/>
      <c r="H1656" s="121"/>
      <c r="I1656" s="132"/>
      <c r="J1656" s="221"/>
      <c r="K1656" s="89"/>
      <c r="L1656" s="184"/>
      <c r="M1656" s="194"/>
      <c r="N1656" s="194"/>
    </row>
    <row r="1657" spans="2:14" ht="15" customHeight="1">
      <c r="B1657" s="224"/>
      <c r="C1657" s="188"/>
      <c r="D1657" s="142"/>
      <c r="E1657" s="189"/>
      <c r="F1657" s="193"/>
      <c r="G1657" s="188"/>
      <c r="H1657" s="121"/>
      <c r="I1657" s="132"/>
      <c r="J1657" s="221"/>
      <c r="K1657" s="89"/>
      <c r="L1657" s="184"/>
      <c r="M1657" s="194"/>
      <c r="N1657" s="194"/>
    </row>
    <row r="1658" spans="2:14" ht="15" customHeight="1">
      <c r="B1658" s="224"/>
      <c r="C1658" s="188"/>
      <c r="D1658" s="142"/>
      <c r="E1658" s="189"/>
      <c r="F1658" s="193"/>
      <c r="G1658" s="188"/>
      <c r="H1658" s="121"/>
      <c r="I1658" s="132"/>
      <c r="J1658" s="221"/>
      <c r="K1658" s="89"/>
      <c r="L1658" s="184"/>
      <c r="M1658" s="194"/>
      <c r="N1658" s="194"/>
    </row>
    <row r="1659" spans="2:14" ht="15" customHeight="1">
      <c r="B1659" s="224"/>
      <c r="C1659" s="188"/>
      <c r="D1659" s="142"/>
      <c r="E1659" s="189"/>
      <c r="F1659" s="193"/>
      <c r="G1659" s="188"/>
      <c r="H1659" s="121"/>
      <c r="I1659" s="132"/>
      <c r="J1659" s="221"/>
      <c r="K1659" s="89"/>
      <c r="L1659" s="184"/>
      <c r="M1659" s="194"/>
      <c r="N1659" s="194"/>
    </row>
    <row r="1660" spans="2:14" ht="15" customHeight="1">
      <c r="B1660" s="224"/>
      <c r="C1660" s="188"/>
      <c r="D1660" s="142"/>
      <c r="E1660" s="189"/>
      <c r="F1660" s="193"/>
      <c r="G1660" s="188"/>
      <c r="H1660" s="121"/>
      <c r="I1660" s="132"/>
      <c r="J1660" s="221"/>
      <c r="K1660" s="89"/>
      <c r="L1660" s="184"/>
      <c r="M1660" s="194"/>
      <c r="N1660" s="194"/>
    </row>
    <row r="1661" spans="2:14" ht="15" customHeight="1">
      <c r="B1661" s="224"/>
      <c r="C1661" s="188"/>
      <c r="D1661" s="142"/>
      <c r="E1661" s="189"/>
      <c r="F1661" s="193"/>
      <c r="G1661" s="188"/>
      <c r="H1661" s="121"/>
      <c r="I1661" s="132"/>
      <c r="J1661" s="221"/>
      <c r="K1661" s="89"/>
      <c r="L1661" s="184"/>
      <c r="M1661" s="194"/>
      <c r="N1661" s="194"/>
    </row>
    <row r="1662" spans="2:14" ht="15" customHeight="1">
      <c r="B1662" s="224"/>
      <c r="C1662" s="188"/>
      <c r="D1662" s="142"/>
      <c r="E1662" s="189"/>
      <c r="F1662" s="193"/>
      <c r="G1662" s="193"/>
      <c r="H1662" s="193"/>
      <c r="I1662" s="206"/>
      <c r="J1662" s="207"/>
      <c r="K1662" s="89"/>
      <c r="L1662" s="184"/>
      <c r="M1662" s="194"/>
      <c r="N1662" s="194"/>
    </row>
    <row r="1663" spans="2:14" ht="15" customHeight="1">
      <c r="B1663" s="224"/>
      <c r="C1663" s="188"/>
      <c r="D1663" s="142"/>
      <c r="E1663" s="189"/>
      <c r="F1663" s="193"/>
      <c r="G1663" s="193"/>
      <c r="H1663" s="193"/>
      <c r="I1663" s="206"/>
      <c r="J1663" s="207"/>
      <c r="K1663" s="89"/>
      <c r="L1663" s="207"/>
      <c r="M1663" s="194"/>
      <c r="N1663" s="194"/>
    </row>
    <row r="1664" spans="2:14" ht="15" customHeight="1">
      <c r="B1664" s="224"/>
      <c r="C1664" s="188"/>
      <c r="D1664" s="142"/>
      <c r="E1664" s="189"/>
      <c r="F1664" s="193"/>
      <c r="G1664" s="193"/>
      <c r="H1664" s="193"/>
      <c r="I1664" s="206"/>
      <c r="J1664" s="207"/>
      <c r="K1664" s="89"/>
      <c r="L1664" s="207"/>
      <c r="M1664" s="194"/>
      <c r="N1664" s="194"/>
    </row>
    <row r="1665" spans="2:14" ht="15" customHeight="1">
      <c r="B1665" s="224"/>
      <c r="C1665" s="188"/>
      <c r="D1665" s="142"/>
      <c r="E1665" s="189"/>
      <c r="F1665" s="193"/>
      <c r="G1665" s="193"/>
      <c r="H1665" s="193"/>
      <c r="I1665" s="206"/>
      <c r="J1665" s="207"/>
      <c r="K1665" s="89"/>
      <c r="L1665" s="207"/>
      <c r="M1665" s="194"/>
      <c r="N1665" s="194"/>
    </row>
    <row r="1666" spans="2:14" ht="15" customHeight="1">
      <c r="B1666" s="224"/>
      <c r="C1666" s="188"/>
      <c r="D1666" s="142"/>
      <c r="E1666" s="189"/>
      <c r="F1666" s="193"/>
      <c r="G1666" s="193"/>
      <c r="H1666" s="193"/>
      <c r="I1666" s="206"/>
      <c r="J1666" s="207"/>
      <c r="K1666" s="89"/>
      <c r="L1666" s="207"/>
      <c r="M1666" s="194"/>
      <c r="N1666" s="194"/>
    </row>
    <row r="1667" spans="2:14" ht="15" customHeight="1">
      <c r="B1667" s="200"/>
      <c r="C1667" s="142"/>
      <c r="D1667" s="142"/>
      <c r="E1667" s="41"/>
      <c r="F1667" s="193"/>
      <c r="G1667" s="193"/>
      <c r="H1667" s="193"/>
      <c r="I1667" s="206"/>
      <c r="J1667" s="207"/>
      <c r="K1667" s="89"/>
      <c r="L1667" s="207"/>
      <c r="M1667" s="194"/>
      <c r="N1667" s="194"/>
    </row>
    <row r="1668" spans="2:14" ht="15" customHeight="1">
      <c r="C1668" s="142"/>
      <c r="D1668" s="142"/>
      <c r="E1668" s="41"/>
      <c r="F1668" s="193"/>
      <c r="G1668" s="193"/>
      <c r="H1668" s="193"/>
      <c r="I1668" s="206"/>
      <c r="J1668" s="207"/>
      <c r="K1668" s="89"/>
      <c r="L1668" s="207"/>
      <c r="M1668" s="194"/>
      <c r="N1668" s="194"/>
    </row>
    <row r="1669" spans="2:14" ht="15" customHeight="1">
      <c r="C1669" s="142"/>
      <c r="D1669" s="142"/>
      <c r="E1669" s="41"/>
      <c r="F1669" s="193"/>
      <c r="G1669" s="193"/>
      <c r="H1669" s="193"/>
      <c r="I1669" s="206"/>
      <c r="J1669" s="207"/>
      <c r="K1669" s="208"/>
      <c r="L1669" s="207"/>
      <c r="M1669" s="194"/>
      <c r="N1669" s="194"/>
    </row>
    <row r="1670" spans="2:14" ht="15" customHeight="1">
      <c r="C1670" s="142"/>
      <c r="D1670" s="142"/>
      <c r="E1670" s="41"/>
      <c r="F1670" s="193"/>
      <c r="G1670" s="193"/>
      <c r="H1670" s="193"/>
      <c r="I1670" s="206"/>
      <c r="J1670" s="207"/>
      <c r="K1670" s="208"/>
      <c r="L1670" s="207"/>
      <c r="M1670" s="194"/>
      <c r="N1670" s="194"/>
    </row>
    <row r="1671" spans="2:14" ht="15" customHeight="1">
      <c r="C1671" s="142"/>
      <c r="D1671" s="142"/>
      <c r="E1671" s="41"/>
      <c r="F1671" s="193"/>
      <c r="G1671" s="193"/>
      <c r="H1671" s="193"/>
      <c r="I1671" s="206"/>
      <c r="J1671" s="207"/>
      <c r="K1671" s="208"/>
      <c r="L1671" s="207"/>
      <c r="M1671" s="194"/>
      <c r="N1671" s="194"/>
    </row>
    <row r="1672" spans="2:14" ht="15" customHeight="1">
      <c r="C1672" s="142"/>
      <c r="D1672" s="142"/>
      <c r="E1672" s="41"/>
      <c r="F1672" s="193"/>
      <c r="G1672" s="193"/>
      <c r="H1672" s="193"/>
      <c r="I1672" s="206"/>
      <c r="J1672" s="207"/>
      <c r="K1672" s="208"/>
      <c r="L1672" s="207"/>
      <c r="M1672" s="194"/>
      <c r="N1672" s="194"/>
    </row>
    <row r="1673" spans="2:14" ht="15" customHeight="1">
      <c r="C1673" s="142"/>
      <c r="D1673" s="142"/>
      <c r="E1673" s="41"/>
      <c r="F1673" s="193"/>
      <c r="G1673" s="193"/>
      <c r="H1673" s="193"/>
      <c r="I1673" s="206"/>
      <c r="J1673" s="207"/>
      <c r="K1673" s="208"/>
      <c r="L1673" s="207"/>
      <c r="M1673" s="194"/>
      <c r="N1673" s="194"/>
    </row>
    <row r="1674" spans="2:14" ht="15" customHeight="1">
      <c r="C1674" s="142"/>
      <c r="D1674" s="142"/>
      <c r="E1674" s="41"/>
      <c r="F1674" s="193"/>
      <c r="G1674" s="193"/>
      <c r="H1674" s="193"/>
      <c r="I1674" s="206"/>
      <c r="J1674" s="207"/>
      <c r="K1674" s="208"/>
      <c r="L1674" s="207"/>
      <c r="M1674" s="194"/>
      <c r="N1674" s="194"/>
    </row>
    <row r="1675" spans="2:14" ht="15" customHeight="1">
      <c r="C1675" s="142"/>
      <c r="D1675" s="142"/>
      <c r="E1675" s="41"/>
      <c r="F1675" s="193"/>
      <c r="G1675" s="193"/>
      <c r="H1675" s="193"/>
      <c r="I1675" s="206"/>
      <c r="J1675" s="207"/>
      <c r="K1675" s="208"/>
      <c r="L1675" s="207"/>
      <c r="M1675" s="194"/>
      <c r="N1675" s="194"/>
    </row>
    <row r="1676" spans="2:14" ht="15" customHeight="1">
      <c r="C1676" s="142"/>
      <c r="D1676" s="142"/>
      <c r="E1676" s="41"/>
      <c r="F1676" s="193"/>
      <c r="G1676" s="193"/>
      <c r="H1676" s="193"/>
      <c r="I1676" s="206"/>
      <c r="J1676" s="207"/>
      <c r="K1676" s="208"/>
      <c r="L1676" s="207"/>
      <c r="M1676" s="194"/>
      <c r="N1676" s="194"/>
    </row>
    <row r="1677" spans="2:14" ht="15" customHeight="1">
      <c r="C1677" s="142"/>
      <c r="D1677" s="142"/>
      <c r="E1677" s="41"/>
      <c r="F1677" s="193"/>
      <c r="G1677" s="193"/>
      <c r="H1677" s="193"/>
      <c r="I1677" s="206"/>
      <c r="J1677" s="207"/>
      <c r="K1677" s="208"/>
      <c r="L1677" s="207"/>
      <c r="M1677" s="194"/>
      <c r="N1677" s="194"/>
    </row>
    <row r="1678" spans="2:14" ht="15" customHeight="1">
      <c r="C1678" s="142"/>
      <c r="D1678" s="142"/>
      <c r="E1678" s="41"/>
      <c r="F1678" s="193"/>
      <c r="G1678" s="193"/>
      <c r="H1678" s="193"/>
      <c r="I1678" s="206"/>
      <c r="J1678" s="207"/>
      <c r="K1678" s="208"/>
      <c r="L1678" s="207"/>
      <c r="M1678" s="194"/>
      <c r="N1678" s="194"/>
    </row>
    <row r="1679" spans="2:14" ht="15" customHeight="1">
      <c r="C1679" s="142"/>
      <c r="D1679" s="142"/>
      <c r="E1679" s="41"/>
      <c r="F1679" s="193"/>
      <c r="G1679" s="193"/>
      <c r="H1679" s="193"/>
      <c r="I1679" s="206"/>
      <c r="J1679" s="207"/>
      <c r="K1679" s="208"/>
      <c r="L1679" s="207"/>
      <c r="M1679" s="194"/>
      <c r="N1679" s="194"/>
    </row>
    <row r="1680" spans="2:14" ht="15" customHeight="1">
      <c r="C1680" s="142"/>
      <c r="D1680" s="142"/>
      <c r="E1680" s="41"/>
      <c r="F1680" s="193"/>
      <c r="G1680" s="193"/>
      <c r="H1680" s="193"/>
      <c r="I1680" s="206"/>
      <c r="J1680" s="207"/>
      <c r="K1680" s="208"/>
      <c r="L1680" s="207"/>
      <c r="M1680" s="194"/>
      <c r="N1680" s="194"/>
    </row>
    <row r="1681" spans="3:14" ht="15" customHeight="1">
      <c r="C1681" s="142"/>
      <c r="D1681" s="142"/>
      <c r="E1681" s="41"/>
      <c r="F1681" s="193"/>
      <c r="G1681" s="193"/>
      <c r="H1681" s="193"/>
      <c r="I1681" s="206"/>
      <c r="J1681" s="207"/>
      <c r="K1681" s="208"/>
      <c r="L1681" s="207"/>
      <c r="M1681" s="194"/>
      <c r="N1681" s="194"/>
    </row>
    <row r="1682" spans="3:14" ht="15" customHeight="1">
      <c r="C1682" s="142"/>
      <c r="D1682" s="142"/>
      <c r="E1682" s="41"/>
      <c r="F1682" s="193"/>
      <c r="G1682" s="193"/>
      <c r="H1682" s="193"/>
      <c r="I1682" s="206"/>
      <c r="J1682" s="207"/>
      <c r="K1682" s="208"/>
      <c r="L1682" s="207"/>
      <c r="M1682" s="194"/>
      <c r="N1682" s="194"/>
    </row>
    <row r="1683" spans="3:14" ht="15" customHeight="1">
      <c r="C1683" s="142"/>
      <c r="D1683" s="142"/>
      <c r="E1683" s="41"/>
      <c r="F1683" s="193"/>
      <c r="G1683" s="193"/>
      <c r="H1683" s="193"/>
      <c r="I1683" s="206"/>
      <c r="J1683" s="207"/>
      <c r="K1683" s="208"/>
      <c r="L1683" s="207"/>
      <c r="M1683" s="194"/>
      <c r="N1683" s="194"/>
    </row>
    <row r="1684" spans="3:14" ht="15" customHeight="1">
      <c r="C1684" s="142"/>
      <c r="D1684" s="142"/>
      <c r="E1684" s="41"/>
      <c r="F1684" s="193"/>
      <c r="G1684" s="193"/>
      <c r="H1684" s="193"/>
      <c r="I1684" s="206"/>
      <c r="J1684" s="207"/>
      <c r="K1684" s="208"/>
      <c r="L1684" s="207"/>
      <c r="M1684" s="194"/>
      <c r="N1684" s="194"/>
    </row>
    <row r="1685" spans="3:14" ht="15" customHeight="1">
      <c r="C1685" s="142"/>
      <c r="D1685" s="142"/>
      <c r="E1685" s="41"/>
      <c r="F1685" s="193"/>
      <c r="G1685" s="193"/>
      <c r="H1685" s="193"/>
      <c r="I1685" s="206"/>
      <c r="J1685" s="207"/>
      <c r="K1685" s="208"/>
      <c r="L1685" s="207"/>
      <c r="M1685" s="194"/>
      <c r="N1685" s="194"/>
    </row>
    <row r="1686" spans="3:14" ht="15" customHeight="1">
      <c r="C1686" s="142"/>
      <c r="D1686" s="142"/>
      <c r="E1686" s="41"/>
      <c r="F1686" s="193"/>
      <c r="G1686" s="193"/>
      <c r="H1686" s="193"/>
      <c r="I1686" s="206"/>
      <c r="J1686" s="207"/>
      <c r="K1686" s="208"/>
      <c r="L1686" s="207"/>
      <c r="M1686" s="194"/>
      <c r="N1686" s="194"/>
    </row>
    <row r="1687" spans="3:14" ht="15" customHeight="1">
      <c r="E1687" s="61"/>
    </row>
    <row r="1688" spans="3:14" ht="15" customHeight="1">
      <c r="E1688" s="61"/>
    </row>
    <row r="1689" spans="3:14" ht="15" customHeight="1">
      <c r="E1689" s="61"/>
    </row>
    <row r="1690" spans="3:14" ht="15" customHeight="1">
      <c r="E1690" s="61"/>
    </row>
    <row r="1691" spans="3:14" ht="15" customHeight="1">
      <c r="E1691" s="61"/>
    </row>
    <row r="1692" spans="3:14" ht="15" customHeight="1">
      <c r="E1692" s="61"/>
    </row>
    <row r="1693" spans="3:14" ht="15" customHeight="1">
      <c r="E1693" s="61"/>
    </row>
    <row r="1694" spans="3:14" ht="15" customHeight="1">
      <c r="E1694" s="61"/>
    </row>
    <row r="1695" spans="3:14" ht="15" customHeight="1">
      <c r="E1695" s="61"/>
    </row>
    <row r="1696" spans="3:14" ht="15" customHeight="1">
      <c r="E1696" s="61"/>
    </row>
    <row r="1697" spans="5:5" ht="15" customHeight="1">
      <c r="E1697" s="61"/>
    </row>
    <row r="1698" spans="5:5" ht="15" customHeight="1">
      <c r="E1698" s="61"/>
    </row>
    <row r="1699" spans="5:5" ht="15" customHeight="1">
      <c r="E1699" s="61"/>
    </row>
    <row r="1700" spans="5:5" ht="15" customHeight="1">
      <c r="E1700" s="61"/>
    </row>
    <row r="1701" spans="5:5" ht="15" customHeight="1">
      <c r="E1701" s="61"/>
    </row>
    <row r="1702" spans="5:5" ht="15" customHeight="1">
      <c r="E1702" s="61"/>
    </row>
    <row r="1703" spans="5:5" ht="15" customHeight="1">
      <c r="E1703" s="61"/>
    </row>
    <row r="1704" spans="5:5" ht="15" customHeight="1">
      <c r="E1704" s="61"/>
    </row>
    <row r="1705" spans="5:5" ht="15" customHeight="1">
      <c r="E1705" s="61"/>
    </row>
    <row r="1706" spans="5:5" ht="15" customHeight="1">
      <c r="E1706" s="61"/>
    </row>
    <row r="1707" spans="5:5" ht="15" customHeight="1">
      <c r="E1707" s="61"/>
    </row>
    <row r="1708" spans="5:5" ht="15" customHeight="1">
      <c r="E1708" s="61"/>
    </row>
    <row r="1709" spans="5:5" ht="15" customHeight="1">
      <c r="E1709" s="61"/>
    </row>
    <row r="1710" spans="5:5" ht="15" customHeight="1">
      <c r="E1710" s="61"/>
    </row>
    <row r="1711" spans="5:5" ht="15" customHeight="1">
      <c r="E1711" s="61"/>
    </row>
    <row r="1712" spans="5:5" ht="15" customHeight="1">
      <c r="E1712" s="61"/>
    </row>
    <row r="1713" spans="5:5" ht="15" customHeight="1">
      <c r="E1713" s="61"/>
    </row>
    <row r="1714" spans="5:5" ht="15" customHeight="1">
      <c r="E1714" s="61"/>
    </row>
    <row r="1715" spans="5:5" ht="15" customHeight="1">
      <c r="E1715" s="61"/>
    </row>
    <row r="1716" spans="5:5" ht="15" customHeight="1">
      <c r="E1716" s="61"/>
    </row>
    <row r="1717" spans="5:5" ht="15" customHeight="1">
      <c r="E1717" s="61"/>
    </row>
    <row r="1718" spans="5:5" ht="15" customHeight="1">
      <c r="E1718" s="61"/>
    </row>
    <row r="1719" spans="5:5" ht="15" customHeight="1">
      <c r="E1719" s="61"/>
    </row>
    <row r="1720" spans="5:5" ht="15" customHeight="1">
      <c r="E1720" s="61"/>
    </row>
    <row r="1721" spans="5:5" ht="15" customHeight="1">
      <c r="E1721" s="61"/>
    </row>
    <row r="1722" spans="5:5" ht="15" customHeight="1">
      <c r="E1722" s="61"/>
    </row>
    <row r="1723" spans="5:5" ht="15" customHeight="1">
      <c r="E1723" s="61"/>
    </row>
    <row r="1724" spans="5:5" ht="15" customHeight="1">
      <c r="E1724" s="61"/>
    </row>
    <row r="1725" spans="5:5" ht="15" customHeight="1">
      <c r="E1725" s="61"/>
    </row>
    <row r="1726" spans="5:5" ht="15" customHeight="1">
      <c r="E1726" s="61"/>
    </row>
    <row r="1727" spans="5:5" ht="15" customHeight="1">
      <c r="E1727" s="61"/>
    </row>
    <row r="1728" spans="5:5" ht="15" customHeight="1">
      <c r="E1728" s="61"/>
    </row>
    <row r="1729" spans="5:5" ht="15" customHeight="1">
      <c r="E1729" s="61"/>
    </row>
    <row r="1730" spans="5:5" ht="15" customHeight="1">
      <c r="E1730" s="61"/>
    </row>
    <row r="1731" spans="5:5" ht="15" customHeight="1">
      <c r="E1731" s="61"/>
    </row>
    <row r="1732" spans="5:5" ht="15" customHeight="1">
      <c r="E1732" s="61"/>
    </row>
    <row r="1733" spans="5:5" ht="15" customHeight="1">
      <c r="E1733" s="61"/>
    </row>
    <row r="1734" spans="5:5" ht="15" customHeight="1">
      <c r="E1734" s="61"/>
    </row>
    <row r="1735" spans="5:5" ht="15" customHeight="1">
      <c r="E1735" s="61"/>
    </row>
    <row r="1736" spans="5:5" ht="15" customHeight="1">
      <c r="E1736" s="61"/>
    </row>
    <row r="1737" spans="5:5" ht="15" customHeight="1">
      <c r="E1737" s="61"/>
    </row>
    <row r="1738" spans="5:5" ht="15" customHeight="1">
      <c r="E1738" s="61"/>
    </row>
    <row r="1739" spans="5:5" ht="15" customHeight="1">
      <c r="E1739" s="61"/>
    </row>
    <row r="1740" spans="5:5" ht="15" customHeight="1">
      <c r="E1740" s="61"/>
    </row>
    <row r="1741" spans="5:5" ht="15" customHeight="1">
      <c r="E1741" s="61"/>
    </row>
    <row r="1742" spans="5:5" ht="15" customHeight="1">
      <c r="E1742" s="61"/>
    </row>
    <row r="1743" spans="5:5" ht="15" customHeight="1">
      <c r="E1743" s="61"/>
    </row>
    <row r="1744" spans="5:5" ht="15" customHeight="1">
      <c r="E1744" s="61"/>
    </row>
    <row r="1745" spans="5:5" ht="15" customHeight="1">
      <c r="E1745" s="61"/>
    </row>
    <row r="1746" spans="5:5" ht="15" customHeight="1">
      <c r="E1746" s="61"/>
    </row>
    <row r="1747" spans="5:5" ht="15" customHeight="1">
      <c r="E1747" s="61"/>
    </row>
    <row r="1748" spans="5:5" ht="15" customHeight="1">
      <c r="E1748" s="61"/>
    </row>
    <row r="1749" spans="5:5" ht="15" customHeight="1">
      <c r="E1749" s="61"/>
    </row>
    <row r="1750" spans="5:5" ht="15" customHeight="1">
      <c r="E1750" s="61"/>
    </row>
    <row r="1751" spans="5:5" ht="15" customHeight="1">
      <c r="E1751" s="61"/>
    </row>
    <row r="1752" spans="5:5" ht="15" customHeight="1">
      <c r="E1752" s="61"/>
    </row>
    <row r="1753" spans="5:5" ht="15" customHeight="1">
      <c r="E1753" s="61"/>
    </row>
    <row r="1754" spans="5:5" ht="15" customHeight="1">
      <c r="E1754" s="61"/>
    </row>
    <row r="1755" spans="5:5" ht="15" customHeight="1">
      <c r="E1755" s="61"/>
    </row>
    <row r="1756" spans="5:5" ht="15" customHeight="1">
      <c r="E1756" s="61"/>
    </row>
    <row r="1757" spans="5:5" ht="15" customHeight="1">
      <c r="E1757" s="61"/>
    </row>
    <row r="1758" spans="5:5" ht="15" customHeight="1">
      <c r="E1758" s="61"/>
    </row>
    <row r="1759" spans="5:5" ht="15" customHeight="1">
      <c r="E1759" s="61"/>
    </row>
    <row r="1760" spans="5:5" ht="15" customHeight="1">
      <c r="E1760" s="61"/>
    </row>
    <row r="1761" spans="5:5" ht="15" customHeight="1">
      <c r="E1761" s="61"/>
    </row>
    <row r="1762" spans="5:5" ht="15" customHeight="1">
      <c r="E1762" s="61"/>
    </row>
    <row r="1763" spans="5:5" ht="15" customHeight="1">
      <c r="E1763" s="61"/>
    </row>
    <row r="1764" spans="5:5" ht="15" customHeight="1">
      <c r="E1764" s="61"/>
    </row>
    <row r="1765" spans="5:5" ht="15" customHeight="1">
      <c r="E1765" s="61"/>
    </row>
    <row r="1766" spans="5:5" ht="15" customHeight="1">
      <c r="E1766" s="61"/>
    </row>
    <row r="1767" spans="5:5" ht="15" customHeight="1">
      <c r="E1767" s="61"/>
    </row>
    <row r="1768" spans="5:5" ht="15" customHeight="1">
      <c r="E1768" s="61"/>
    </row>
    <row r="1769" spans="5:5" ht="15" customHeight="1">
      <c r="E1769" s="61"/>
    </row>
    <row r="1770" spans="5:5" ht="15" customHeight="1">
      <c r="E1770" s="61"/>
    </row>
    <row r="1771" spans="5:5" ht="15" customHeight="1">
      <c r="E1771" s="61"/>
    </row>
    <row r="1772" spans="5:5" ht="15" customHeight="1">
      <c r="E1772" s="61"/>
    </row>
    <row r="1773" spans="5:5" ht="15" customHeight="1">
      <c r="E1773" s="61"/>
    </row>
    <row r="1774" spans="5:5" ht="15" customHeight="1">
      <c r="E1774" s="61"/>
    </row>
    <row r="1775" spans="5:5" ht="15" customHeight="1">
      <c r="E1775" s="61"/>
    </row>
    <row r="1776" spans="5:5" ht="15" customHeight="1">
      <c r="E1776" s="61"/>
    </row>
    <row r="1777" spans="5:5" ht="15" customHeight="1">
      <c r="E1777" s="61"/>
    </row>
    <row r="1778" spans="5:5" ht="15" customHeight="1">
      <c r="E1778" s="61"/>
    </row>
    <row r="1779" spans="5:5" ht="15" customHeight="1">
      <c r="E1779" s="61"/>
    </row>
    <row r="1780" spans="5:5" ht="15" customHeight="1">
      <c r="E1780" s="61"/>
    </row>
    <row r="1781" spans="5:5" ht="15" customHeight="1">
      <c r="E1781" s="61"/>
    </row>
    <row r="1782" spans="5:5" ht="15" customHeight="1">
      <c r="E1782" s="61"/>
    </row>
    <row r="1783" spans="5:5" ht="15" customHeight="1">
      <c r="E1783" s="61"/>
    </row>
    <row r="1784" spans="5:5" ht="15" customHeight="1">
      <c r="E1784" s="61"/>
    </row>
    <row r="1785" spans="5:5" ht="15" customHeight="1">
      <c r="E1785" s="61"/>
    </row>
    <row r="1786" spans="5:5" ht="15" customHeight="1">
      <c r="E1786" s="61"/>
    </row>
    <row r="1787" spans="5:5" ht="15" customHeight="1">
      <c r="E1787" s="61"/>
    </row>
    <row r="1788" spans="5:5" ht="15" customHeight="1">
      <c r="E1788" s="61"/>
    </row>
    <row r="1789" spans="5:5" ht="15" customHeight="1">
      <c r="E1789" s="61"/>
    </row>
    <row r="1790" spans="5:5" ht="15" customHeight="1">
      <c r="E1790" s="61"/>
    </row>
    <row r="1791" spans="5:5" ht="15" customHeight="1">
      <c r="E1791" s="61"/>
    </row>
    <row r="1792" spans="5:5" ht="15" customHeight="1">
      <c r="E1792" s="61"/>
    </row>
    <row r="1793" spans="5:5" ht="15" customHeight="1">
      <c r="E1793" s="61"/>
    </row>
    <row r="1794" spans="5:5" ht="15" customHeight="1">
      <c r="E1794" s="61"/>
    </row>
    <row r="1795" spans="5:5" ht="15" customHeight="1">
      <c r="E1795" s="61"/>
    </row>
    <row r="1796" spans="5:5" ht="15" customHeight="1">
      <c r="E1796" s="61"/>
    </row>
    <row r="1797" spans="5:5" ht="15" customHeight="1">
      <c r="E1797" s="61"/>
    </row>
    <row r="1798" spans="5:5" ht="15" customHeight="1">
      <c r="E1798" s="61"/>
    </row>
    <row r="1799" spans="5:5" ht="15" customHeight="1">
      <c r="E1799" s="61"/>
    </row>
    <row r="1800" spans="5:5" ht="15" customHeight="1">
      <c r="E1800" s="61"/>
    </row>
    <row r="1801" spans="5:5" ht="15" customHeight="1">
      <c r="E1801" s="61"/>
    </row>
    <row r="1802" spans="5:5" ht="15" customHeight="1">
      <c r="E1802" s="61"/>
    </row>
    <row r="1803" spans="5:5" ht="15" customHeight="1">
      <c r="E1803" s="61"/>
    </row>
    <row r="1804" spans="5:5" ht="15" customHeight="1">
      <c r="E1804" s="61"/>
    </row>
    <row r="1805" spans="5:5" ht="15" customHeight="1">
      <c r="E1805" s="61"/>
    </row>
    <row r="1806" spans="5:5" ht="15" customHeight="1">
      <c r="E1806" s="61"/>
    </row>
    <row r="1807" spans="5:5" ht="15" customHeight="1">
      <c r="E1807" s="61"/>
    </row>
    <row r="1808" spans="5:5" ht="15" customHeight="1">
      <c r="E1808" s="61"/>
    </row>
    <row r="1809" spans="5:5" ht="15" customHeight="1">
      <c r="E1809" s="61"/>
    </row>
    <row r="1810" spans="5:5" ht="15" customHeight="1">
      <c r="E1810" s="61"/>
    </row>
    <row r="1811" spans="5:5" ht="15" customHeight="1">
      <c r="E1811" s="61"/>
    </row>
    <row r="1812" spans="5:5" ht="15" customHeight="1">
      <c r="E1812" s="61"/>
    </row>
    <row r="1813" spans="5:5" ht="15" customHeight="1">
      <c r="E1813" s="61"/>
    </row>
    <row r="1814" spans="5:5" ht="15" customHeight="1">
      <c r="E1814" s="61"/>
    </row>
    <row r="1815" spans="5:5" ht="15" customHeight="1">
      <c r="E1815" s="61"/>
    </row>
    <row r="1816" spans="5:5" ht="15" customHeight="1">
      <c r="E1816" s="61"/>
    </row>
    <row r="1817" spans="5:5" ht="15" customHeight="1">
      <c r="E1817" s="61"/>
    </row>
    <row r="1818" spans="5:5" ht="15" customHeight="1">
      <c r="E1818" s="61"/>
    </row>
    <row r="1819" spans="5:5" ht="15" customHeight="1">
      <c r="E1819" s="61"/>
    </row>
    <row r="1820" spans="5:5" ht="15" customHeight="1">
      <c r="E1820" s="61"/>
    </row>
    <row r="1821" spans="5:5" ht="15" customHeight="1">
      <c r="E1821" s="61"/>
    </row>
    <row r="1822" spans="5:5" ht="15" customHeight="1">
      <c r="E1822" s="61"/>
    </row>
    <row r="1823" spans="5:5" ht="15" customHeight="1">
      <c r="E1823" s="61"/>
    </row>
    <row r="1824" spans="5:5" ht="15" customHeight="1">
      <c r="E1824" s="61"/>
    </row>
    <row r="1825" spans="5:5" ht="15" customHeight="1">
      <c r="E1825" s="61"/>
    </row>
    <row r="1826" spans="5:5" ht="15" customHeight="1">
      <c r="E1826" s="61"/>
    </row>
    <row r="1827" spans="5:5" ht="15" customHeight="1">
      <c r="E1827" s="61"/>
    </row>
    <row r="1828" spans="5:5" ht="15" customHeight="1">
      <c r="E1828" s="61"/>
    </row>
    <row r="1829" spans="5:5" ht="15" customHeight="1">
      <c r="E1829" s="61"/>
    </row>
    <row r="1830" spans="5:5" ht="15" customHeight="1">
      <c r="E1830" s="61"/>
    </row>
    <row r="1831" spans="5:5" ht="15" customHeight="1">
      <c r="E1831" s="61"/>
    </row>
    <row r="1832" spans="5:5" ht="15" customHeight="1">
      <c r="E1832" s="61"/>
    </row>
    <row r="1833" spans="5:5" ht="15" customHeight="1">
      <c r="E1833" s="61"/>
    </row>
    <row r="1834" spans="5:5" ht="15" customHeight="1">
      <c r="E1834" s="61"/>
    </row>
    <row r="1835" spans="5:5" ht="15" customHeight="1">
      <c r="E1835" s="61"/>
    </row>
    <row r="1836" spans="5:5" ht="15" customHeight="1">
      <c r="E1836" s="61"/>
    </row>
    <row r="1837" spans="5:5" ht="15" customHeight="1">
      <c r="E1837" s="61"/>
    </row>
    <row r="1838" spans="5:5" ht="15" customHeight="1">
      <c r="E1838" s="61"/>
    </row>
    <row r="1839" spans="5:5" ht="15" customHeight="1">
      <c r="E1839" s="61"/>
    </row>
    <row r="1840" spans="5:5" ht="15" customHeight="1">
      <c r="E1840" s="61"/>
    </row>
    <row r="1841" spans="5:5" ht="15" customHeight="1">
      <c r="E1841" s="61"/>
    </row>
    <row r="1842" spans="5:5" ht="15" customHeight="1">
      <c r="E1842" s="61"/>
    </row>
    <row r="1843" spans="5:5" ht="15" customHeight="1">
      <c r="E1843" s="61"/>
    </row>
    <row r="1844" spans="5:5" ht="15" customHeight="1">
      <c r="E1844" s="61"/>
    </row>
    <row r="1845" spans="5:5" ht="15" customHeight="1">
      <c r="E1845" s="61"/>
    </row>
    <row r="1846" spans="5:5" ht="15" customHeight="1">
      <c r="E1846" s="61"/>
    </row>
    <row r="1847" spans="5:5" ht="15" customHeight="1">
      <c r="E1847" s="61"/>
    </row>
    <row r="1848" spans="5:5" ht="15" customHeight="1">
      <c r="E1848" s="61"/>
    </row>
    <row r="1849" spans="5:5" ht="15" customHeight="1">
      <c r="E1849" s="61"/>
    </row>
    <row r="1850" spans="5:5" ht="15" customHeight="1">
      <c r="E1850" s="61"/>
    </row>
    <row r="1851" spans="5:5" ht="15" customHeight="1">
      <c r="E1851" s="61"/>
    </row>
    <row r="1852" spans="5:5" ht="15" customHeight="1">
      <c r="E1852" s="61"/>
    </row>
    <row r="1853" spans="5:5" ht="15" customHeight="1">
      <c r="E1853" s="61"/>
    </row>
    <row r="1854" spans="5:5" ht="15" customHeight="1">
      <c r="E1854" s="61"/>
    </row>
    <row r="1855" spans="5:5" ht="15" customHeight="1">
      <c r="E1855" s="61"/>
    </row>
    <row r="1856" spans="5:5" ht="15" customHeight="1">
      <c r="E1856" s="61"/>
    </row>
    <row r="1857" spans="5:5" ht="15" customHeight="1">
      <c r="E1857" s="61"/>
    </row>
    <row r="1858" spans="5:5" ht="15" customHeight="1">
      <c r="E1858" s="61"/>
    </row>
    <row r="1859" spans="5:5" ht="15" customHeight="1">
      <c r="E1859" s="61"/>
    </row>
    <row r="1860" spans="5:5" ht="15" customHeight="1">
      <c r="E1860" s="61"/>
    </row>
    <row r="1861" spans="5:5" ht="15" customHeight="1">
      <c r="E1861" s="61"/>
    </row>
    <row r="1862" spans="5:5" ht="15" customHeight="1">
      <c r="E1862" s="61"/>
    </row>
    <row r="1863" spans="5:5" ht="15" customHeight="1">
      <c r="E1863" s="61"/>
    </row>
    <row r="1864" spans="5:5" ht="15" customHeight="1">
      <c r="E1864" s="61"/>
    </row>
    <row r="1865" spans="5:5" ht="15" customHeight="1">
      <c r="E1865" s="61"/>
    </row>
    <row r="1866" spans="5:5" ht="15" customHeight="1">
      <c r="E1866" s="61"/>
    </row>
    <row r="1867" spans="5:5" ht="15" customHeight="1">
      <c r="E1867" s="61"/>
    </row>
    <row r="1868" spans="5:5" ht="15" customHeight="1">
      <c r="E1868" s="61"/>
    </row>
    <row r="1869" spans="5:5" ht="15" customHeight="1">
      <c r="E1869" s="61"/>
    </row>
    <row r="1870" spans="5:5" ht="15" customHeight="1">
      <c r="E1870" s="61"/>
    </row>
    <row r="1871" spans="5:5" ht="15" customHeight="1">
      <c r="E1871" s="61"/>
    </row>
    <row r="1872" spans="5:5" ht="15" customHeight="1">
      <c r="E1872" s="61"/>
    </row>
    <row r="1873" spans="5:5" ht="15" customHeight="1">
      <c r="E1873" s="61"/>
    </row>
    <row r="1874" spans="5:5" ht="15" customHeight="1">
      <c r="E1874" s="61"/>
    </row>
    <row r="1875" spans="5:5" ht="15" customHeight="1">
      <c r="E1875" s="61"/>
    </row>
    <row r="1876" spans="5:5" ht="15" customHeight="1">
      <c r="E1876" s="61"/>
    </row>
    <row r="1877" spans="5:5" ht="15" customHeight="1">
      <c r="E1877" s="61"/>
    </row>
    <row r="1878" spans="5:5" ht="15" customHeight="1">
      <c r="E1878" s="61"/>
    </row>
    <row r="1879" spans="5:5" ht="15" customHeight="1">
      <c r="E1879" s="61"/>
    </row>
    <row r="1880" spans="5:5" ht="15" customHeight="1">
      <c r="E1880" s="61"/>
    </row>
    <row r="1881" spans="5:5" ht="15" customHeight="1">
      <c r="E1881" s="61"/>
    </row>
    <row r="1882" spans="5:5" ht="15" customHeight="1">
      <c r="E1882" s="61"/>
    </row>
    <row r="1883" spans="5:5" ht="15" customHeight="1">
      <c r="E1883" s="61"/>
    </row>
    <row r="1884" spans="5:5" ht="15" customHeight="1">
      <c r="E1884" s="61"/>
    </row>
    <row r="1885" spans="5:5" ht="15" customHeight="1">
      <c r="E1885" s="61"/>
    </row>
    <row r="1886" spans="5:5" ht="15" customHeight="1">
      <c r="E1886" s="61"/>
    </row>
    <row r="1887" spans="5:5" ht="15" customHeight="1">
      <c r="E1887" s="61"/>
    </row>
    <row r="1888" spans="5:5" ht="15" customHeight="1">
      <c r="E1888" s="61"/>
    </row>
    <row r="1889" spans="5:5" ht="15" customHeight="1">
      <c r="E1889" s="61"/>
    </row>
    <row r="1890" spans="5:5" ht="15" customHeight="1">
      <c r="E1890" s="61"/>
    </row>
    <row r="1891" spans="5:5" ht="15" customHeight="1">
      <c r="E1891" s="61"/>
    </row>
    <row r="1892" spans="5:5" ht="15" customHeight="1">
      <c r="E1892" s="61"/>
    </row>
    <row r="1893" spans="5:5" ht="15" customHeight="1">
      <c r="E1893" s="61"/>
    </row>
    <row r="1894" spans="5:5" ht="15" customHeight="1">
      <c r="E1894" s="61"/>
    </row>
    <row r="1895" spans="5:5" ht="15" customHeight="1">
      <c r="E1895" s="61"/>
    </row>
    <row r="1896" spans="5:5" ht="15" customHeight="1">
      <c r="E1896" s="61"/>
    </row>
    <row r="1897" spans="5:5" ht="15" customHeight="1">
      <c r="E1897" s="61"/>
    </row>
    <row r="1898" spans="5:5" ht="15" customHeight="1">
      <c r="E1898" s="61"/>
    </row>
    <row r="1899" spans="5:5" ht="15" customHeight="1">
      <c r="E1899" s="61"/>
    </row>
    <row r="1900" spans="5:5" ht="15" customHeight="1">
      <c r="E1900" s="61"/>
    </row>
    <row r="1901" spans="5:5" ht="15" customHeight="1">
      <c r="E1901" s="61"/>
    </row>
    <row r="1902" spans="5:5" ht="15" customHeight="1">
      <c r="E1902" s="61"/>
    </row>
    <row r="1903" spans="5:5" ht="15" customHeight="1">
      <c r="E1903" s="61"/>
    </row>
    <row r="1904" spans="5:5" ht="15" customHeight="1">
      <c r="E1904" s="61"/>
    </row>
    <row r="1905" spans="5:5" ht="15" customHeight="1">
      <c r="E1905" s="61"/>
    </row>
    <row r="1906" spans="5:5" ht="15" customHeight="1">
      <c r="E1906" s="61"/>
    </row>
    <row r="1907" spans="5:5" ht="15" customHeight="1">
      <c r="E1907" s="61"/>
    </row>
    <row r="1908" spans="5:5" ht="15" customHeight="1">
      <c r="E1908" s="61"/>
    </row>
    <row r="1909" spans="5:5" ht="15" customHeight="1">
      <c r="E1909" s="61"/>
    </row>
    <row r="1910" spans="5:5" ht="15" customHeight="1">
      <c r="E1910" s="61"/>
    </row>
    <row r="1911" spans="5:5" ht="15" customHeight="1">
      <c r="E1911" s="61"/>
    </row>
    <row r="1912" spans="5:5" ht="15" customHeight="1">
      <c r="E1912" s="61"/>
    </row>
    <row r="1913" spans="5:5" ht="15" customHeight="1">
      <c r="E1913" s="61"/>
    </row>
    <row r="1914" spans="5:5" ht="15" customHeight="1">
      <c r="E1914" s="61"/>
    </row>
    <row r="1915" spans="5:5" ht="15" customHeight="1">
      <c r="E1915" s="61"/>
    </row>
    <row r="1916" spans="5:5" ht="15" customHeight="1">
      <c r="E1916" s="61"/>
    </row>
    <row r="1917" spans="5:5" ht="15" customHeight="1">
      <c r="E1917" s="61"/>
    </row>
    <row r="1918" spans="5:5" ht="15" customHeight="1">
      <c r="E1918" s="61"/>
    </row>
    <row r="1919" spans="5:5" ht="15" customHeight="1">
      <c r="E1919" s="61"/>
    </row>
    <row r="1920" spans="5:5" ht="15" customHeight="1">
      <c r="E1920" s="61"/>
    </row>
    <row r="1921" spans="5:5" ht="15" customHeight="1">
      <c r="E1921" s="61"/>
    </row>
    <row r="1922" spans="5:5" ht="15" customHeight="1">
      <c r="E1922" s="61"/>
    </row>
    <row r="1923" spans="5:5" ht="15" customHeight="1">
      <c r="E1923" s="61"/>
    </row>
    <row r="1924" spans="5:5" ht="15" customHeight="1">
      <c r="E1924" s="61"/>
    </row>
    <row r="1925" spans="5:5" ht="15" customHeight="1">
      <c r="E1925" s="61"/>
    </row>
    <row r="1926" spans="5:5" ht="15" customHeight="1">
      <c r="E1926" s="61"/>
    </row>
    <row r="1927" spans="5:5" ht="15" customHeight="1">
      <c r="E1927" s="61"/>
    </row>
    <row r="1928" spans="5:5" ht="15" customHeight="1">
      <c r="E1928" s="61"/>
    </row>
    <row r="1929" spans="5:5" ht="15" customHeight="1">
      <c r="E1929" s="61"/>
    </row>
    <row r="1930" spans="5:5" ht="15" customHeight="1">
      <c r="E1930" s="61"/>
    </row>
    <row r="1931" spans="5:5" ht="15" customHeight="1">
      <c r="E1931" s="61"/>
    </row>
    <row r="1932" spans="5:5" ht="15" customHeight="1">
      <c r="E1932" s="61"/>
    </row>
    <row r="1933" spans="5:5" ht="15" customHeight="1">
      <c r="E1933" s="61"/>
    </row>
    <row r="1934" spans="5:5" ht="15" customHeight="1">
      <c r="E1934" s="61"/>
    </row>
    <row r="1935" spans="5:5" ht="15" customHeight="1">
      <c r="E1935" s="61"/>
    </row>
    <row r="1936" spans="5:5" ht="15" customHeight="1">
      <c r="E1936" s="61"/>
    </row>
    <row r="1937" spans="5:5" ht="15" customHeight="1">
      <c r="E1937" s="61"/>
    </row>
    <row r="1938" spans="5:5" ht="15" customHeight="1">
      <c r="E1938" s="61"/>
    </row>
    <row r="1939" spans="5:5" ht="15" customHeight="1">
      <c r="E1939" s="61"/>
    </row>
    <row r="1940" spans="5:5" ht="15" customHeight="1">
      <c r="E1940" s="61"/>
    </row>
    <row r="1941" spans="5:5" ht="15" customHeight="1">
      <c r="E1941" s="61"/>
    </row>
    <row r="1942" spans="5:5" ht="15" customHeight="1">
      <c r="E1942" s="61"/>
    </row>
    <row r="1943" spans="5:5" ht="15" customHeight="1">
      <c r="E1943" s="61"/>
    </row>
    <row r="1944" spans="5:5" ht="15" customHeight="1">
      <c r="E1944" s="61"/>
    </row>
    <row r="1945" spans="5:5" ht="15" customHeight="1">
      <c r="E1945" s="61"/>
    </row>
    <row r="1946" spans="5:5" ht="15" customHeight="1">
      <c r="E1946" s="61"/>
    </row>
    <row r="1947" spans="5:5" ht="15" customHeight="1">
      <c r="E1947" s="61"/>
    </row>
    <row r="1948" spans="5:5" ht="15" customHeight="1">
      <c r="E1948" s="61"/>
    </row>
    <row r="1949" spans="5:5" ht="15" customHeight="1">
      <c r="E1949" s="61"/>
    </row>
    <row r="1950" spans="5:5" ht="15" customHeight="1">
      <c r="E1950" s="61"/>
    </row>
    <row r="1951" spans="5:5" ht="15" customHeight="1">
      <c r="E1951" s="61"/>
    </row>
    <row r="1952" spans="5:5" ht="15" customHeight="1">
      <c r="E1952" s="61"/>
    </row>
    <row r="1953" spans="5:5" ht="15" customHeight="1">
      <c r="E1953" s="61"/>
    </row>
    <row r="1954" spans="5:5" ht="15" customHeight="1">
      <c r="E1954" s="61"/>
    </row>
    <row r="1955" spans="5:5" ht="15" customHeight="1">
      <c r="E1955" s="61"/>
    </row>
    <row r="1956" spans="5:5" ht="15" customHeight="1">
      <c r="E1956" s="61"/>
    </row>
    <row r="1957" spans="5:5" ht="15" customHeight="1">
      <c r="E1957" s="61"/>
    </row>
    <row r="1958" spans="5:5" ht="15" customHeight="1">
      <c r="E1958" s="61"/>
    </row>
    <row r="1959" spans="5:5" ht="15" customHeight="1">
      <c r="E1959" s="61"/>
    </row>
    <row r="1960" spans="5:5" ht="15" customHeight="1">
      <c r="E1960" s="61"/>
    </row>
    <row r="1961" spans="5:5" ht="15" customHeight="1">
      <c r="E1961" s="61"/>
    </row>
    <row r="1962" spans="5:5" ht="15" customHeight="1">
      <c r="E1962" s="61"/>
    </row>
    <row r="1963" spans="5:5" ht="15" customHeight="1">
      <c r="E1963" s="61"/>
    </row>
    <row r="1964" spans="5:5" ht="15" customHeight="1">
      <c r="E1964" s="61"/>
    </row>
    <row r="1965" spans="5:5" ht="15" customHeight="1">
      <c r="E1965" s="61"/>
    </row>
    <row r="1966" spans="5:5" ht="15" customHeight="1">
      <c r="E1966" s="61"/>
    </row>
    <row r="1967" spans="5:5" ht="15" customHeight="1">
      <c r="E1967" s="61"/>
    </row>
    <row r="1968" spans="5:5" ht="15" customHeight="1">
      <c r="E1968" s="61"/>
    </row>
    <row r="1969" spans="5:5" ht="15" customHeight="1">
      <c r="E1969" s="61"/>
    </row>
    <row r="1970" spans="5:5" ht="15" customHeight="1">
      <c r="E1970" s="61"/>
    </row>
    <row r="1971" spans="5:5" ht="15" customHeight="1">
      <c r="E1971" s="61"/>
    </row>
    <row r="1972" spans="5:5" ht="15" customHeight="1">
      <c r="E1972" s="61"/>
    </row>
    <row r="1973" spans="5:5" ht="15" customHeight="1">
      <c r="E1973" s="61"/>
    </row>
    <row r="1974" spans="5:5" ht="15" customHeight="1">
      <c r="E1974" s="61"/>
    </row>
    <row r="1975" spans="5:5" ht="15" customHeight="1">
      <c r="E1975" s="61"/>
    </row>
    <row r="1976" spans="5:5" ht="15" customHeight="1">
      <c r="E1976" s="61"/>
    </row>
    <row r="1977" spans="5:5" ht="15" customHeight="1">
      <c r="E1977" s="61"/>
    </row>
    <row r="1978" spans="5:5" ht="15" customHeight="1">
      <c r="E1978" s="61"/>
    </row>
    <row r="1979" spans="5:5" ht="15" customHeight="1">
      <c r="E1979" s="61"/>
    </row>
    <row r="1980" spans="5:5" ht="15" customHeight="1">
      <c r="E1980" s="61"/>
    </row>
    <row r="1981" spans="5:5" ht="15" customHeight="1">
      <c r="E1981" s="61"/>
    </row>
    <row r="1982" spans="5:5" ht="15" customHeight="1">
      <c r="E1982" s="61"/>
    </row>
    <row r="1983" spans="5:5" ht="15" customHeight="1">
      <c r="E1983" s="61"/>
    </row>
    <row r="1984" spans="5:5" ht="15" customHeight="1">
      <c r="E1984" s="61"/>
    </row>
    <row r="1985" spans="5:5" ht="15" customHeight="1">
      <c r="E1985" s="61"/>
    </row>
    <row r="1986" spans="5:5" ht="15" customHeight="1">
      <c r="E1986" s="61"/>
    </row>
    <row r="1987" spans="5:5" ht="15" customHeight="1">
      <c r="E1987" s="61"/>
    </row>
    <row r="1988" spans="5:5" ht="15" customHeight="1">
      <c r="E1988" s="61"/>
    </row>
    <row r="1989" spans="5:5" ht="15" customHeight="1">
      <c r="E1989" s="61"/>
    </row>
    <row r="1990" spans="5:5" ht="15" customHeight="1">
      <c r="E1990" s="61"/>
    </row>
    <row r="1991" spans="5:5" ht="15" customHeight="1">
      <c r="E1991" s="61"/>
    </row>
    <row r="1992" spans="5:5" ht="15" customHeight="1">
      <c r="E1992" s="61"/>
    </row>
    <row r="1993" spans="5:5" ht="15" customHeight="1">
      <c r="E1993" s="61"/>
    </row>
    <row r="1994" spans="5:5" ht="15" customHeight="1">
      <c r="E1994" s="61"/>
    </row>
    <row r="1995" spans="5:5" ht="15" customHeight="1">
      <c r="E1995" s="61"/>
    </row>
    <row r="1996" spans="5:5" ht="15" customHeight="1">
      <c r="E1996" s="61"/>
    </row>
    <row r="1997" spans="5:5" ht="15" customHeight="1">
      <c r="E1997" s="61"/>
    </row>
    <row r="1998" spans="5:5" ht="15" customHeight="1">
      <c r="E1998" s="61"/>
    </row>
    <row r="1999" spans="5:5" ht="15" customHeight="1">
      <c r="E1999" s="61"/>
    </row>
    <row r="2000" spans="5:5" ht="15" customHeight="1">
      <c r="E2000" s="61"/>
    </row>
    <row r="2001" spans="5:5" ht="15" customHeight="1">
      <c r="E2001" s="61"/>
    </row>
    <row r="2002" spans="5:5" ht="15" customHeight="1">
      <c r="E2002" s="61"/>
    </row>
    <row r="2003" spans="5:5" ht="15" customHeight="1">
      <c r="E2003" s="61"/>
    </row>
    <row r="2004" spans="5:5" ht="15" customHeight="1">
      <c r="E2004" s="61"/>
    </row>
    <row r="2005" spans="5:5" ht="15" customHeight="1">
      <c r="E2005" s="61"/>
    </row>
    <row r="2006" spans="5:5" ht="15" customHeight="1">
      <c r="E2006" s="61"/>
    </row>
    <row r="2007" spans="5:5" ht="15" customHeight="1">
      <c r="E2007" s="61"/>
    </row>
    <row r="2008" spans="5:5" ht="15" customHeight="1">
      <c r="E2008" s="61"/>
    </row>
    <row r="2009" spans="5:5" ht="15" customHeight="1">
      <c r="E2009" s="61"/>
    </row>
    <row r="2010" spans="5:5" ht="15" customHeight="1">
      <c r="E2010" s="61"/>
    </row>
    <row r="2011" spans="5:5" ht="15" customHeight="1">
      <c r="E2011" s="61"/>
    </row>
    <row r="2012" spans="5:5" ht="15" customHeight="1">
      <c r="E2012" s="61"/>
    </row>
    <row r="2013" spans="5:5" ht="15" customHeight="1">
      <c r="E2013" s="61"/>
    </row>
    <row r="2014" spans="5:5" ht="15" customHeight="1">
      <c r="E2014" s="61"/>
    </row>
    <row r="2015" spans="5:5" ht="15" customHeight="1">
      <c r="E2015" s="61"/>
    </row>
    <row r="2016" spans="5:5" ht="15" customHeight="1">
      <c r="E2016" s="61"/>
    </row>
    <row r="2017" spans="5:5" ht="15" customHeight="1">
      <c r="E2017" s="61"/>
    </row>
    <row r="2018" spans="5:5" ht="15" customHeight="1">
      <c r="E2018" s="61"/>
    </row>
    <row r="2019" spans="5:5" ht="15" customHeight="1">
      <c r="E2019" s="61"/>
    </row>
    <row r="2020" spans="5:5" ht="15" customHeight="1">
      <c r="E2020" s="61"/>
    </row>
    <row r="2021" spans="5:5" ht="15" customHeight="1">
      <c r="E2021" s="61"/>
    </row>
    <row r="2022" spans="5:5" ht="15" customHeight="1">
      <c r="E2022" s="61"/>
    </row>
    <row r="2023" spans="5:5" ht="15" customHeight="1">
      <c r="E2023" s="61"/>
    </row>
    <row r="2024" spans="5:5" ht="15" customHeight="1">
      <c r="E2024" s="61"/>
    </row>
    <row r="2025" spans="5:5" ht="15" customHeight="1">
      <c r="E2025" s="61"/>
    </row>
    <row r="2026" spans="5:5" ht="15" customHeight="1">
      <c r="E2026" s="61"/>
    </row>
    <row r="2027" spans="5:5" ht="15" customHeight="1">
      <c r="E2027" s="61"/>
    </row>
    <row r="2028" spans="5:5" ht="15" customHeight="1">
      <c r="E2028" s="61"/>
    </row>
    <row r="2029" spans="5:5" ht="15" customHeight="1">
      <c r="E2029" s="61"/>
    </row>
    <row r="2030" spans="5:5" ht="15" customHeight="1">
      <c r="E2030" s="61"/>
    </row>
    <row r="2031" spans="5:5" ht="15" customHeight="1">
      <c r="E2031" s="61"/>
    </row>
    <row r="2032" spans="5:5" ht="15" customHeight="1">
      <c r="E2032" s="61"/>
    </row>
    <row r="2033" spans="5:5" ht="15" customHeight="1">
      <c r="E2033" s="61"/>
    </row>
    <row r="2034" spans="5:5" ht="15" customHeight="1">
      <c r="E2034" s="61"/>
    </row>
    <row r="2035" spans="5:5" ht="15" customHeight="1">
      <c r="E2035" s="61"/>
    </row>
    <row r="2036" spans="5:5" ht="15" customHeight="1">
      <c r="E2036" s="61"/>
    </row>
    <row r="2037" spans="5:5" ht="15" customHeight="1">
      <c r="E2037" s="61"/>
    </row>
    <row r="2038" spans="5:5" ht="15" customHeight="1">
      <c r="E2038" s="61"/>
    </row>
    <row r="2039" spans="5:5" ht="15" customHeight="1">
      <c r="E2039" s="61"/>
    </row>
    <row r="2040" spans="5:5" ht="15" customHeight="1">
      <c r="E2040" s="61"/>
    </row>
    <row r="2041" spans="5:5" ht="15" customHeight="1">
      <c r="E2041" s="61"/>
    </row>
    <row r="2042" spans="5:5" ht="15" customHeight="1">
      <c r="E2042" s="61"/>
    </row>
    <row r="2043" spans="5:5" ht="15" customHeight="1">
      <c r="E2043" s="61"/>
    </row>
    <row r="2044" spans="5:5" ht="15" customHeight="1">
      <c r="E2044" s="61"/>
    </row>
    <row r="2045" spans="5:5" ht="15" customHeight="1">
      <c r="E2045" s="61"/>
    </row>
    <row r="2046" spans="5:5" ht="15" customHeight="1">
      <c r="E2046" s="61"/>
    </row>
    <row r="2047" spans="5:5" ht="15" customHeight="1">
      <c r="E2047" s="61"/>
    </row>
    <row r="2048" spans="5:5" ht="15" customHeight="1">
      <c r="E2048" s="61"/>
    </row>
    <row r="2049" spans="5:5" ht="15" customHeight="1">
      <c r="E2049" s="61"/>
    </row>
    <row r="2050" spans="5:5" ht="15" customHeight="1">
      <c r="E2050" s="61"/>
    </row>
    <row r="2051" spans="5:5" ht="15" customHeight="1">
      <c r="E2051" s="61"/>
    </row>
    <row r="2052" spans="5:5" ht="15" customHeight="1">
      <c r="E2052" s="61"/>
    </row>
    <row r="2053" spans="5:5" ht="15" customHeight="1">
      <c r="E2053" s="61"/>
    </row>
    <row r="2054" spans="5:5" ht="15" customHeight="1">
      <c r="E2054" s="61"/>
    </row>
    <row r="2055" spans="5:5" ht="15" customHeight="1">
      <c r="E2055" s="61"/>
    </row>
    <row r="2056" spans="5:5" ht="15" customHeight="1">
      <c r="E2056" s="61"/>
    </row>
    <row r="2057" spans="5:5" ht="15" customHeight="1">
      <c r="E2057" s="61"/>
    </row>
    <row r="2058" spans="5:5" ht="15" customHeight="1">
      <c r="E2058" s="61"/>
    </row>
    <row r="2059" spans="5:5" ht="15" customHeight="1">
      <c r="E2059" s="61"/>
    </row>
    <row r="2060" spans="5:5" ht="15" customHeight="1">
      <c r="E2060" s="61"/>
    </row>
    <row r="2061" spans="5:5" ht="15" customHeight="1">
      <c r="E2061" s="61"/>
    </row>
    <row r="2062" spans="5:5" ht="15" customHeight="1">
      <c r="E2062" s="61"/>
    </row>
    <row r="2063" spans="5:5" ht="15" customHeight="1">
      <c r="E2063" s="61"/>
    </row>
    <row r="2064" spans="5:5" ht="15" customHeight="1">
      <c r="E2064" s="61"/>
    </row>
    <row r="2065" spans="5:5" ht="15" customHeight="1">
      <c r="E2065" s="61"/>
    </row>
    <row r="2066" spans="5:5" ht="15" customHeight="1">
      <c r="E2066" s="61"/>
    </row>
    <row r="2067" spans="5:5" ht="15" customHeight="1">
      <c r="E2067" s="61"/>
    </row>
    <row r="2068" spans="5:5" ht="15" customHeight="1">
      <c r="E2068" s="61"/>
    </row>
    <row r="2069" spans="5:5" ht="15" customHeight="1">
      <c r="E2069" s="61"/>
    </row>
    <row r="2070" spans="5:5" ht="15" customHeight="1">
      <c r="E2070" s="61"/>
    </row>
    <row r="2071" spans="5:5" ht="15" customHeight="1">
      <c r="E2071" s="61"/>
    </row>
    <row r="2072" spans="5:5" ht="15" customHeight="1">
      <c r="E2072" s="61"/>
    </row>
    <row r="2073" spans="5:5" ht="15" customHeight="1">
      <c r="E2073" s="61"/>
    </row>
    <row r="2074" spans="5:5" ht="15" customHeight="1">
      <c r="E2074" s="61"/>
    </row>
    <row r="2075" spans="5:5" ht="15" customHeight="1">
      <c r="E2075" s="61"/>
    </row>
    <row r="2076" spans="5:5" ht="15" customHeight="1">
      <c r="E2076" s="61"/>
    </row>
    <row r="2077" spans="5:5" ht="15" customHeight="1">
      <c r="E2077" s="61"/>
    </row>
    <row r="2078" spans="5:5" ht="15" customHeight="1">
      <c r="E2078" s="61"/>
    </row>
    <row r="2079" spans="5:5" ht="15" customHeight="1">
      <c r="E2079" s="61"/>
    </row>
    <row r="2080" spans="5:5" ht="15" customHeight="1">
      <c r="E2080" s="61"/>
    </row>
    <row r="2081" spans="5:5" ht="15" customHeight="1">
      <c r="E2081" s="61"/>
    </row>
    <row r="2082" spans="5:5" ht="15" customHeight="1">
      <c r="E2082" s="61"/>
    </row>
    <row r="2083" spans="5:5" ht="15" customHeight="1">
      <c r="E2083" s="61"/>
    </row>
    <row r="2084" spans="5:5" ht="15" customHeight="1">
      <c r="E2084" s="61"/>
    </row>
    <row r="2085" spans="5:5" ht="15" customHeight="1">
      <c r="E2085" s="61"/>
    </row>
    <row r="2086" spans="5:5" ht="15" customHeight="1">
      <c r="E2086" s="61"/>
    </row>
    <row r="2087" spans="5:5" ht="15" customHeight="1">
      <c r="E2087" s="61"/>
    </row>
    <row r="2088" spans="5:5" ht="15" customHeight="1">
      <c r="E2088" s="61"/>
    </row>
    <row r="2089" spans="5:5" ht="15" customHeight="1">
      <c r="E2089" s="61"/>
    </row>
    <row r="2090" spans="5:5" ht="15" customHeight="1">
      <c r="E2090" s="61"/>
    </row>
    <row r="2091" spans="5:5" ht="15" customHeight="1">
      <c r="E2091" s="61"/>
    </row>
    <row r="2092" spans="5:5" ht="15" customHeight="1">
      <c r="E2092" s="61"/>
    </row>
    <row r="2093" spans="5:5" ht="15" customHeight="1">
      <c r="E2093" s="61"/>
    </row>
    <row r="2094" spans="5:5" ht="15" customHeight="1">
      <c r="E2094" s="61"/>
    </row>
    <row r="2095" spans="5:5" ht="15" customHeight="1">
      <c r="E2095" s="61"/>
    </row>
    <row r="2096" spans="5:5" ht="15" customHeight="1">
      <c r="E2096" s="61"/>
    </row>
    <row r="2097" spans="5:5" ht="15" customHeight="1">
      <c r="E2097" s="61"/>
    </row>
    <row r="2098" spans="5:5" ht="15" customHeight="1">
      <c r="E2098" s="61"/>
    </row>
    <row r="2099" spans="5:5" ht="15" customHeight="1">
      <c r="E2099" s="61"/>
    </row>
    <row r="2100" spans="5:5" ht="15" customHeight="1">
      <c r="E2100" s="61"/>
    </row>
    <row r="2101" spans="5:5" ht="15" customHeight="1">
      <c r="E2101" s="61"/>
    </row>
    <row r="2102" spans="5:5" ht="15" customHeight="1">
      <c r="E2102" s="61"/>
    </row>
    <row r="2103" spans="5:5" ht="15" customHeight="1">
      <c r="E2103" s="61"/>
    </row>
    <row r="2104" spans="5:5" ht="15" customHeight="1">
      <c r="E2104" s="61"/>
    </row>
    <row r="2105" spans="5:5" ht="15" customHeight="1">
      <c r="E2105" s="61"/>
    </row>
    <row r="2106" spans="5:5" ht="15" customHeight="1">
      <c r="E2106" s="61"/>
    </row>
    <row r="2107" spans="5:5" ht="15" customHeight="1">
      <c r="E2107" s="61"/>
    </row>
    <row r="2108" spans="5:5" ht="15" customHeight="1">
      <c r="E2108" s="61"/>
    </row>
    <row r="2109" spans="5:5" ht="15" customHeight="1">
      <c r="E2109" s="61"/>
    </row>
    <row r="2110" spans="5:5" ht="15" customHeight="1">
      <c r="E2110" s="61"/>
    </row>
    <row r="2111" spans="5:5" ht="15" customHeight="1">
      <c r="E2111" s="61"/>
    </row>
    <row r="2112" spans="5:5" ht="15" customHeight="1">
      <c r="E2112" s="61"/>
    </row>
    <row r="2113" spans="5:5" ht="15" customHeight="1">
      <c r="E2113" s="61"/>
    </row>
    <row r="2114" spans="5:5" ht="15" customHeight="1">
      <c r="E2114" s="61"/>
    </row>
    <row r="2115" spans="5:5" ht="15" customHeight="1">
      <c r="E2115" s="61"/>
    </row>
    <row r="2116" spans="5:5" ht="15" customHeight="1">
      <c r="E2116" s="61"/>
    </row>
    <row r="2117" spans="5:5" ht="15" customHeight="1">
      <c r="E2117" s="61"/>
    </row>
    <row r="2118" spans="5:5" ht="15" customHeight="1">
      <c r="E2118" s="61"/>
    </row>
    <row r="2119" spans="5:5" ht="15" customHeight="1">
      <c r="E2119" s="61"/>
    </row>
    <row r="2120" spans="5:5" ht="15" customHeight="1">
      <c r="E2120" s="61"/>
    </row>
    <row r="2121" spans="5:5" ht="15" customHeight="1">
      <c r="E2121" s="61"/>
    </row>
    <row r="2122" spans="5:5" ht="15" customHeight="1">
      <c r="E2122" s="61"/>
    </row>
    <row r="2123" spans="5:5" ht="15" customHeight="1">
      <c r="E2123" s="61"/>
    </row>
    <row r="2124" spans="5:5" ht="15" customHeight="1">
      <c r="E2124" s="61"/>
    </row>
    <row r="2125" spans="5:5" ht="15" customHeight="1">
      <c r="E2125" s="61"/>
    </row>
    <row r="2126" spans="5:5" ht="15" customHeight="1">
      <c r="E2126" s="61"/>
    </row>
    <row r="2127" spans="5:5" ht="15" customHeight="1">
      <c r="E2127" s="61"/>
    </row>
    <row r="2128" spans="5:5" ht="15" customHeight="1">
      <c r="E2128" s="61"/>
    </row>
    <row r="2129" spans="5:5" ht="15" customHeight="1">
      <c r="E2129" s="61"/>
    </row>
    <row r="2130" spans="5:5" ht="15" customHeight="1">
      <c r="E2130" s="61"/>
    </row>
    <row r="2131" spans="5:5" ht="15" customHeight="1">
      <c r="E2131" s="61"/>
    </row>
    <row r="2132" spans="5:5" ht="15" customHeight="1">
      <c r="E2132" s="61"/>
    </row>
    <row r="2133" spans="5:5" ht="15" customHeight="1">
      <c r="E2133" s="61"/>
    </row>
    <row r="2134" spans="5:5" ht="15" customHeight="1">
      <c r="E2134" s="61"/>
    </row>
    <row r="2135" spans="5:5" ht="15" customHeight="1">
      <c r="E2135" s="61"/>
    </row>
    <row r="2136" spans="5:5" ht="15" customHeight="1">
      <c r="E2136" s="61"/>
    </row>
    <row r="2137" spans="5:5" ht="15" customHeight="1">
      <c r="E2137" s="61"/>
    </row>
    <row r="2138" spans="5:5" ht="15" customHeight="1">
      <c r="E2138" s="61"/>
    </row>
    <row r="2139" spans="5:5" ht="15" customHeight="1">
      <c r="E2139" s="61"/>
    </row>
    <row r="2140" spans="5:5" ht="15" customHeight="1"/>
    <row r="2141" spans="5:5" ht="15" customHeight="1"/>
    <row r="2142" spans="5:5" ht="15" customHeight="1"/>
    <row r="2143" spans="5:5" ht="15" customHeight="1"/>
    <row r="2144" spans="5:5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</sheetData>
  <autoFilter ref="B7:N1180" xr:uid="{00000000-0001-0000-0300-000000000000}"/>
  <mergeCells count="12">
    <mergeCell ref="M8:N8"/>
    <mergeCell ref="B7:B8"/>
    <mergeCell ref="C7:C8"/>
    <mergeCell ref="F7:F8"/>
    <mergeCell ref="G7:G8"/>
    <mergeCell ref="J7:J8"/>
    <mergeCell ref="K7:K8"/>
    <mergeCell ref="L7:L8"/>
    <mergeCell ref="H7:H8"/>
    <mergeCell ref="I7:I8"/>
    <mergeCell ref="E7:E8"/>
    <mergeCell ref="D7:D8"/>
  </mergeCells>
  <conditionalFormatting sqref="M8">
    <cfRule type="expression" dxfId="0" priority="1">
      <formula>$M$8="Tidak Seimbang"</formula>
    </cfRule>
  </conditionalFormatting>
  <dataValidations count="1">
    <dataValidation type="list" allowBlank="1" showInputMessage="1" showErrorMessage="1" sqref="K1324:K1668 K1179:K1237 K353:K580 K717:K953" xr:uid="{00000000-0002-0000-0300-000000000000}">
      <formula1>ChartofAccounts</formula1>
    </dataValidation>
  </dataValidations>
  <pageMargins left="0.7" right="0.7" top="0.75" bottom="0.75" header="0.3" footer="0.3"/>
  <pageSetup paperSize="9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06F5BC-8111-48A3-92CC-0A2EF69A78A0}">
          <x14:formula1>
            <xm:f>'SUPPLIER CODE'!$A$2:$A$121</xm:f>
          </x14:formula1>
          <xm:sqref>G1662:G1048576 G1237 G1:G8</xm:sqref>
        </x14:dataValidation>
        <x14:dataValidation type="list" allowBlank="1" showInputMessage="1" showErrorMessage="1" xr:uid="{00000000-0002-0000-0300-000001000000}">
          <x14:formula1>
            <xm:f>'SUPPLIER CODE'!$A$6:$A$1048576</xm:f>
          </x14:formula1>
          <xm:sqref>E1667:E2139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 tint="0.59999389629810485"/>
  </sheetPr>
  <dimension ref="A3:B3"/>
  <sheetViews>
    <sheetView workbookViewId="0">
      <selection activeCell="I8" sqref="I8"/>
    </sheetView>
  </sheetViews>
  <sheetFormatPr defaultRowHeight="14.45"/>
  <cols>
    <col min="1" max="1" width="21" customWidth="1"/>
    <col min="2" max="2" width="16.625" customWidth="1"/>
  </cols>
  <sheetData>
    <row r="3" spans="1:2" ht="15.6">
      <c r="A3" t="s">
        <v>816</v>
      </c>
      <c r="B3" s="62" t="s">
        <v>817</v>
      </c>
    </row>
  </sheetData>
  <hyperlinks>
    <hyperlink ref="B3" r:id="rId1" xr:uid="{00000000-0004-0000-0700-000000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21"/>
  <sheetViews>
    <sheetView topLeftCell="A104" workbookViewId="0">
      <selection activeCell="C123" sqref="C123"/>
    </sheetView>
  </sheetViews>
  <sheetFormatPr defaultRowHeight="14.45"/>
  <cols>
    <col min="1" max="1" width="21.25" customWidth="1"/>
  </cols>
  <sheetData>
    <row r="1" spans="1:1">
      <c r="A1" s="60" t="s">
        <v>818</v>
      </c>
    </row>
    <row r="2" spans="1:1">
      <c r="A2" s="64" t="s">
        <v>819</v>
      </c>
    </row>
    <row r="3" spans="1:1">
      <c r="A3" s="64" t="s">
        <v>820</v>
      </c>
    </row>
    <row r="4" spans="1:1">
      <c r="A4" s="64" t="s">
        <v>821</v>
      </c>
    </row>
    <row r="5" spans="1:1">
      <c r="A5" s="64" t="s">
        <v>822</v>
      </c>
    </row>
    <row r="6" spans="1:1">
      <c r="A6" s="51" t="s">
        <v>209</v>
      </c>
    </row>
    <row r="7" spans="1:1">
      <c r="A7" s="50" t="s">
        <v>334</v>
      </c>
    </row>
    <row r="8" spans="1:1">
      <c r="A8" s="52" t="s">
        <v>823</v>
      </c>
    </row>
    <row r="9" spans="1:1">
      <c r="A9" s="53" t="s">
        <v>824</v>
      </c>
    </row>
    <row r="10" spans="1:1">
      <c r="A10" s="50" t="s">
        <v>825</v>
      </c>
    </row>
    <row r="11" spans="1:1">
      <c r="A11" s="54" t="s">
        <v>826</v>
      </c>
    </row>
    <row r="12" spans="1:1">
      <c r="A12" s="50" t="s">
        <v>827</v>
      </c>
    </row>
    <row r="13" spans="1:1">
      <c r="A13" s="51" t="s">
        <v>828</v>
      </c>
    </row>
    <row r="14" spans="1:1">
      <c r="A14" s="52" t="s">
        <v>829</v>
      </c>
    </row>
    <row r="15" spans="1:1">
      <c r="A15" s="50" t="s">
        <v>319</v>
      </c>
    </row>
    <row r="16" spans="1:1">
      <c r="A16" s="54" t="s">
        <v>830</v>
      </c>
    </row>
    <row r="17" spans="1:1">
      <c r="A17" s="54" t="s">
        <v>452</v>
      </c>
    </row>
    <row r="18" spans="1:1">
      <c r="A18" s="52" t="s">
        <v>831</v>
      </c>
    </row>
    <row r="19" spans="1:1">
      <c r="A19" s="52" t="s">
        <v>832</v>
      </c>
    </row>
    <row r="20" spans="1:1">
      <c r="A20" s="51" t="s">
        <v>410</v>
      </c>
    </row>
    <row r="21" spans="1:1">
      <c r="A21" s="50" t="s">
        <v>336</v>
      </c>
    </row>
    <row r="22" spans="1:1">
      <c r="A22" s="52" t="s">
        <v>833</v>
      </c>
    </row>
    <row r="23" spans="1:1">
      <c r="A23" s="54" t="s">
        <v>834</v>
      </c>
    </row>
    <row r="24" spans="1:1">
      <c r="A24" s="52" t="s">
        <v>289</v>
      </c>
    </row>
    <row r="25" spans="1:1">
      <c r="A25" s="54" t="s">
        <v>835</v>
      </c>
    </row>
    <row r="26" spans="1:1">
      <c r="A26" s="54" t="s">
        <v>836</v>
      </c>
    </row>
    <row r="27" spans="1:1">
      <c r="A27" s="52" t="s">
        <v>197</v>
      </c>
    </row>
    <row r="28" spans="1:1">
      <c r="A28" s="54" t="s">
        <v>837</v>
      </c>
    </row>
    <row r="29" spans="1:1">
      <c r="A29" s="52" t="s">
        <v>838</v>
      </c>
    </row>
    <row r="30" spans="1:1">
      <c r="A30" s="51" t="s">
        <v>839</v>
      </c>
    </row>
    <row r="31" spans="1:1">
      <c r="A31" s="51" t="s">
        <v>840</v>
      </c>
    </row>
    <row r="32" spans="1:1">
      <c r="A32" s="55" t="s">
        <v>178</v>
      </c>
    </row>
    <row r="33" spans="1:1">
      <c r="A33" s="55" t="s">
        <v>841</v>
      </c>
    </row>
    <row r="34" spans="1:1">
      <c r="A34" s="56" t="s">
        <v>842</v>
      </c>
    </row>
    <row r="35" spans="1:1">
      <c r="A35" s="50" t="s">
        <v>194</v>
      </c>
    </row>
    <row r="36" spans="1:1">
      <c r="A36" s="57" t="s">
        <v>843</v>
      </c>
    </row>
    <row r="37" spans="1:1">
      <c r="A37" s="50" t="s">
        <v>218</v>
      </c>
    </row>
    <row r="38" spans="1:1">
      <c r="A38" s="55" t="s">
        <v>341</v>
      </c>
    </row>
    <row r="39" spans="1:1">
      <c r="A39" s="51" t="s">
        <v>844</v>
      </c>
    </row>
    <row r="40" spans="1:1">
      <c r="A40" s="58" t="s">
        <v>845</v>
      </c>
    </row>
    <row r="41" spans="1:1">
      <c r="A41" s="73" t="s">
        <v>846</v>
      </c>
    </row>
    <row r="42" spans="1:1">
      <c r="A42" s="52" t="s">
        <v>847</v>
      </c>
    </row>
    <row r="43" spans="1:1">
      <c r="A43" s="54" t="s">
        <v>848</v>
      </c>
    </row>
    <row r="44" spans="1:1">
      <c r="A44" s="52" t="s">
        <v>849</v>
      </c>
    </row>
    <row r="45" spans="1:1">
      <c r="A45" s="54" t="s">
        <v>850</v>
      </c>
    </row>
    <row r="46" spans="1:1">
      <c r="A46" s="54" t="s">
        <v>202</v>
      </c>
    </row>
    <row r="47" spans="1:1">
      <c r="A47" s="50" t="s">
        <v>851</v>
      </c>
    </row>
    <row r="48" spans="1:1">
      <c r="A48" s="50" t="s">
        <v>187</v>
      </c>
    </row>
    <row r="49" spans="1:1">
      <c r="A49" s="51" t="s">
        <v>283</v>
      </c>
    </row>
    <row r="50" spans="1:1">
      <c r="A50" s="52" t="s">
        <v>338</v>
      </c>
    </row>
    <row r="51" spans="1:1">
      <c r="A51" s="51" t="s">
        <v>852</v>
      </c>
    </row>
    <row r="52" spans="1:1">
      <c r="A52" s="51" t="s">
        <v>853</v>
      </c>
    </row>
    <row r="53" spans="1:1">
      <c r="A53" s="50" t="s">
        <v>854</v>
      </c>
    </row>
    <row r="54" spans="1:1">
      <c r="A54" s="54" t="s">
        <v>855</v>
      </c>
    </row>
    <row r="55" spans="1:1">
      <c r="A55" s="50" t="s">
        <v>225</v>
      </c>
    </row>
    <row r="56" spans="1:1">
      <c r="A56" s="50" t="s">
        <v>856</v>
      </c>
    </row>
    <row r="57" spans="1:1">
      <c r="A57" s="50" t="s">
        <v>857</v>
      </c>
    </row>
    <row r="58" spans="1:1">
      <c r="A58" s="50" t="s">
        <v>380</v>
      </c>
    </row>
    <row r="59" spans="1:1">
      <c r="A59" s="52" t="s">
        <v>858</v>
      </c>
    </row>
    <row r="60" spans="1:1">
      <c r="A60" s="52" t="s">
        <v>859</v>
      </c>
    </row>
    <row r="61" spans="1:1">
      <c r="A61" s="51" t="s">
        <v>860</v>
      </c>
    </row>
    <row r="62" spans="1:1">
      <c r="A62" s="51" t="s">
        <v>861</v>
      </c>
    </row>
    <row r="63" spans="1:1">
      <c r="A63" s="54" t="s">
        <v>862</v>
      </c>
    </row>
    <row r="64" spans="1:1">
      <c r="A64" s="50" t="s">
        <v>863</v>
      </c>
    </row>
    <row r="65" spans="1:1">
      <c r="A65" s="52" t="s">
        <v>864</v>
      </c>
    </row>
    <row r="66" spans="1:1">
      <c r="A66" s="54" t="s">
        <v>204</v>
      </c>
    </row>
    <row r="67" spans="1:1">
      <c r="A67" s="50" t="s">
        <v>865</v>
      </c>
    </row>
    <row r="68" spans="1:1">
      <c r="A68" s="51" t="s">
        <v>866</v>
      </c>
    </row>
    <row r="69" spans="1:1">
      <c r="A69" s="51" t="s">
        <v>189</v>
      </c>
    </row>
    <row r="70" spans="1:1">
      <c r="A70" s="54" t="s">
        <v>867</v>
      </c>
    </row>
    <row r="71" spans="1:1">
      <c r="A71" s="51" t="s">
        <v>868</v>
      </c>
    </row>
    <row r="72" spans="1:1">
      <c r="A72" s="52" t="s">
        <v>869</v>
      </c>
    </row>
    <row r="73" spans="1:1">
      <c r="A73" s="51" t="s">
        <v>870</v>
      </c>
    </row>
    <row r="74" spans="1:1">
      <c r="A74" s="167" t="s">
        <v>871</v>
      </c>
    </row>
    <row r="75" spans="1:1">
      <c r="A75" s="52" t="s">
        <v>377</v>
      </c>
    </row>
    <row r="76" spans="1:1">
      <c r="A76" s="54" t="s">
        <v>229</v>
      </c>
    </row>
    <row r="77" spans="1:1">
      <c r="A77" s="50" t="s">
        <v>872</v>
      </c>
    </row>
    <row r="78" spans="1:1">
      <c r="A78" s="50" t="s">
        <v>191</v>
      </c>
    </row>
    <row r="79" spans="1:1">
      <c r="A79" s="59" t="s">
        <v>873</v>
      </c>
    </row>
    <row r="80" spans="1:1">
      <c r="A80" s="54" t="s">
        <v>274</v>
      </c>
    </row>
    <row r="81" spans="1:1">
      <c r="A81" s="50" t="s">
        <v>252</v>
      </c>
    </row>
    <row r="82" spans="1:1">
      <c r="A82" s="54" t="s">
        <v>874</v>
      </c>
    </row>
    <row r="83" spans="1:1">
      <c r="A83" s="51" t="s">
        <v>875</v>
      </c>
    </row>
    <row r="84" spans="1:1">
      <c r="A84" s="51" t="s">
        <v>876</v>
      </c>
    </row>
    <row r="85" spans="1:1">
      <c r="A85" s="54" t="s">
        <v>214</v>
      </c>
    </row>
    <row r="86" spans="1:1">
      <c r="A86" s="58" t="s">
        <v>877</v>
      </c>
    </row>
    <row r="87" spans="1:1">
      <c r="A87" s="54" t="s">
        <v>474</v>
      </c>
    </row>
    <row r="88" spans="1:1">
      <c r="A88" s="50" t="s">
        <v>878</v>
      </c>
    </row>
    <row r="89" spans="1:1">
      <c r="A89" s="54" t="s">
        <v>879</v>
      </c>
    </row>
    <row r="90" spans="1:1">
      <c r="A90" s="52" t="s">
        <v>880</v>
      </c>
    </row>
    <row r="91" spans="1:1">
      <c r="A91" s="52" t="s">
        <v>311</v>
      </c>
    </row>
    <row r="92" spans="1:1">
      <c r="A92" s="51" t="s">
        <v>881</v>
      </c>
    </row>
    <row r="93" spans="1:1">
      <c r="A93" s="51" t="s">
        <v>882</v>
      </c>
    </row>
    <row r="94" spans="1:1">
      <c r="A94" s="54" t="s">
        <v>883</v>
      </c>
    </row>
    <row r="95" spans="1:1">
      <c r="A95" s="54" t="s">
        <v>884</v>
      </c>
    </row>
    <row r="96" spans="1:1">
      <c r="A96" s="54" t="s">
        <v>885</v>
      </c>
    </row>
    <row r="97" spans="1:1">
      <c r="A97" s="54" t="s">
        <v>886</v>
      </c>
    </row>
    <row r="98" spans="1:1">
      <c r="A98" s="55" t="s">
        <v>887</v>
      </c>
    </row>
    <row r="99" spans="1:1">
      <c r="A99" s="55" t="s">
        <v>888</v>
      </c>
    </row>
    <row r="100" spans="1:1">
      <c r="A100" s="54" t="s">
        <v>420</v>
      </c>
    </row>
    <row r="101" spans="1:1">
      <c r="A101" s="54" t="s">
        <v>889</v>
      </c>
    </row>
    <row r="102" spans="1:1">
      <c r="A102" s="50" t="s">
        <v>890</v>
      </c>
    </row>
    <row r="103" spans="1:1">
      <c r="A103" s="50" t="s">
        <v>167</v>
      </c>
    </row>
    <row r="104" spans="1:1">
      <c r="A104" s="51" t="s">
        <v>891</v>
      </c>
    </row>
    <row r="105" spans="1:1">
      <c r="A105" s="54" t="s">
        <v>386</v>
      </c>
    </row>
    <row r="106" spans="1:1">
      <c r="A106" s="50" t="s">
        <v>892</v>
      </c>
    </row>
    <row r="107" spans="1:1">
      <c r="A107" s="50" t="s">
        <v>893</v>
      </c>
    </row>
    <row r="108" spans="1:1">
      <c r="A108" s="54" t="s">
        <v>894</v>
      </c>
    </row>
    <row r="109" spans="1:1">
      <c r="A109" s="54" t="s">
        <v>444</v>
      </c>
    </row>
    <row r="110" spans="1:1">
      <c r="A110" s="50" t="s">
        <v>292</v>
      </c>
    </row>
    <row r="111" spans="1:1">
      <c r="A111" s="52" t="s">
        <v>895</v>
      </c>
    </row>
    <row r="112" spans="1:1">
      <c r="A112" s="56" t="s">
        <v>896</v>
      </c>
    </row>
    <row r="113" spans="1:1">
      <c r="A113" s="52" t="s">
        <v>164</v>
      </c>
    </row>
    <row r="114" spans="1:1">
      <c r="A114" s="55" t="s">
        <v>897</v>
      </c>
    </row>
    <row r="115" spans="1:1">
      <c r="A115" s="54" t="s">
        <v>898</v>
      </c>
    </row>
    <row r="116" spans="1:1">
      <c r="A116" s="50" t="s">
        <v>899</v>
      </c>
    </row>
    <row r="117" spans="1:1">
      <c r="A117" s="55" t="s">
        <v>900</v>
      </c>
    </row>
    <row r="118" spans="1:1">
      <c r="A118" s="52" t="s">
        <v>901</v>
      </c>
    </row>
    <row r="119" spans="1:1">
      <c r="A119" s="54" t="s">
        <v>351</v>
      </c>
    </row>
    <row r="120" spans="1:1">
      <c r="A120" s="63" t="s">
        <v>207</v>
      </c>
    </row>
    <row r="121" spans="1:1">
      <c r="A121" s="248" t="s">
        <v>902</v>
      </c>
    </row>
  </sheetData>
  <autoFilter ref="A1:A120" xr:uid="{00000000-0009-0000-0000-000008000000}">
    <sortState xmlns:xlrd2="http://schemas.microsoft.com/office/spreadsheetml/2017/richdata2" ref="A2:A121">
      <sortCondition ref="A1:A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R. Musadya</dc:creator>
  <cp:keywords/>
  <dc:description/>
  <cp:lastModifiedBy>Maristela Dagoya</cp:lastModifiedBy>
  <cp:revision/>
  <dcterms:created xsi:type="dcterms:W3CDTF">2017-05-13T13:18:00Z</dcterms:created>
  <dcterms:modified xsi:type="dcterms:W3CDTF">2026-07-22T06:45:00Z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B9E2B86DAE4F4049B1D612512BA82621_12</vt:lpwstr>
  </property>
  <property fmtid="{D5CDD505-2E9C-101B-9397-08002B2CF9AE}" pid="3" name="KSOProductBuildVer">
    <vt:lpwstr>1033-12.2.0.18283</vt:lpwstr>
  </property>
</Properties>
</file>