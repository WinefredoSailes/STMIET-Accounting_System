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CASHIER'S FILES\FILES FOR  WEEKLY COLLECTION SUMMARY\"/>
    </mc:Choice>
  </mc:AlternateContent>
  <bookViews>
    <workbookView xWindow="0" yWindow="0" windowWidth="28800" windowHeight="12300" firstSheet="4" activeTab="7"/>
  </bookViews>
  <sheets>
    <sheet name="7.15.25 " sheetId="8" r:id="rId1"/>
    <sheet name="7.16.25" sheetId="2" r:id="rId2"/>
    <sheet name="7.17.25" sheetId="13" r:id="rId3"/>
    <sheet name="7.18.25" sheetId="11" r:id="rId4"/>
    <sheet name="7.19.25" sheetId="7" r:id="rId5"/>
    <sheet name="7.21.25" sheetId="14" r:id="rId6"/>
    <sheet name="JULY 15-21,2025" sheetId="15" r:id="rId7"/>
    <sheet name="JULY 15-21,2025 (2)" sheetId="17" r:id="rId8"/>
    <sheet name="Sheet1" sheetId="16" r:id="rId9"/>
  </sheets>
  <definedNames>
    <definedName name="_xlnm._FilterDatabase" localSheetId="0" hidden="1">'7.15.25 '!$A$4:$V$24</definedName>
    <definedName name="_xlnm._FilterDatabase" localSheetId="1" hidden="1">'7.16.25'!$A$4:$U$27</definedName>
    <definedName name="_xlnm._FilterDatabase" localSheetId="2" hidden="1">'7.17.25'!$A$5:$V$34</definedName>
    <definedName name="_xlnm._FilterDatabase" localSheetId="3" hidden="1">'7.18.25'!$A$5:$U$46</definedName>
    <definedName name="_xlnm._FilterDatabase" localSheetId="6" hidden="1">'JULY 15-21,2025'!$A$4:$W$127</definedName>
    <definedName name="_xlnm._FilterDatabase" localSheetId="7" hidden="1">'JULY 15-21,2025 (2)'!$A$4:$W$124</definedName>
    <definedName name="_xlnm.Print_Area" localSheetId="6">'JULY 15-21,2025'!$A$1:$X$125</definedName>
    <definedName name="_xlnm.Print_Area" localSheetId="7">'JULY 15-21,2025 (2)'!$A$1:$X$122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0" i="17" l="1"/>
  <c r="V139" i="17"/>
  <c r="V138" i="17"/>
  <c r="U137" i="17"/>
  <c r="U136" i="17"/>
  <c r="U135" i="17"/>
  <c r="U134" i="17"/>
  <c r="U133" i="17"/>
  <c r="U132" i="17"/>
  <c r="U131" i="17"/>
  <c r="U130" i="17"/>
  <c r="H159" i="17"/>
  <c r="Y111" i="17"/>
  <c r="U110" i="17"/>
  <c r="T110" i="17"/>
  <c r="S110" i="17"/>
  <c r="R110" i="17"/>
  <c r="Q110" i="17"/>
  <c r="Q114" i="17" s="1"/>
  <c r="P110" i="17"/>
  <c r="P114" i="17" s="1"/>
  <c r="O110" i="17"/>
  <c r="O114" i="17" s="1"/>
  <c r="N110" i="17"/>
  <c r="N114" i="17" s="1"/>
  <c r="M110" i="17"/>
  <c r="M114" i="17" s="1"/>
  <c r="L110" i="17"/>
  <c r="L114" i="17" s="1"/>
  <c r="K110" i="17"/>
  <c r="K114" i="17" s="1"/>
  <c r="J110" i="17"/>
  <c r="I110" i="17"/>
  <c r="H110" i="17"/>
  <c r="H114" i="17" s="1"/>
  <c r="G110" i="17"/>
  <c r="F110" i="17"/>
  <c r="U129" i="17" s="1"/>
  <c r="Y109" i="17"/>
  <c r="V109" i="17"/>
  <c r="Y108" i="17"/>
  <c r="Y107" i="17"/>
  <c r="V107" i="17"/>
  <c r="Y106" i="17"/>
  <c r="V106" i="17"/>
  <c r="Y105" i="17"/>
  <c r="V105" i="17"/>
  <c r="Y104" i="17"/>
  <c r="V104" i="17"/>
  <c r="Y103" i="17"/>
  <c r="V103" i="17"/>
  <c r="Y102" i="17"/>
  <c r="V102" i="17"/>
  <c r="Y101" i="17"/>
  <c r="V101" i="17"/>
  <c r="Y100" i="17"/>
  <c r="V100" i="17"/>
  <c r="Y99" i="17"/>
  <c r="V99" i="17"/>
  <c r="Y98" i="17"/>
  <c r="V98" i="17"/>
  <c r="Y97" i="17"/>
  <c r="V97" i="17"/>
  <c r="Y96" i="17"/>
  <c r="V96" i="17"/>
  <c r="Y95" i="17"/>
  <c r="V95" i="17"/>
  <c r="Y94" i="17"/>
  <c r="V94" i="17"/>
  <c r="Y93" i="17"/>
  <c r="V93" i="17"/>
  <c r="Y92" i="17"/>
  <c r="V92" i="17"/>
  <c r="Y91" i="17"/>
  <c r="V91" i="17"/>
  <c r="Y90" i="17"/>
  <c r="V90" i="17"/>
  <c r="Y89" i="17"/>
  <c r="V89" i="17"/>
  <c r="Y88" i="17"/>
  <c r="V88" i="17"/>
  <c r="Y87" i="17"/>
  <c r="V87" i="17"/>
  <c r="Y86" i="17"/>
  <c r="V86" i="17"/>
  <c r="Y85" i="17"/>
  <c r="V85" i="17"/>
  <c r="Y84" i="17"/>
  <c r="V84" i="17"/>
  <c r="Y83" i="17"/>
  <c r="V83" i="17"/>
  <c r="Y82" i="17"/>
  <c r="V82" i="17"/>
  <c r="Y81" i="17"/>
  <c r="V81" i="17"/>
  <c r="Y80" i="17"/>
  <c r="V80" i="17"/>
  <c r="Y79" i="17"/>
  <c r="V79" i="17"/>
  <c r="Y78" i="17"/>
  <c r="V78" i="17"/>
  <c r="Y77" i="17"/>
  <c r="V77" i="17"/>
  <c r="Y76" i="17"/>
  <c r="V76" i="17"/>
  <c r="Y75" i="17"/>
  <c r="V75" i="17"/>
  <c r="Y74" i="17"/>
  <c r="V74" i="17"/>
  <c r="Y73" i="17"/>
  <c r="V73" i="17"/>
  <c r="Y72" i="17"/>
  <c r="V72" i="17"/>
  <c r="Y71" i="17"/>
  <c r="V71" i="17"/>
  <c r="Y70" i="17"/>
  <c r="V70" i="17"/>
  <c r="Y69" i="17"/>
  <c r="V69" i="17"/>
  <c r="Y68" i="17"/>
  <c r="V68" i="17"/>
  <c r="Y67" i="17"/>
  <c r="V67" i="17"/>
  <c r="Y66" i="17"/>
  <c r="V66" i="17"/>
  <c r="Y65" i="17"/>
  <c r="V65" i="17"/>
  <c r="Y64" i="17"/>
  <c r="V64" i="17"/>
  <c r="Y63" i="17"/>
  <c r="V63" i="17"/>
  <c r="Y62" i="17"/>
  <c r="V62" i="17"/>
  <c r="Y61" i="17"/>
  <c r="V61" i="17"/>
  <c r="Y60" i="17"/>
  <c r="V60" i="17"/>
  <c r="Y59" i="17"/>
  <c r="V59" i="17"/>
  <c r="Y58" i="17"/>
  <c r="V58" i="17"/>
  <c r="Y57" i="17"/>
  <c r="V57" i="17"/>
  <c r="Y56" i="17"/>
  <c r="V56" i="17"/>
  <c r="Y55" i="17"/>
  <c r="V55" i="17"/>
  <c r="Y54" i="17"/>
  <c r="V54" i="17"/>
  <c r="Y53" i="17"/>
  <c r="V53" i="17"/>
  <c r="Y52" i="17"/>
  <c r="V52" i="17"/>
  <c r="Y51" i="17"/>
  <c r="V51" i="17"/>
  <c r="Y50" i="17"/>
  <c r="V50" i="17"/>
  <c r="Y49" i="17"/>
  <c r="V49" i="17"/>
  <c r="Y48" i="17"/>
  <c r="V48" i="17"/>
  <c r="Y47" i="17"/>
  <c r="V47" i="17"/>
  <c r="Y46" i="17"/>
  <c r="V46" i="17"/>
  <c r="Y45" i="17"/>
  <c r="V45" i="17"/>
  <c r="Y44" i="17"/>
  <c r="V44" i="17"/>
  <c r="Y43" i="17"/>
  <c r="V43" i="17"/>
  <c r="Y42" i="17"/>
  <c r="V42" i="17"/>
  <c r="Y41" i="17"/>
  <c r="V41" i="17"/>
  <c r="Y40" i="17"/>
  <c r="V40" i="17"/>
  <c r="Y39" i="17"/>
  <c r="V39" i="17"/>
  <c r="Y38" i="17"/>
  <c r="V38" i="17"/>
  <c r="Y37" i="17"/>
  <c r="V37" i="17"/>
  <c r="Y36" i="17"/>
  <c r="V36" i="17"/>
  <c r="Y35" i="17"/>
  <c r="V35" i="17"/>
  <c r="Y34" i="17"/>
  <c r="V34" i="17"/>
  <c r="Y33" i="17"/>
  <c r="V33" i="17"/>
  <c r="Y32" i="17"/>
  <c r="V32" i="17"/>
  <c r="Y31" i="17"/>
  <c r="V31" i="17"/>
  <c r="Y30" i="17"/>
  <c r="V30" i="17"/>
  <c r="Y29" i="17"/>
  <c r="V29" i="17"/>
  <c r="Y28" i="17"/>
  <c r="V28" i="17"/>
  <c r="Y27" i="17"/>
  <c r="V27" i="17"/>
  <c r="Y26" i="17"/>
  <c r="V26" i="17"/>
  <c r="Y25" i="17"/>
  <c r="V25" i="17"/>
  <c r="Y24" i="17"/>
  <c r="V24" i="17"/>
  <c r="Y23" i="17"/>
  <c r="V23" i="17"/>
  <c r="Y22" i="17"/>
  <c r="V22" i="17"/>
  <c r="Y21" i="17"/>
  <c r="V21" i="17"/>
  <c r="Y20" i="17"/>
  <c r="V20" i="17"/>
  <c r="Y19" i="17"/>
  <c r="V19" i="17"/>
  <c r="Y18" i="17"/>
  <c r="V18" i="17"/>
  <c r="Y17" i="17"/>
  <c r="V17" i="17"/>
  <c r="Y16" i="17"/>
  <c r="V16" i="17"/>
  <c r="Y15" i="17"/>
  <c r="V15" i="17"/>
  <c r="Y14" i="17"/>
  <c r="V14" i="17"/>
  <c r="Y13" i="17"/>
  <c r="V13" i="17"/>
  <c r="Y12" i="17"/>
  <c r="V12" i="17"/>
  <c r="Y11" i="17"/>
  <c r="V11" i="17"/>
  <c r="Y10" i="17"/>
  <c r="V10" i="17"/>
  <c r="Y9" i="17"/>
  <c r="V9" i="17"/>
  <c r="Y8" i="17"/>
  <c r="V8" i="17"/>
  <c r="Y7" i="17"/>
  <c r="V7" i="17"/>
  <c r="Y6" i="17"/>
  <c r="V6" i="17"/>
  <c r="U134" i="15"/>
  <c r="U133" i="15"/>
  <c r="U129" i="15" s="1"/>
  <c r="U132" i="15"/>
  <c r="V143" i="15"/>
  <c r="V142" i="15"/>
  <c r="V141" i="15"/>
  <c r="V129" i="15" s="1"/>
  <c r="U140" i="15"/>
  <c r="U139" i="15"/>
  <c r="U138" i="15"/>
  <c r="U137" i="15"/>
  <c r="U136" i="15"/>
  <c r="U135" i="15"/>
  <c r="I114" i="17" l="1"/>
  <c r="V110" i="17"/>
  <c r="V117" i="17"/>
  <c r="V118" i="17"/>
  <c r="V126" i="17"/>
  <c r="U126" i="17"/>
  <c r="Y110" i="17"/>
  <c r="J114" i="17"/>
  <c r="H162" i="15"/>
  <c r="V119" i="17" l="1"/>
  <c r="G113" i="15"/>
  <c r="V121" i="15" s="1"/>
  <c r="F113" i="15"/>
  <c r="Q113" i="15"/>
  <c r="L113" i="15"/>
  <c r="L117" i="15" s="1"/>
  <c r="M113" i="15"/>
  <c r="M117" i="15" s="1"/>
  <c r="N113" i="15"/>
  <c r="N117" i="15" s="1"/>
  <c r="O113" i="15"/>
  <c r="O117" i="15" s="1"/>
  <c r="P113" i="15"/>
  <c r="Y15" i="15"/>
  <c r="Y9" i="15"/>
  <c r="Y6" i="15"/>
  <c r="Y16" i="15"/>
  <c r="Y35" i="15"/>
  <c r="Y78" i="15"/>
  <c r="J117" i="15"/>
  <c r="K117" i="15"/>
  <c r="H117" i="15"/>
  <c r="K113" i="15"/>
  <c r="J113" i="15"/>
  <c r="I113" i="15"/>
  <c r="I117" i="15" s="1"/>
  <c r="H113" i="15"/>
  <c r="Y10" i="15"/>
  <c r="Y11" i="15"/>
  <c r="Y12" i="15"/>
  <c r="Y13" i="15"/>
  <c r="Y14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6" i="15"/>
  <c r="Y37" i="15"/>
  <c r="Y8" i="15"/>
  <c r="Y113" i="15" l="1"/>
  <c r="P117" i="15"/>
  <c r="V120" i="15"/>
  <c r="Y7" i="15" l="1"/>
  <c r="V6" i="15" l="1"/>
  <c r="U6" i="8"/>
  <c r="W6" i="8"/>
  <c r="U77" i="16"/>
  <c r="U73" i="16"/>
  <c r="U72" i="16"/>
  <c r="U71" i="16"/>
  <c r="U70" i="16"/>
  <c r="U69" i="16"/>
  <c r="U68" i="16"/>
  <c r="U67" i="16"/>
  <c r="U66" i="16"/>
  <c r="U65" i="16"/>
  <c r="U64" i="16"/>
  <c r="U63" i="16"/>
  <c r="U62" i="16"/>
  <c r="U61" i="16"/>
  <c r="U60" i="16"/>
  <c r="U59" i="16"/>
  <c r="U58" i="16"/>
  <c r="U57" i="16"/>
  <c r="U56" i="16"/>
  <c r="U55" i="16"/>
  <c r="U54" i="16"/>
  <c r="U5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9" i="16"/>
  <c r="U8" i="16"/>
  <c r="U7" i="16"/>
  <c r="U6" i="16"/>
  <c r="U5" i="16"/>
  <c r="U4" i="16"/>
  <c r="U3" i="16"/>
  <c r="U2" i="16"/>
  <c r="U1" i="16"/>
  <c r="V110" i="15"/>
  <c r="U113" i="15"/>
  <c r="S113" i="15"/>
  <c r="V90" i="15"/>
  <c r="U12" i="13"/>
  <c r="V17" i="15"/>
  <c r="X15" i="8"/>
  <c r="X14" i="8"/>
  <c r="X9" i="8"/>
  <c r="U9" i="8"/>
  <c r="X8" i="8"/>
  <c r="X10" i="8"/>
  <c r="X11" i="8"/>
  <c r="X12" i="8"/>
  <c r="X13" i="8"/>
  <c r="X16" i="8"/>
  <c r="X17" i="8"/>
  <c r="X18" i="8"/>
  <c r="X19" i="8"/>
  <c r="X20" i="8"/>
  <c r="X21" i="8"/>
  <c r="X22" i="8"/>
  <c r="X23" i="8"/>
  <c r="X7" i="8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112" i="15"/>
  <c r="T39" i="11"/>
  <c r="U39" i="11" s="1"/>
  <c r="U10" i="14"/>
  <c r="U11" i="14"/>
  <c r="T9" i="7"/>
  <c r="W10" i="7"/>
  <c r="W8" i="7"/>
  <c r="W9" i="7"/>
  <c r="W11" i="7"/>
  <c r="W12" i="7"/>
  <c r="W13" i="7"/>
  <c r="W14" i="7"/>
  <c r="W7" i="7"/>
  <c r="T7" i="7"/>
  <c r="U9" i="14"/>
  <c r="T16" i="14"/>
  <c r="U16" i="14" s="1"/>
  <c r="T17" i="14"/>
  <c r="U17" i="14" s="1"/>
  <c r="T18" i="14"/>
  <c r="T19" i="14"/>
  <c r="T20" i="14"/>
  <c r="T21" i="14"/>
  <c r="T15" i="14"/>
  <c r="U15" i="14" s="1"/>
  <c r="T14" i="14"/>
  <c r="U14" i="14" s="1"/>
  <c r="T13" i="14"/>
  <c r="U13" i="14" s="1"/>
  <c r="T12" i="14"/>
  <c r="U12" i="14" s="1"/>
  <c r="T35" i="11"/>
  <c r="T36" i="11"/>
  <c r="T37" i="11"/>
  <c r="T38" i="11"/>
  <c r="T40" i="11"/>
  <c r="T41" i="11"/>
  <c r="T42" i="11"/>
  <c r="T43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44" i="11"/>
  <c r="G15" i="7"/>
  <c r="S15" i="7"/>
  <c r="O15" i="7"/>
  <c r="L15" i="7"/>
  <c r="H15" i="7"/>
  <c r="F15" i="7"/>
  <c r="T8" i="7"/>
  <c r="T10" i="7"/>
  <c r="T11" i="7"/>
  <c r="U8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7" i="14"/>
  <c r="X15" i="11"/>
  <c r="X16" i="11"/>
  <c r="X8" i="11"/>
  <c r="X9" i="11"/>
  <c r="X10" i="11"/>
  <c r="X11" i="11"/>
  <c r="X12" i="11"/>
  <c r="X13" i="11"/>
  <c r="X14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44" i="11"/>
  <c r="X45" i="11"/>
  <c r="X7" i="11"/>
  <c r="T45" i="11"/>
  <c r="T7" i="11"/>
  <c r="U25" i="13"/>
  <c r="U26" i="13"/>
  <c r="U27" i="13"/>
  <c r="N34" i="13"/>
  <c r="L34" i="13"/>
  <c r="U22" i="13"/>
  <c r="U23" i="13"/>
  <c r="U24" i="13"/>
  <c r="U15" i="13"/>
  <c r="U16" i="13"/>
  <c r="U8" i="13"/>
  <c r="U9" i="13"/>
  <c r="U10" i="13"/>
  <c r="U11" i="13"/>
  <c r="U13" i="13"/>
  <c r="U14" i="13"/>
  <c r="U17" i="13"/>
  <c r="U18" i="13"/>
  <c r="U7" i="13"/>
  <c r="U19" i="13"/>
  <c r="U20" i="13"/>
  <c r="U21" i="13"/>
  <c r="U29" i="13"/>
  <c r="U30" i="13"/>
  <c r="U31" i="13"/>
  <c r="T22" i="2"/>
  <c r="T23" i="2"/>
  <c r="T24" i="2"/>
  <c r="T25" i="2"/>
  <c r="T26" i="2"/>
  <c r="T27" i="2"/>
  <c r="U17" i="8"/>
  <c r="U18" i="8"/>
  <c r="U19" i="8"/>
  <c r="T16" i="2"/>
  <c r="T17" i="2"/>
  <c r="T18" i="2"/>
  <c r="T19" i="2"/>
  <c r="T20" i="2"/>
  <c r="T21" i="2"/>
  <c r="T13" i="2"/>
  <c r="T9" i="2"/>
  <c r="T10" i="2"/>
  <c r="T11" i="2"/>
  <c r="T12" i="2"/>
  <c r="T14" i="2"/>
  <c r="T15" i="2"/>
  <c r="T8" i="2"/>
  <c r="T7" i="2"/>
  <c r="T6" i="2"/>
  <c r="H29" i="2"/>
  <c r="M29" i="2"/>
  <c r="L29" i="2"/>
  <c r="U8" i="8"/>
  <c r="U10" i="8"/>
  <c r="U11" i="8"/>
  <c r="U12" i="8"/>
  <c r="U13" i="8"/>
  <c r="U14" i="8"/>
  <c r="U15" i="8"/>
  <c r="U16" i="8"/>
  <c r="U20" i="8"/>
  <c r="U21" i="8"/>
  <c r="U22" i="8"/>
  <c r="U23" i="8"/>
  <c r="U7" i="8"/>
  <c r="V7" i="15"/>
  <c r="V61" i="15"/>
  <c r="V8" i="15"/>
  <c r="V9" i="15"/>
  <c r="V10" i="15"/>
  <c r="V11" i="15"/>
  <c r="V12" i="15"/>
  <c r="V13" i="15"/>
  <c r="V14" i="15"/>
  <c r="V15" i="15"/>
  <c r="V16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2" i="15"/>
  <c r="T113" i="15"/>
  <c r="T36" i="14"/>
  <c r="R113" i="15"/>
  <c r="Y114" i="15"/>
  <c r="X8" i="13"/>
  <c r="X9" i="13"/>
  <c r="X10" i="13"/>
  <c r="X16" i="13"/>
  <c r="X17" i="13"/>
  <c r="X18" i="13"/>
  <c r="X19" i="13"/>
  <c r="X20" i="13"/>
  <c r="X21" i="13"/>
  <c r="X26" i="13"/>
  <c r="X27" i="13"/>
  <c r="X28" i="13"/>
  <c r="X29" i="13"/>
  <c r="X30" i="13"/>
  <c r="X31" i="13"/>
  <c r="X7" i="13"/>
  <c r="M46" i="11"/>
  <c r="M34" i="13"/>
  <c r="T12" i="7"/>
  <c r="Q117" i="15" l="1"/>
  <c r="V122" i="15"/>
  <c r="V113" i="15"/>
  <c r="T15" i="7"/>
  <c r="O24" i="8"/>
  <c r="T29" i="2" l="1"/>
  <c r="S36" i="14"/>
  <c r="R36" i="14"/>
  <c r="Q36" i="14"/>
  <c r="P36" i="14"/>
  <c r="O36" i="14"/>
  <c r="M36" i="14"/>
  <c r="L36" i="14"/>
  <c r="K36" i="14"/>
  <c r="J36" i="14"/>
  <c r="I36" i="14"/>
  <c r="H36" i="14"/>
  <c r="G36" i="14"/>
  <c r="U39" i="14" s="1"/>
  <c r="F36" i="14"/>
  <c r="X22" i="14"/>
  <c r="U36" i="14"/>
  <c r="R15" i="7"/>
  <c r="Q15" i="7"/>
  <c r="T18" i="7" s="1"/>
  <c r="P15" i="7"/>
  <c r="N15" i="7"/>
  <c r="M15" i="7"/>
  <c r="K15" i="7"/>
  <c r="J15" i="7"/>
  <c r="I15" i="7"/>
  <c r="S46" i="11"/>
  <c r="R46" i="11"/>
  <c r="Q46" i="11"/>
  <c r="P46" i="11"/>
  <c r="O46" i="11"/>
  <c r="N46" i="11"/>
  <c r="L46" i="11"/>
  <c r="K46" i="11"/>
  <c r="J46" i="11"/>
  <c r="I46" i="11"/>
  <c r="H46" i="11"/>
  <c r="G46" i="11"/>
  <c r="F46" i="11"/>
  <c r="T34" i="13"/>
  <c r="S34" i="13"/>
  <c r="R34" i="13"/>
  <c r="Q34" i="13"/>
  <c r="P34" i="13"/>
  <c r="O34" i="13"/>
  <c r="K34" i="13"/>
  <c r="J34" i="13"/>
  <c r="I34" i="13"/>
  <c r="H34" i="13"/>
  <c r="G34" i="13"/>
  <c r="F34" i="13"/>
  <c r="U36" i="13" s="1"/>
  <c r="U34" i="13"/>
  <c r="S29" i="2"/>
  <c r="R29" i="2"/>
  <c r="Q29" i="2"/>
  <c r="P29" i="2"/>
  <c r="O29" i="2"/>
  <c r="N29" i="2"/>
  <c r="K29" i="2"/>
  <c r="J29" i="2"/>
  <c r="I29" i="2"/>
  <c r="G29" i="2"/>
  <c r="T32" i="2" s="1"/>
  <c r="F29" i="2"/>
  <c r="T31" i="2" s="1"/>
  <c r="T24" i="8"/>
  <c r="S24" i="8"/>
  <c r="R24" i="8"/>
  <c r="Q24" i="8"/>
  <c r="P24" i="8"/>
  <c r="N24" i="8"/>
  <c r="M24" i="8"/>
  <c r="L24" i="8"/>
  <c r="J24" i="8"/>
  <c r="I24" i="8"/>
  <c r="H24" i="8"/>
  <c r="G24" i="8"/>
  <c r="F24" i="8"/>
  <c r="W15" i="7" l="1"/>
  <c r="T17" i="7"/>
  <c r="T19" i="7"/>
  <c r="X46" i="11"/>
  <c r="T48" i="11"/>
  <c r="T49" i="11"/>
  <c r="T50" i="11" s="1"/>
  <c r="U38" i="14"/>
  <c r="U40" i="14" s="1"/>
  <c r="U24" i="8"/>
  <c r="U26" i="8"/>
  <c r="T46" i="11"/>
  <c r="U37" i="13"/>
  <c r="U27" i="8"/>
  <c r="U38" i="13" l="1"/>
  <c r="T33" i="2"/>
  <c r="U28" i="8"/>
</calcChain>
</file>

<file path=xl/sharedStrings.xml><?xml version="1.0" encoding="utf-8"?>
<sst xmlns="http://schemas.openxmlformats.org/spreadsheetml/2006/main" count="1560" uniqueCount="290">
  <si>
    <t>DAILY COLLECTIONS JOURNAL ENTRIES SUMMARY</t>
  </si>
  <si>
    <t>DATE</t>
  </si>
  <si>
    <t>AR/SI #</t>
  </si>
  <si>
    <t>OUTLET'S NAME</t>
  </si>
  <si>
    <t>PARTICULARS</t>
  </si>
  <si>
    <t>PO NUMBER</t>
  </si>
  <si>
    <r>
      <rPr>
        <b/>
        <sz val="9"/>
        <color theme="1"/>
        <rFont val="Arial Narrow"/>
        <family val="2"/>
      </rPr>
      <t>CASH ON HAND</t>
    </r>
    <r>
      <rPr>
        <b/>
        <sz val="9"/>
        <color rgb="FFFF0000"/>
        <rFont val="Arial Narrow"/>
        <family val="2"/>
      </rPr>
      <t xml:space="preserve"> (DEBIT)</t>
    </r>
  </si>
  <si>
    <r>
      <rPr>
        <b/>
        <sz val="9"/>
        <color theme="1"/>
        <rFont val="Arial Narrow"/>
        <family val="2"/>
      </rPr>
      <t>CASH ON HAND</t>
    </r>
    <r>
      <rPr>
        <b/>
        <sz val="9"/>
        <color rgb="FFFF0000"/>
        <rFont val="Arial Narrow"/>
        <family val="2"/>
      </rPr>
      <t xml:space="preserve"> (CREDIT)</t>
    </r>
  </si>
  <si>
    <t>DUE FROM OTHER BANKS &amp; OTHERS (DEBIT)</t>
  </si>
  <si>
    <t>ACCOUNTS RECEIVABLE</t>
  </si>
  <si>
    <t>ACCOUNTS PAYABLE</t>
  </si>
  <si>
    <t>TOTAL COLLECTIONS FOR THE DAY</t>
  </si>
  <si>
    <t>REMARKS</t>
  </si>
  <si>
    <t>PNB</t>
  </si>
  <si>
    <t>MBTC</t>
  </si>
  <si>
    <t>BDO</t>
  </si>
  <si>
    <t>EW</t>
  </si>
  <si>
    <t>E.TAN</t>
  </si>
  <si>
    <t>FVB</t>
  </si>
  <si>
    <t>KB</t>
  </si>
  <si>
    <t>GCASH</t>
  </si>
  <si>
    <t>PSBC</t>
  </si>
  <si>
    <t>DEBIT</t>
  </si>
  <si>
    <t>CREDIT</t>
  </si>
  <si>
    <t>2025-0368</t>
  </si>
  <si>
    <t>GAS DISTRIBUTION SERVICES- SINUYAK</t>
  </si>
  <si>
    <t>Payment for recalibrated bucket &amp; Repainting</t>
  </si>
  <si>
    <t>MORTE FUEL-BAYLIMANGO</t>
  </si>
  <si>
    <t>Full payment on fuel order 1x (for adjust.)</t>
  </si>
  <si>
    <t>7c 1114</t>
  </si>
  <si>
    <t>MJ HABAGAT GAS-DICAYO</t>
  </si>
  <si>
    <t>7C 116</t>
  </si>
  <si>
    <t>STPC-SAN PEDRO</t>
  </si>
  <si>
    <t>Full payment on previous fuel order 1x,1r,.5d</t>
  </si>
  <si>
    <t>7b 1020</t>
  </si>
  <si>
    <t> </t>
  </si>
  <si>
    <t>Partial payment on previous fuel order 5x,2r,1.5d</t>
  </si>
  <si>
    <t>7b 1063</t>
  </si>
  <si>
    <t>TANAKAMI GAS- LOWER LANDING</t>
  </si>
  <si>
    <t>Full payment on previous fuel order 2x</t>
  </si>
  <si>
    <t>7b 1093</t>
  </si>
  <si>
    <t>CMT FUEL- VALENCIA</t>
  </si>
  <si>
    <t>7B 1094</t>
  </si>
  <si>
    <t>MARCUS FUEL- BATO PLARIDEL</t>
  </si>
  <si>
    <t>Full payment on fuel order 1x ( for adjust.)</t>
  </si>
  <si>
    <t>7c 1111</t>
  </si>
  <si>
    <t>4J'S MICRO GAS- ILAYA</t>
  </si>
  <si>
    <t>7C 1106</t>
  </si>
  <si>
    <t>2025- 0370</t>
  </si>
  <si>
    <t>ADEV GAS- JOSEFINA FT</t>
  </si>
  <si>
    <t>Payment for 2T National 200 ML</t>
  </si>
  <si>
    <t>RG'S GASOLINE- SUGUILON SIAYAN</t>
  </si>
  <si>
    <t>Full payment on previous fuel order 1x</t>
  </si>
  <si>
    <t>7c 1113</t>
  </si>
  <si>
    <t>TOTAL</t>
  </si>
  <si>
    <t>Prepared and submitted by:</t>
  </si>
  <si>
    <t>Received by:</t>
  </si>
  <si>
    <t>TOTAL DEBITS</t>
  </si>
  <si>
    <t>TOTAL CREDITS</t>
  </si>
  <si>
    <t>VARIANCE</t>
  </si>
  <si>
    <t>MICHELLE L. DELMEGUIZ</t>
  </si>
  <si>
    <t>ETHELANE O. MANUEL</t>
  </si>
  <si>
    <t>Cashier</t>
  </si>
  <si>
    <t>Accounting Clerk/Bookkeeper</t>
  </si>
  <si>
    <t>2025-0371</t>
  </si>
  <si>
    <t>CM POWER FUEL- VILLAHERMOSA</t>
  </si>
  <si>
    <t>Payment for 2T National 200 ml (60 pcs)</t>
  </si>
  <si>
    <t>2025-0372</t>
  </si>
  <si>
    <t>C &amp; N  GAS - PANGALALAN</t>
  </si>
  <si>
    <t>Payment for 4 sets of Carbon Brush</t>
  </si>
  <si>
    <t>Full payment on fuel order 2x, 1r</t>
  </si>
  <si>
    <t>7c 1123</t>
  </si>
  <si>
    <t>RHOIE GAS- SAN PABLO SUR</t>
  </si>
  <si>
    <t>Full payment on fuel order 1x</t>
  </si>
  <si>
    <t>7c 1131</t>
  </si>
  <si>
    <t>JOEF GAS- SAN PABLO BL</t>
  </si>
  <si>
    <t>7C 1120</t>
  </si>
  <si>
    <t>RG'S GASOLINE-SUGUILON SIAYAN</t>
  </si>
  <si>
    <t>7C 1113</t>
  </si>
  <si>
    <t>DLIME GASOLINE- JOSEFINA DLIME</t>
  </si>
  <si>
    <t>7C 1110</t>
  </si>
  <si>
    <t>in 1 deposit slip</t>
  </si>
  <si>
    <t>7b 1014</t>
  </si>
  <si>
    <t>JC GAS REFILLING- TABON</t>
  </si>
  <si>
    <t>7B 1028</t>
  </si>
  <si>
    <t>Full payment onprevious  fuel order .5r</t>
  </si>
  <si>
    <t>7b 1099</t>
  </si>
  <si>
    <t>DJ FUEL REFILLING- COGON</t>
  </si>
  <si>
    <t>7c 1140</t>
  </si>
  <si>
    <t>CHAVISU GAS REFILLING- ILIHAN</t>
  </si>
  <si>
    <t>7B 1013</t>
  </si>
  <si>
    <t>7c 1051</t>
  </si>
  <si>
    <t>ARLEGUI FUEL REFILLING - DEL PILAR</t>
  </si>
  <si>
    <t>7b 1033</t>
  </si>
  <si>
    <t>Partial payment on  fuel order 1x</t>
  </si>
  <si>
    <t>LAV'S GAS REFILLING- TAMIL</t>
  </si>
  <si>
    <t>Full payment on  fuel order 1x</t>
  </si>
  <si>
    <t>7c 1141</t>
  </si>
  <si>
    <t>Full payment on  previous fuel order 1x,.5r</t>
  </si>
  <si>
    <t>2025-0373</t>
  </si>
  <si>
    <t>Partial payment on Machine</t>
  </si>
  <si>
    <t>CLYDE N. REBOLLOS</t>
  </si>
  <si>
    <t>Gcash payment of San Pablo Sur</t>
  </si>
  <si>
    <t>7b 1006</t>
  </si>
  <si>
    <t>GD FUEL REFILLING- DANSULYAN- AMARILLE</t>
  </si>
  <si>
    <t>Full payment on fuel order 1x,.5r.,.5d</t>
  </si>
  <si>
    <t>7c 1143</t>
  </si>
  <si>
    <t>ARQUIZA FUEL REFILLLING - LINGASAD</t>
  </si>
  <si>
    <t>7C 1138</t>
  </si>
  <si>
    <t>LIA- FRAN- LILY FUEL- COLORAN SIAY</t>
  </si>
  <si>
    <t>7C 1115</t>
  </si>
  <si>
    <t xml:space="preserve">KRD MICRO GAS- DINAS SUR </t>
  </si>
  <si>
    <t>Full payment on fuel order 2x</t>
  </si>
  <si>
    <t>7c 1128</t>
  </si>
  <si>
    <t>RIVAS GAS REFILLING - MOTIBOT</t>
  </si>
  <si>
    <t>7C 1148</t>
  </si>
  <si>
    <t>Full payment on previous fuel order 2x,1r</t>
  </si>
  <si>
    <t>7B 1005</t>
  </si>
  <si>
    <t>7b 1027</t>
  </si>
  <si>
    <t>Full payment on previous fuel order 1x,1d</t>
  </si>
  <si>
    <t>7b 1069</t>
  </si>
  <si>
    <t>7b 1088</t>
  </si>
  <si>
    <t>SDJ 77 GAS- GUIPOS SDJ</t>
  </si>
  <si>
    <t>7C 1118</t>
  </si>
  <si>
    <t>AYA G MICRO GAS- VILLAFLOR OROQUIETA</t>
  </si>
  <si>
    <t>Full payment on fuel order 1d</t>
  </si>
  <si>
    <t>7c 1121</t>
  </si>
  <si>
    <t>MJ FUEL REFILLING - BACONG PAMIL</t>
  </si>
  <si>
    <t>Full payment on fuel order .5d</t>
  </si>
  <si>
    <t>7C 1137</t>
  </si>
  <si>
    <t>IAP'S GASOLINE - ASENIERO</t>
  </si>
  <si>
    <t>Full payment on fuel order 2x,1r,1d</t>
  </si>
  <si>
    <t>7C 1139</t>
  </si>
  <si>
    <t>K2J2 GAS REFILING- DUMINGAG BULILIT</t>
  </si>
  <si>
    <t>Full payment on fuel order 6x,1r</t>
  </si>
  <si>
    <t>7C 1134</t>
  </si>
  <si>
    <t>TONY GAS REFILLING -DOHINOB-MADASIGON</t>
  </si>
  <si>
    <t>Full payment on fuel order 1x,.5d</t>
  </si>
  <si>
    <t>7C 1144</t>
  </si>
  <si>
    <t>GWEN FUEL- TIGBAO GWEN</t>
  </si>
  <si>
    <t>Full payment on fuel order 3x,.1r</t>
  </si>
  <si>
    <t>7c 1126</t>
  </si>
  <si>
    <t>B-PRO GASOLINE - MALINTUBUAN (BUSTILLOS)</t>
  </si>
  <si>
    <t>7c 1147</t>
  </si>
  <si>
    <t>MBB FUEL REFILLING- MBB SIAYAN</t>
  </si>
  <si>
    <t>7C 1133</t>
  </si>
  <si>
    <t>STPC -SAN PEDRO</t>
  </si>
  <si>
    <t>Partial  payment on previous  fuel order 5x,2r, 1.5d</t>
  </si>
  <si>
    <t>REDBAR GAS REFILLING - BAYOG BOBUAN</t>
  </si>
  <si>
    <t>Full payment on fuel order 1x,.1d</t>
  </si>
  <si>
    <t>7C 1125</t>
  </si>
  <si>
    <t>VISTAL-MICRO GAS - GUIPOS VISTAL</t>
  </si>
  <si>
    <t>7C 1132</t>
  </si>
  <si>
    <t>GAZ-N-GO FUEL- SIARI</t>
  </si>
  <si>
    <t>7c 1149</t>
  </si>
  <si>
    <t>JD MACS GAS REFILLING - BAYOG BACO</t>
  </si>
  <si>
    <t>7c 1109</t>
  </si>
  <si>
    <t>ADEV GAS - JOSEFINA FT</t>
  </si>
  <si>
    <t xml:space="preserve">Partial  payment on fuel order 1x </t>
  </si>
  <si>
    <t>7C 1119</t>
  </si>
  <si>
    <t xml:space="preserve"> Friday, July 18, 2025</t>
  </si>
  <si>
    <t>Full payment of fuel order 1x</t>
  </si>
  <si>
    <t>7c 1119</t>
  </si>
  <si>
    <t xml:space="preserve">JR FUEL - GUIPOS JR </t>
  </si>
  <si>
    <t>7C 1155</t>
  </si>
  <si>
    <t xml:space="preserve">4J'S MICRO GAS REFILING - ILAYA </t>
  </si>
  <si>
    <t>7C 1158</t>
  </si>
  <si>
    <t>FOUR ANGELS FUEL REFILLLING- CALICAN</t>
  </si>
  <si>
    <t>Full payment of fuel order .5r</t>
  </si>
  <si>
    <t>7c 1127</t>
  </si>
  <si>
    <t>GAS DISTRIBUTION SERVICES - SINUYAK</t>
  </si>
  <si>
    <t>Full payment of fuel order 1x,1r</t>
  </si>
  <si>
    <t>7c 1100</t>
  </si>
  <si>
    <t>7C 1164</t>
  </si>
  <si>
    <t>Full payment of fuel order 1r</t>
  </si>
  <si>
    <t>7C 1161</t>
  </si>
  <si>
    <t>JANUAORYZA MICRO GAS - MANDIH BULILIT</t>
  </si>
  <si>
    <t>Full payment of fuel order 2x</t>
  </si>
  <si>
    <t>7c 1165</t>
  </si>
  <si>
    <t>Full payment on previous fuel order 5x,2r,1.5d</t>
  </si>
  <si>
    <t>Partial payment on previous fuel order 1x,1r,1d</t>
  </si>
  <si>
    <t>7c 1136</t>
  </si>
  <si>
    <t>AA'S GAS REFILLING- MIDSALIP</t>
  </si>
  <si>
    <t>MG'S FUEL REFILLING - DIPILI BAYOG</t>
  </si>
  <si>
    <t>Partial payment on fuel order 2x</t>
  </si>
  <si>
    <t>7C 1157</t>
  </si>
  <si>
    <t xml:space="preserve"> HI-LAND FUEL REFILLING - BACONG BULILIT</t>
  </si>
  <si>
    <t>7C 1146</t>
  </si>
  <si>
    <t>JANE GAS - SAN MIGUEL SUR</t>
  </si>
  <si>
    <t>Full payment of fuel order 2x, 1r</t>
  </si>
  <si>
    <t>7C 1156</t>
  </si>
  <si>
    <t>JR FUEL- GUIPOS JR</t>
  </si>
  <si>
    <t>Full payment of fuel order 4x</t>
  </si>
  <si>
    <t xml:space="preserve">7C 1130 </t>
  </si>
  <si>
    <t>JOHNSMARF GAS REFILLING - TIGBAO NORTE</t>
  </si>
  <si>
    <t>Full payment of fuel order .5r,.5d</t>
  </si>
  <si>
    <t>7c 1166</t>
  </si>
  <si>
    <t xml:space="preserve">3J'S MICRO GAS- LA LIBERTAD </t>
  </si>
  <si>
    <t>7C 1168</t>
  </si>
  <si>
    <t>2025-0374</t>
  </si>
  <si>
    <t>ENZO'S GAS REFILLING - OLINGAN</t>
  </si>
  <si>
    <t>Payment for 1 set  Sticker</t>
  </si>
  <si>
    <t>G-P GAS REFILLING- DILAWA</t>
  </si>
  <si>
    <t>7c 1154</t>
  </si>
  <si>
    <t>GCash payment of San Pablo Sur</t>
  </si>
  <si>
    <t>7b 1084</t>
  </si>
  <si>
    <t>7a 955</t>
  </si>
  <si>
    <t>AYA G MICRO GAS - VILLAFLOR OROQUIETA</t>
  </si>
  <si>
    <t>7C 1169</t>
  </si>
  <si>
    <t>7C 1170</t>
  </si>
  <si>
    <t>KELTEX GAS REFILLING- LIBA BAYOG</t>
  </si>
  <si>
    <t>7C 1167</t>
  </si>
  <si>
    <t>2025-624</t>
  </si>
  <si>
    <t>Payment for 1 set Thermal Paper</t>
  </si>
  <si>
    <t>TANAKAMI GAS - LOWER LANDING</t>
  </si>
  <si>
    <t>Full payment of fuel order 2x,1r</t>
  </si>
  <si>
    <t>7c 1152</t>
  </si>
  <si>
    <t>7c 1162</t>
  </si>
  <si>
    <t>Partial payment of fuel order 1x (for adjust.)</t>
  </si>
  <si>
    <t>7d 1187</t>
  </si>
  <si>
    <t>MG'S FUEL REFILLING- DIPILI BAYOG</t>
  </si>
  <si>
    <t xml:space="preserve">Full payment of fuel order 1x </t>
  </si>
  <si>
    <t>7c 1157</t>
  </si>
  <si>
    <t>Full payment of fuel order 1x ,1d</t>
  </si>
  <si>
    <t>7c 1175</t>
  </si>
  <si>
    <t>CMT FUEL - VALENCIA</t>
  </si>
  <si>
    <t>Full payment of fuel order 1X</t>
  </si>
  <si>
    <t>7C 1151</t>
  </si>
  <si>
    <t>RCBC</t>
  </si>
  <si>
    <t>07/19/2025</t>
  </si>
  <si>
    <t>AM-MON FUEL -GAMPIS</t>
  </si>
  <si>
    <t>Full payment on fuel order 1x,.5r</t>
  </si>
  <si>
    <t>7C 1176</t>
  </si>
  <si>
    <t>MJ FUEL REFILLING - DANSULYAN AWA</t>
  </si>
  <si>
    <t>7C 1172</t>
  </si>
  <si>
    <t>JC GAS REFILLLING - TABON</t>
  </si>
  <si>
    <t>7C 1122</t>
  </si>
  <si>
    <t>KJ FUEL REFILLING - PALANDOK</t>
  </si>
  <si>
    <t>Full payment on fuel order 1x,.5r,.5d</t>
  </si>
  <si>
    <t>7C 1112</t>
  </si>
  <si>
    <t>In 1 Deposit Slip</t>
  </si>
  <si>
    <t>7D 1181</t>
  </si>
  <si>
    <t xml:space="preserve">E.TAN </t>
  </si>
  <si>
    <t>CM POWER FUEL REFILLING- VILLAHERMOSA</t>
  </si>
  <si>
    <t>7c 1177</t>
  </si>
  <si>
    <t>GAS DISTRIBUTON SERVICES- SINUYAK</t>
  </si>
  <si>
    <t>Full payment of fuel order 1x (for adjust.)</t>
  </si>
  <si>
    <t>7d 1178</t>
  </si>
  <si>
    <t>RAMAD FUEL REFILLING - DAMPALAN DAPITAN</t>
  </si>
  <si>
    <t>7D 1180</t>
  </si>
  <si>
    <t xml:space="preserve">Full payment of previous fuel order 1x </t>
  </si>
  <si>
    <t xml:space="preserve">Partial payment on fuel order 1x </t>
  </si>
  <si>
    <t>7c 1159</t>
  </si>
  <si>
    <t>RIVAS GAS REFILLING- MOTIBOT</t>
  </si>
  <si>
    <t>Full payment of fuel order 2x,1r (for adjust.)</t>
  </si>
  <si>
    <t>7D 1184</t>
  </si>
  <si>
    <t xml:space="preserve">Full payment of fuel order 2x </t>
  </si>
  <si>
    <t>BOY G FUEL REFILLING- BINONI</t>
  </si>
  <si>
    <t>7C 1153</t>
  </si>
  <si>
    <t>RASHMAN'S MICRO GAS- SIAY SIOCON</t>
  </si>
  <si>
    <t>Full payment of fuel order 1X (FOR ADJUST.)</t>
  </si>
  <si>
    <t>7D 1179</t>
  </si>
  <si>
    <t>JANE GAS- SAN MIGUEL SUR</t>
  </si>
  <si>
    <t>7C 1179</t>
  </si>
  <si>
    <t xml:space="preserve">C &amp; N GAS REFILLING -PANGALALAN </t>
  </si>
  <si>
    <t>7C 1174</t>
  </si>
  <si>
    <t>JULY 15-21,2025</t>
  </si>
  <si>
    <t>TOTAL COLLECTIONS OF THE WEEK</t>
  </si>
  <si>
    <t>7C 1145</t>
  </si>
  <si>
    <t>BALAMBAN</t>
  </si>
  <si>
    <t>Partial payment of fuel order 1x,.5r</t>
  </si>
  <si>
    <t>7c 1163</t>
  </si>
  <si>
    <t>CASH IN VAULT</t>
  </si>
  <si>
    <t>CASH COLLECTION PER PASSBOOKS</t>
  </si>
  <si>
    <t>NOTE:</t>
  </si>
  <si>
    <t>FVB VARIANCE:</t>
  </si>
  <si>
    <t>PSBC (SAVINGS)</t>
  </si>
  <si>
    <t>PSBC SAVINGS:</t>
  </si>
  <si>
    <t>PNB VARIANCE:</t>
  </si>
  <si>
    <t>**PSBC TRANSFER= 24,000.00</t>
  </si>
  <si>
    <t>KB TRANSFER = 129,750.00</t>
  </si>
  <si>
    <t>PALANDOK FUEL DEPOSIT = 80,000.00</t>
  </si>
  <si>
    <t>Dr.</t>
  </si>
  <si>
    <t>Cash On Hand</t>
  </si>
  <si>
    <t>STPC</t>
  </si>
  <si>
    <t>Gcash</t>
  </si>
  <si>
    <t>Cr.</t>
  </si>
  <si>
    <t>Cash on hand</t>
  </si>
  <si>
    <t>AR</t>
  </si>
  <si>
    <t>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</si>
</sst>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mm/dd/yy;@"/>
    <numFmt numFmtId="165" formatCode="[$-F800]dddd\,\ mmmm\ dd\,\ yyyy"/>
  </numFmts>
  <fonts count="21">
    <font>
      <sz val="11"/>
      <color theme="1"/>
      <name val="Calibri"/>
      <charset val="134"/>
      <scheme val="minor"/>
    </font>
    <font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9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rgb="FF0070C0"/>
      <name val="Arial Narrow"/>
      <family val="2"/>
    </font>
    <font>
      <b/>
      <sz val="9"/>
      <name val="Arial Narrow"/>
      <family val="2"/>
    </font>
    <font>
      <sz val="9"/>
      <color rgb="FF000000"/>
      <name val="Arial Narrow"/>
      <family val="2"/>
    </font>
    <font>
      <sz val="9"/>
      <color rgb="FFFF000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color rgb="FFFF0000"/>
      <name val="Arial Narrow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2"/>
      <color rgb="FF000000"/>
      <name val="Arial Narrow"/>
      <family val="2"/>
    </font>
    <font>
      <sz val="12"/>
      <color rgb="FFFF0000"/>
      <name val="Arial Narrow"/>
      <family val="2"/>
    </font>
    <font>
      <b/>
      <sz val="12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3C6E7"/>
        <bgColor indexed="64"/>
      </patternFill>
    </fill>
  </fills>
  <borders count="9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60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43" fontId="3" fillId="0" borderId="0" xfId="1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3" fontId="3" fillId="0" borderId="0" xfId="1" applyFont="1" applyAlignment="1">
      <alignment horizontal="left" vertical="center"/>
    </xf>
    <xf numFmtId="43" fontId="10" fillId="6" borderId="12" xfId="1" applyFont="1" applyFill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64" fontId="5" fillId="0" borderId="15" xfId="0" applyNumberFormat="1" applyFont="1" applyBorder="1" applyAlignment="1">
      <alignment horizontal="left" vertical="center" wrapText="1"/>
    </xf>
    <xf numFmtId="43" fontId="3" fillId="0" borderId="14" xfId="1" applyFont="1" applyBorder="1" applyAlignment="1">
      <alignment horizontal="center" vertical="center"/>
    </xf>
    <xf numFmtId="43" fontId="3" fillId="0" borderId="5" xfId="1" applyFont="1" applyBorder="1" applyAlignment="1">
      <alignment horizontal="center" vertical="center"/>
    </xf>
    <xf numFmtId="43" fontId="3" fillId="0" borderId="5" xfId="1" applyFont="1" applyFill="1" applyBorder="1" applyAlignment="1">
      <alignment horizontal="center" vertical="center"/>
    </xf>
    <xf numFmtId="1" fontId="5" fillId="0" borderId="1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164" fontId="3" fillId="0" borderId="5" xfId="0" applyNumberFormat="1" applyFont="1" applyFill="1" applyBorder="1" applyAlignment="1">
      <alignment horizontal="center" vertical="center" wrapText="1"/>
    </xf>
    <xf numFmtId="43" fontId="5" fillId="0" borderId="5" xfId="1" applyFont="1" applyFill="1" applyBorder="1" applyAlignment="1">
      <alignment horizontal="center" vertical="center"/>
    </xf>
    <xf numFmtId="43" fontId="5" fillId="0" borderId="14" xfId="1" applyFont="1" applyFill="1" applyBorder="1" applyAlignment="1">
      <alignment horizontal="center" vertical="center"/>
    </xf>
    <xf numFmtId="164" fontId="5" fillId="0" borderId="5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left" vertical="center" wrapText="1"/>
    </xf>
    <xf numFmtId="43" fontId="3" fillId="0" borderId="5" xfId="1" applyNumberFormat="1" applyFont="1" applyBorder="1" applyAlignment="1">
      <alignment horizontal="center" vertical="center"/>
    </xf>
    <xf numFmtId="43" fontId="3" fillId="0" borderId="14" xfId="1" applyNumberFormat="1" applyFont="1" applyBorder="1" applyAlignment="1">
      <alignment horizontal="center" vertical="center"/>
    </xf>
    <xf numFmtId="43" fontId="3" fillId="0" borderId="5" xfId="1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 wrapText="1"/>
    </xf>
    <xf numFmtId="1" fontId="5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43" fontId="5" fillId="0" borderId="5" xfId="1" applyNumberFormat="1" applyFont="1" applyFill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43" fontId="4" fillId="0" borderId="12" xfId="1" applyFont="1" applyFill="1" applyBorder="1" applyAlignment="1">
      <alignment horizontal="center" vertical="center" wrapText="1"/>
    </xf>
    <xf numFmtId="43" fontId="12" fillId="0" borderId="14" xfId="1" applyFont="1" applyFill="1" applyBorder="1" applyAlignment="1">
      <alignment horizontal="center" vertical="center"/>
    </xf>
    <xf numFmtId="43" fontId="3" fillId="8" borderId="5" xfId="1" applyFont="1" applyFill="1" applyBorder="1" applyAlignment="1">
      <alignment horizontal="center" vertical="center"/>
    </xf>
    <xf numFmtId="43" fontId="5" fillId="0" borderId="0" xfId="1" applyFont="1" applyAlignment="1">
      <alignment horizontal="left" vertical="center"/>
    </xf>
    <xf numFmtId="43" fontId="4" fillId="0" borderId="0" xfId="1" applyFont="1" applyAlignment="1">
      <alignment horizontal="left" vertical="center"/>
    </xf>
    <xf numFmtId="43" fontId="10" fillId="0" borderId="12" xfId="1" applyFont="1" applyFill="1" applyBorder="1" applyAlignment="1">
      <alignment horizontal="center" vertical="center" wrapText="1"/>
    </xf>
    <xf numFmtId="43" fontId="5" fillId="0" borderId="14" xfId="1" applyFont="1" applyBorder="1" applyAlignment="1">
      <alignment horizontal="center" vertical="center"/>
    </xf>
    <xf numFmtId="43" fontId="4" fillId="0" borderId="23" xfId="1" applyFont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43" fontId="3" fillId="0" borderId="0" xfId="0" applyNumberFormat="1" applyFont="1" applyFill="1" applyAlignment="1">
      <alignment horizontal="center" vertical="center"/>
    </xf>
    <xf numFmtId="43" fontId="5" fillId="0" borderId="14" xfId="1" applyNumberFormat="1" applyFont="1" applyBorder="1" applyAlignment="1">
      <alignment horizontal="center" vertical="center"/>
    </xf>
    <xf numFmtId="43" fontId="5" fillId="0" borderId="14" xfId="1" applyFont="1" applyBorder="1" applyAlignment="1">
      <alignment horizontal="right" vertical="center"/>
    </xf>
    <xf numFmtId="164" fontId="4" fillId="3" borderId="31" xfId="0" applyNumberFormat="1" applyFont="1" applyFill="1" applyBorder="1" applyAlignment="1">
      <alignment horizontal="center" vertical="center"/>
    </xf>
    <xf numFmtId="1" fontId="10" fillId="3" borderId="32" xfId="0" applyNumberFormat="1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left" vertical="center"/>
    </xf>
    <xf numFmtId="164" fontId="10" fillId="3" borderId="33" xfId="0" applyNumberFormat="1" applyFont="1" applyFill="1" applyBorder="1" applyAlignment="1">
      <alignment horizontal="left" vertical="center" wrapText="1"/>
    </xf>
    <xf numFmtId="164" fontId="4" fillId="3" borderId="34" xfId="0" applyNumberFormat="1" applyFont="1" applyFill="1" applyBorder="1" applyAlignment="1">
      <alignment horizontal="center" vertical="center" wrapText="1"/>
    </xf>
    <xf numFmtId="43" fontId="4" fillId="3" borderId="31" xfId="1" applyFont="1" applyFill="1" applyBorder="1" applyAlignment="1">
      <alignment horizontal="center" vertical="center"/>
    </xf>
    <xf numFmtId="43" fontId="4" fillId="3" borderId="9" xfId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center" vertical="center" wrapText="1"/>
    </xf>
    <xf numFmtId="43" fontId="6" fillId="0" borderId="0" xfId="1" applyFont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1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 wrapText="1"/>
    </xf>
    <xf numFmtId="43" fontId="3" fillId="0" borderId="17" xfId="1" applyFont="1" applyBorder="1" applyAlignment="1">
      <alignment horizontal="center" vertical="center"/>
    </xf>
    <xf numFmtId="43" fontId="4" fillId="3" borderId="32" xfId="1" applyFont="1" applyFill="1" applyBorder="1" applyAlignment="1">
      <alignment horizontal="center" vertical="center"/>
    </xf>
    <xf numFmtId="43" fontId="6" fillId="0" borderId="0" xfId="1" applyFont="1" applyAlignment="1">
      <alignment horizontal="left" vertical="center"/>
    </xf>
    <xf numFmtId="43" fontId="7" fillId="0" borderId="0" xfId="1" applyFont="1" applyAlignment="1">
      <alignment horizontal="center" vertical="center"/>
    </xf>
    <xf numFmtId="43" fontId="7" fillId="0" borderId="0" xfId="1" applyFont="1" applyAlignment="1">
      <alignment horizontal="left" vertical="center"/>
    </xf>
    <xf numFmtId="43" fontId="5" fillId="0" borderId="5" xfId="1" applyFont="1" applyBorder="1" applyAlignment="1">
      <alignment horizontal="center" vertical="center"/>
    </xf>
    <xf numFmtId="43" fontId="4" fillId="3" borderId="11" xfId="1" applyFont="1" applyFill="1" applyBorder="1" applyAlignment="1">
      <alignment horizontal="center" vertical="center"/>
    </xf>
    <xf numFmtId="43" fontId="13" fillId="0" borderId="0" xfId="1" applyFont="1" applyAlignment="1">
      <alignment horizontal="center" vertical="center"/>
    </xf>
    <xf numFmtId="43" fontId="13" fillId="0" borderId="0" xfId="1" applyFont="1" applyAlignment="1">
      <alignment horizontal="left" vertical="center"/>
    </xf>
    <xf numFmtId="43" fontId="14" fillId="0" borderId="0" xfId="1" applyFont="1" applyAlignment="1">
      <alignment horizontal="left" vertical="center"/>
    </xf>
    <xf numFmtId="43" fontId="7" fillId="11" borderId="35" xfId="1" applyFont="1" applyFill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 wrapText="1"/>
    </xf>
    <xf numFmtId="43" fontId="3" fillId="0" borderId="13" xfId="1" applyFont="1" applyBorder="1" applyAlignment="1">
      <alignment horizontal="center" vertical="center"/>
    </xf>
    <xf numFmtId="164" fontId="5" fillId="0" borderId="39" xfId="0" applyNumberFormat="1" applyFont="1" applyBorder="1" applyAlignment="1">
      <alignment horizontal="left" vertical="center" wrapText="1"/>
    </xf>
    <xf numFmtId="164" fontId="3" fillId="0" borderId="15" xfId="0" applyNumberFormat="1" applyFont="1" applyFill="1" applyBorder="1" applyAlignment="1">
      <alignment horizontal="center" vertical="center" wrapText="1"/>
    </xf>
    <xf numFmtId="164" fontId="5" fillId="0" borderId="15" xfId="0" applyNumberFormat="1" applyFont="1" applyFill="1" applyBorder="1" applyAlignment="1">
      <alignment horizontal="center" vertical="center" wrapText="1"/>
    </xf>
    <xf numFmtId="43" fontId="5" fillId="0" borderId="13" xfId="1" applyFont="1" applyFill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 wrapText="1"/>
    </xf>
    <xf numFmtId="164" fontId="4" fillId="3" borderId="40" xfId="0" applyNumberFormat="1" applyFont="1" applyFill="1" applyBorder="1" applyAlignment="1">
      <alignment horizontal="center" vertical="center"/>
    </xf>
    <xf numFmtId="1" fontId="10" fillId="3" borderId="41" xfId="0" applyNumberFormat="1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left" vertical="center"/>
    </xf>
    <xf numFmtId="164" fontId="10" fillId="3" borderId="42" xfId="0" applyNumberFormat="1" applyFont="1" applyFill="1" applyBorder="1" applyAlignment="1">
      <alignment horizontal="left" vertical="center" wrapText="1"/>
    </xf>
    <xf numFmtId="164" fontId="4" fillId="3" borderId="43" xfId="0" applyNumberFormat="1" applyFont="1" applyFill="1" applyBorder="1" applyAlignment="1">
      <alignment horizontal="center" vertical="center" wrapText="1"/>
    </xf>
    <xf numFmtId="43" fontId="4" fillId="3" borderId="40" xfId="1" applyFont="1" applyFill="1" applyBorder="1" applyAlignment="1">
      <alignment horizontal="center" vertical="center"/>
    </xf>
    <xf numFmtId="43" fontId="4" fillId="3" borderId="44" xfId="1" applyFont="1" applyFill="1" applyBorder="1" applyAlignment="1">
      <alignment horizontal="center" vertical="center"/>
    </xf>
    <xf numFmtId="43" fontId="4" fillId="3" borderId="41" xfId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43" fontId="4" fillId="3" borderId="47" xfId="1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43" fontId="3" fillId="0" borderId="13" xfId="1" applyFont="1" applyBorder="1" applyAlignment="1">
      <alignment horizontal="right" vertical="center"/>
    </xf>
    <xf numFmtId="164" fontId="5" fillId="0" borderId="15" xfId="0" applyNumberFormat="1" applyFont="1" applyBorder="1" applyAlignment="1">
      <alignment horizontal="center" vertical="center" wrapText="1"/>
    </xf>
    <xf numFmtId="43" fontId="3" fillId="0" borderId="13" xfId="1" applyNumberFormat="1" applyFont="1" applyBorder="1" applyAlignment="1">
      <alignment horizontal="center" vertical="center"/>
    </xf>
    <xf numFmtId="43" fontId="3" fillId="8" borderId="5" xfId="1" applyNumberFormat="1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43" fontId="10" fillId="6" borderId="25" xfId="1" applyFont="1" applyFill="1" applyBorder="1" applyAlignment="1">
      <alignment horizontal="center" vertical="center" wrapText="1"/>
    </xf>
    <xf numFmtId="164" fontId="5" fillId="0" borderId="5" xfId="0" applyNumberFormat="1" applyFont="1" applyFill="1" applyBorder="1" applyAlignment="1">
      <alignment horizontal="left" vertical="center"/>
    </xf>
    <xf numFmtId="43" fontId="4" fillId="0" borderId="25" xfId="1" applyFont="1" applyFill="1" applyBorder="1" applyAlignment="1">
      <alignment horizontal="center" vertical="center" wrapText="1"/>
    </xf>
    <xf numFmtId="43" fontId="12" fillId="0" borderId="5" xfId="1" applyFont="1" applyFill="1" applyBorder="1" applyAlignment="1">
      <alignment horizontal="center" vertical="center"/>
    </xf>
    <xf numFmtId="43" fontId="10" fillId="0" borderId="25" xfId="1" applyFont="1" applyFill="1" applyBorder="1" applyAlignment="1">
      <alignment horizontal="center" vertical="center" wrapText="1"/>
    </xf>
    <xf numFmtId="43" fontId="5" fillId="0" borderId="5" xfId="1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5" fillId="0" borderId="5" xfId="1" applyFont="1" applyBorder="1" applyAlignment="1">
      <alignment horizontal="right" vertical="center"/>
    </xf>
    <xf numFmtId="43" fontId="3" fillId="0" borderId="23" xfId="1" applyFont="1" applyBorder="1" applyAlignment="1">
      <alignment horizontal="center" vertical="center"/>
    </xf>
    <xf numFmtId="43" fontId="3" fillId="0" borderId="5" xfId="1" applyFont="1" applyBorder="1" applyAlignment="1">
      <alignment horizontal="right" vertical="center"/>
    </xf>
    <xf numFmtId="43" fontId="5" fillId="0" borderId="14" xfId="1" applyNumberFormat="1" applyFont="1" applyBorder="1" applyAlignment="1">
      <alignment horizontal="right" vertical="center"/>
    </xf>
    <xf numFmtId="43" fontId="3" fillId="0" borderId="13" xfId="1" applyFont="1" applyFill="1" applyBorder="1" applyAlignment="1">
      <alignment horizontal="center" vertical="center"/>
    </xf>
    <xf numFmtId="43" fontId="11" fillId="0" borderId="13" xfId="1" applyFont="1" applyFill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 wrapText="1"/>
    </xf>
    <xf numFmtId="164" fontId="5" fillId="0" borderId="54" xfId="0" applyNumberFormat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164" fontId="5" fillId="0" borderId="56" xfId="0" applyNumberFormat="1" applyFont="1" applyBorder="1" applyAlignment="1">
      <alignment horizontal="center" vertical="center" wrapText="1"/>
    </xf>
    <xf numFmtId="164" fontId="5" fillId="0" borderId="57" xfId="0" applyNumberFormat="1" applyFont="1" applyBorder="1" applyAlignment="1">
      <alignment horizontal="left" vertical="center"/>
    </xf>
    <xf numFmtId="164" fontId="5" fillId="0" borderId="58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64" fontId="3" fillId="0" borderId="54" xfId="0" applyNumberFormat="1" applyFont="1" applyBorder="1" applyAlignment="1">
      <alignment horizontal="center" vertical="center"/>
    </xf>
    <xf numFmtId="1" fontId="5" fillId="0" borderId="54" xfId="0" applyNumberFormat="1" applyFont="1" applyBorder="1" applyAlignment="1">
      <alignment horizontal="center" vertical="center"/>
    </xf>
    <xf numFmtId="164" fontId="5" fillId="0" borderId="54" xfId="0" applyNumberFormat="1" applyFont="1" applyBorder="1" applyAlignment="1">
      <alignment horizontal="left" vertical="center" wrapText="1"/>
    </xf>
    <xf numFmtId="164" fontId="3" fillId="0" borderId="54" xfId="0" applyNumberFormat="1" applyFont="1" applyBorder="1" applyAlignment="1">
      <alignment horizontal="center" vertical="center" wrapText="1"/>
    </xf>
    <xf numFmtId="43" fontId="3" fillId="0" borderId="54" xfId="1" applyFont="1" applyBorder="1" applyAlignment="1">
      <alignment horizontal="center" vertical="center"/>
    </xf>
    <xf numFmtId="43" fontId="5" fillId="0" borderId="54" xfId="1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3" fillId="0" borderId="54" xfId="0" applyFont="1" applyBorder="1" applyAlignment="1">
      <alignment horizontal="left" vertical="center"/>
    </xf>
    <xf numFmtId="43" fontId="3" fillId="0" borderId="13" xfId="1" applyFont="1" applyFill="1" applyBorder="1" applyAlignment="1">
      <alignment horizontal="right" vertical="center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left" vertical="center" wrapText="1"/>
    </xf>
    <xf numFmtId="43" fontId="4" fillId="3" borderId="41" xfId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14" xfId="1" applyNumberFormat="1" applyFont="1" applyFill="1" applyBorder="1" applyAlignment="1">
      <alignment horizontal="right" vertical="center"/>
    </xf>
    <xf numFmtId="0" fontId="5" fillId="0" borderId="60" xfId="0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1" xfId="0" applyFont="1" applyBorder="1" applyAlignment="1">
      <alignment vertical="center"/>
    </xf>
    <xf numFmtId="43" fontId="4" fillId="0" borderId="53" xfId="1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43" fontId="3" fillId="0" borderId="25" xfId="1" applyFont="1" applyBorder="1" applyAlignment="1">
      <alignment horizontal="center" vertical="center"/>
    </xf>
    <xf numFmtId="43" fontId="3" fillId="0" borderId="51" xfId="1" applyFont="1" applyBorder="1" applyAlignment="1">
      <alignment horizontal="center" vertical="center"/>
    </xf>
    <xf numFmtId="1" fontId="5" fillId="0" borderId="58" xfId="0" applyNumberFormat="1" applyFont="1" applyBorder="1" applyAlignment="1">
      <alignment horizontal="center" vertical="center"/>
    </xf>
    <xf numFmtId="0" fontId="3" fillId="0" borderId="58" xfId="0" applyFont="1" applyBorder="1" applyAlignment="1">
      <alignment horizontal="left" vertical="center"/>
    </xf>
    <xf numFmtId="164" fontId="5" fillId="0" borderId="58" xfId="0" applyNumberFormat="1" applyFont="1" applyBorder="1" applyAlignment="1">
      <alignment horizontal="left" vertical="center" wrapText="1"/>
    </xf>
    <xf numFmtId="43" fontId="3" fillId="0" borderId="58" xfId="1" applyFont="1" applyBorder="1" applyAlignment="1">
      <alignment horizontal="center" vertical="center"/>
    </xf>
    <xf numFmtId="43" fontId="4" fillId="0" borderId="67" xfId="1" applyFont="1" applyBorder="1" applyAlignment="1">
      <alignment horizontal="center" vertical="center"/>
    </xf>
    <xf numFmtId="43" fontId="5" fillId="0" borderId="55" xfId="1" applyFont="1" applyBorder="1" applyAlignment="1">
      <alignment horizontal="center" vertical="center"/>
    </xf>
    <xf numFmtId="43" fontId="5" fillId="0" borderId="67" xfId="1" applyFont="1" applyBorder="1" applyAlignment="1">
      <alignment horizontal="center" vertical="center"/>
    </xf>
    <xf numFmtId="43" fontId="5" fillId="0" borderId="68" xfId="1" applyFont="1" applyBorder="1" applyAlignment="1">
      <alignment horizontal="center" vertical="center"/>
    </xf>
    <xf numFmtId="164" fontId="5" fillId="0" borderId="54" xfId="0" applyNumberFormat="1" applyFont="1" applyBorder="1" applyAlignment="1">
      <alignment horizontal="center" vertical="center" wrapText="1"/>
    </xf>
    <xf numFmtId="164" fontId="3" fillId="0" borderId="54" xfId="0" applyNumberFormat="1" applyFont="1" applyFill="1" applyBorder="1" applyAlignment="1">
      <alignment horizontal="center" vertical="center" wrapText="1"/>
    </xf>
    <xf numFmtId="43" fontId="3" fillId="0" borderId="54" xfId="1" applyNumberFormat="1" applyFont="1" applyBorder="1" applyAlignment="1">
      <alignment horizontal="center" vertical="center"/>
    </xf>
    <xf numFmtId="43" fontId="3" fillId="0" borderId="5" xfId="1" applyFont="1" applyFill="1" applyBorder="1" applyAlignment="1">
      <alignment horizontal="right" vertical="center"/>
    </xf>
    <xf numFmtId="43" fontId="5" fillId="0" borderId="54" xfId="1" applyFont="1" applyFill="1" applyBorder="1" applyAlignment="1">
      <alignment horizontal="center" vertical="center"/>
    </xf>
    <xf numFmtId="43" fontId="5" fillId="0" borderId="54" xfId="1" applyNumberFormat="1" applyFont="1" applyBorder="1" applyAlignment="1">
      <alignment horizontal="center" vertical="center"/>
    </xf>
    <xf numFmtId="43" fontId="5" fillId="0" borderId="54" xfId="1" applyFont="1" applyBorder="1" applyAlignment="1">
      <alignment horizontal="right" vertical="center"/>
    </xf>
    <xf numFmtId="43" fontId="12" fillId="0" borderId="15" xfId="1" applyFont="1" applyFill="1" applyBorder="1" applyAlignment="1">
      <alignment horizontal="center" vertical="center"/>
    </xf>
    <xf numFmtId="43" fontId="5" fillId="0" borderId="15" xfId="1" applyFont="1" applyFill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43" fontId="4" fillId="0" borderId="30" xfId="1" applyFont="1" applyBorder="1" applyAlignment="1">
      <alignment horizontal="center" vertical="center"/>
    </xf>
    <xf numFmtId="43" fontId="5" fillId="0" borderId="29" xfId="1" applyFont="1" applyBorder="1" applyAlignment="1">
      <alignment horizontal="center" vertical="center"/>
    </xf>
    <xf numFmtId="43" fontId="3" fillId="0" borderId="56" xfId="1" applyFont="1" applyBorder="1" applyAlignment="1">
      <alignment horizontal="center" vertical="center"/>
    </xf>
    <xf numFmtId="164" fontId="11" fillId="0" borderId="54" xfId="0" applyNumberFormat="1" applyFont="1" applyBorder="1" applyAlignment="1">
      <alignment horizontal="center" vertical="center" wrapText="1"/>
    </xf>
    <xf numFmtId="43" fontId="3" fillId="0" borderId="14" xfId="1" applyFont="1" applyFill="1" applyBorder="1" applyAlignment="1">
      <alignment horizontal="center" vertical="center"/>
    </xf>
    <xf numFmtId="164" fontId="5" fillId="0" borderId="54" xfId="0" applyNumberFormat="1" applyFont="1" applyFill="1" applyBorder="1" applyAlignment="1">
      <alignment horizontal="center" vertical="center" wrapText="1"/>
    </xf>
    <xf numFmtId="43" fontId="3" fillId="0" borderId="54" xfId="1" applyFont="1" applyFill="1" applyBorder="1" applyAlignment="1">
      <alignment horizontal="center" vertical="center"/>
    </xf>
    <xf numFmtId="43" fontId="12" fillId="0" borderId="54" xfId="1" applyFont="1" applyFill="1" applyBorder="1" applyAlignment="1">
      <alignment horizontal="center" vertical="center"/>
    </xf>
    <xf numFmtId="43" fontId="3" fillId="0" borderId="69" xfId="1" applyFont="1" applyBorder="1" applyAlignment="1">
      <alignment horizontal="center" vertical="center"/>
    </xf>
    <xf numFmtId="43" fontId="11" fillId="0" borderId="54" xfId="1" applyFont="1" applyFill="1" applyBorder="1" applyAlignment="1">
      <alignment horizontal="center" vertical="center"/>
    </xf>
    <xf numFmtId="43" fontId="3" fillId="0" borderId="14" xfId="1" applyFont="1" applyBorder="1" applyAlignment="1">
      <alignment horizontal="right" vertical="center"/>
    </xf>
    <xf numFmtId="43" fontId="3" fillId="0" borderId="14" xfId="1" applyFont="1" applyFill="1" applyBorder="1" applyAlignment="1">
      <alignment horizontal="right" vertical="center"/>
    </xf>
    <xf numFmtId="164" fontId="3" fillId="0" borderId="69" xfId="0" applyNumberFormat="1" applyFont="1" applyBorder="1" applyAlignment="1">
      <alignment horizontal="center" vertical="center" wrapText="1"/>
    </xf>
    <xf numFmtId="43" fontId="3" fillId="0" borderId="69" xfId="1" applyNumberFormat="1" applyFont="1" applyBorder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43" fontId="3" fillId="0" borderId="29" xfId="1" applyFont="1" applyBorder="1" applyAlignment="1">
      <alignment horizontal="center" vertical="center"/>
    </xf>
    <xf numFmtId="43" fontId="3" fillId="0" borderId="16" xfId="1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164" fontId="3" fillId="0" borderId="74" xfId="0" applyNumberFormat="1" applyFont="1" applyBorder="1" applyAlignment="1">
      <alignment horizontal="center" vertical="center" wrapText="1"/>
    </xf>
    <xf numFmtId="43" fontId="3" fillId="0" borderId="74" xfId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1" fillId="0" borderId="18" xfId="0" applyFont="1" applyFill="1" applyBorder="1" applyAlignment="1"/>
    <xf numFmtId="0" fontId="11" fillId="0" borderId="14" xfId="0" applyFont="1" applyFill="1" applyBorder="1" applyAlignment="1"/>
    <xf numFmtId="0" fontId="5" fillId="0" borderId="39" xfId="0" applyFont="1" applyFill="1" applyBorder="1" applyAlignment="1">
      <alignment wrapText="1"/>
    </xf>
    <xf numFmtId="4" fontId="11" fillId="0" borderId="13" xfId="0" applyNumberFormat="1" applyFont="1" applyFill="1" applyBorder="1" applyAlignment="1"/>
    <xf numFmtId="0" fontId="11" fillId="0" borderId="29" xfId="0" applyFont="1" applyFill="1" applyBorder="1" applyAlignment="1"/>
    <xf numFmtId="0" fontId="5" fillId="0" borderId="38" xfId="0" applyFont="1" applyFill="1" applyBorder="1" applyAlignment="1">
      <alignment wrapText="1"/>
    </xf>
    <xf numFmtId="4" fontId="11" fillId="0" borderId="18" xfId="0" applyNumberFormat="1" applyFont="1" applyFill="1" applyBorder="1" applyAlignment="1"/>
    <xf numFmtId="0" fontId="5" fillId="0" borderId="38" xfId="0" applyFont="1" applyFill="1" applyBorder="1" applyAlignment="1"/>
    <xf numFmtId="0" fontId="11" fillId="0" borderId="30" xfId="0" applyFont="1" applyFill="1" applyBorder="1" applyAlignment="1">
      <alignment wrapText="1"/>
    </xf>
    <xf numFmtId="0" fontId="12" fillId="0" borderId="18" xfId="0" applyFont="1" applyFill="1" applyBorder="1" applyAlignment="1"/>
    <xf numFmtId="0" fontId="5" fillId="0" borderId="18" xfId="0" applyFont="1" applyFill="1" applyBorder="1" applyAlignment="1"/>
    <xf numFmtId="0" fontId="5" fillId="0" borderId="14" xfId="0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/>
    </xf>
    <xf numFmtId="14" fontId="11" fillId="0" borderId="18" xfId="0" applyNumberFormat="1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 wrapText="1"/>
    </xf>
    <xf numFmtId="0" fontId="12" fillId="0" borderId="30" xfId="0" applyFont="1" applyFill="1" applyBorder="1" applyAlignment="1">
      <alignment horizontal="center" wrapText="1"/>
    </xf>
    <xf numFmtId="0" fontId="11" fillId="0" borderId="30" xfId="0" applyFont="1" applyFill="1" applyBorder="1" applyAlignment="1">
      <alignment horizontal="center" wrapText="1"/>
    </xf>
    <xf numFmtId="0" fontId="5" fillId="0" borderId="30" xfId="0" applyFont="1" applyFill="1" applyBorder="1" applyAlignment="1">
      <alignment horizontal="center" wrapText="1"/>
    </xf>
    <xf numFmtId="43" fontId="5" fillId="0" borderId="14" xfId="1" applyFont="1" applyFill="1" applyBorder="1" applyAlignment="1">
      <alignment horizontal="right" vertical="center"/>
    </xf>
    <xf numFmtId="43" fontId="4" fillId="0" borderId="23" xfId="1" applyFont="1" applyBorder="1" applyAlignment="1">
      <alignment horizontal="right" vertical="center"/>
    </xf>
    <xf numFmtId="1" fontId="5" fillId="0" borderId="51" xfId="0" applyNumberFormat="1" applyFont="1" applyBorder="1" applyAlignment="1">
      <alignment horizontal="center" vertical="center"/>
    </xf>
    <xf numFmtId="43" fontId="3" fillId="0" borderId="25" xfId="1" applyNumberFormat="1" applyFont="1" applyBorder="1" applyAlignment="1">
      <alignment horizontal="center" vertical="center"/>
    </xf>
    <xf numFmtId="43" fontId="5" fillId="0" borderId="51" xfId="1" applyNumberFormat="1" applyFont="1" applyBorder="1" applyAlignment="1">
      <alignment horizontal="center" vertical="center"/>
    </xf>
    <xf numFmtId="164" fontId="4" fillId="8" borderId="54" xfId="0" applyNumberFormat="1" applyFont="1" applyFill="1" applyBorder="1" applyAlignment="1">
      <alignment horizontal="center" vertical="center"/>
    </xf>
    <xf numFmtId="1" fontId="10" fillId="8" borderId="54" xfId="0" applyNumberFormat="1" applyFont="1" applyFill="1" applyBorder="1" applyAlignment="1">
      <alignment horizontal="center" vertical="center"/>
    </xf>
    <xf numFmtId="0" fontId="4" fillId="8" borderId="54" xfId="0" applyFont="1" applyFill="1" applyBorder="1" applyAlignment="1">
      <alignment horizontal="left" vertical="center"/>
    </xf>
    <xf numFmtId="164" fontId="4" fillId="8" borderId="54" xfId="0" applyNumberFormat="1" applyFont="1" applyFill="1" applyBorder="1" applyAlignment="1">
      <alignment horizontal="center" vertical="center" wrapText="1"/>
    </xf>
    <xf numFmtId="43" fontId="4" fillId="8" borderId="54" xfId="1" applyFont="1" applyFill="1" applyBorder="1" applyAlignment="1">
      <alignment horizontal="center" vertical="center"/>
    </xf>
    <xf numFmtId="43" fontId="3" fillId="0" borderId="51" xfId="1" applyNumberFormat="1" applyFont="1" applyBorder="1" applyAlignment="1">
      <alignment horizontal="center" vertical="center"/>
    </xf>
    <xf numFmtId="43" fontId="3" fillId="0" borderId="56" xfId="1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left" vertical="center"/>
    </xf>
    <xf numFmtId="164" fontId="10" fillId="8" borderId="54" xfId="0" applyNumberFormat="1" applyFont="1" applyFill="1" applyBorder="1" applyAlignment="1">
      <alignment horizontal="left" vertical="center" wrapText="1"/>
    </xf>
    <xf numFmtId="43" fontId="4" fillId="8" borderId="58" xfId="1" applyFont="1" applyFill="1" applyBorder="1" applyAlignment="1">
      <alignment horizontal="center" vertical="center"/>
    </xf>
    <xf numFmtId="43" fontId="4" fillId="8" borderId="76" xfId="1" applyFont="1" applyFill="1" applyBorder="1" applyAlignment="1">
      <alignment horizontal="center" vertical="center"/>
    </xf>
    <xf numFmtId="164" fontId="3" fillId="0" borderId="58" xfId="0" applyNumberFormat="1" applyFont="1" applyBorder="1" applyAlignment="1">
      <alignment horizontal="center" vertical="center" wrapText="1"/>
    </xf>
    <xf numFmtId="43" fontId="3" fillId="0" borderId="58" xfId="1" applyNumberFormat="1" applyFont="1" applyBorder="1" applyAlignment="1">
      <alignment horizontal="center" vertical="center"/>
    </xf>
    <xf numFmtId="43" fontId="3" fillId="0" borderId="76" xfId="1" applyNumberFormat="1" applyFont="1" applyBorder="1" applyAlignment="1">
      <alignment horizontal="center" vertical="center"/>
    </xf>
    <xf numFmtId="43" fontId="5" fillId="0" borderId="58" xfId="1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164" fontId="5" fillId="0" borderId="58" xfId="0" applyNumberFormat="1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/>
    </xf>
    <xf numFmtId="0" fontId="3" fillId="0" borderId="73" xfId="0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vertical="center"/>
    </xf>
    <xf numFmtId="0" fontId="4" fillId="0" borderId="77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43" fontId="4" fillId="8" borderId="67" xfId="1" applyFont="1" applyFill="1" applyBorder="1" applyAlignment="1">
      <alignment horizontal="center" vertical="center"/>
    </xf>
    <xf numFmtId="164" fontId="3" fillId="0" borderId="58" xfId="0" applyNumberFormat="1" applyFont="1" applyBorder="1" applyAlignment="1">
      <alignment horizontal="center" vertical="center"/>
    </xf>
    <xf numFmtId="43" fontId="5" fillId="0" borderId="58" xfId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54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164" fontId="5" fillId="0" borderId="39" xfId="0" applyNumberFormat="1" applyFont="1" applyBorder="1" applyAlignment="1">
      <alignment horizontal="left" vertical="center"/>
    </xf>
    <xf numFmtId="43" fontId="3" fillId="8" borderId="58" xfId="1" applyFont="1" applyFill="1" applyBorder="1" applyAlignment="1">
      <alignment horizontal="center" vertical="center"/>
    </xf>
    <xf numFmtId="164" fontId="3" fillId="8" borderId="58" xfId="0" applyNumberFormat="1" applyFont="1" applyFill="1" applyBorder="1" applyAlignment="1">
      <alignment horizontal="center" vertical="center" wrapText="1"/>
    </xf>
    <xf numFmtId="1" fontId="5" fillId="8" borderId="58" xfId="0" applyNumberFormat="1" applyFont="1" applyFill="1" applyBorder="1" applyAlignment="1">
      <alignment horizontal="center" vertical="center"/>
    </xf>
    <xf numFmtId="43" fontId="3" fillId="0" borderId="67" xfId="1" applyFont="1" applyBorder="1" applyAlignment="1">
      <alignment horizontal="center" vertical="center"/>
    </xf>
    <xf numFmtId="43" fontId="5" fillId="0" borderId="25" xfId="1" applyFont="1" applyFill="1" applyBorder="1" applyAlignment="1">
      <alignment horizontal="center" vertical="center"/>
    </xf>
    <xf numFmtId="43" fontId="5" fillId="0" borderId="0" xfId="0" applyNumberFormat="1" applyFont="1" applyFill="1" applyAlignment="1">
      <alignment horizontal="center" vertical="center"/>
    </xf>
    <xf numFmtId="43" fontId="5" fillId="0" borderId="15" xfId="1" applyFont="1" applyFill="1" applyBorder="1" applyAlignment="1">
      <alignment horizontal="right" vertical="center"/>
    </xf>
    <xf numFmtId="43" fontId="3" fillId="0" borderId="15" xfId="1" applyFont="1" applyBorder="1" applyAlignment="1">
      <alignment horizontal="right" vertical="center"/>
    </xf>
    <xf numFmtId="43" fontId="3" fillId="0" borderId="30" xfId="1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164" fontId="11" fillId="0" borderId="30" xfId="0" applyNumberFormat="1" applyFont="1" applyBorder="1" applyAlignment="1">
      <alignment horizontal="center" vertical="center" wrapText="1"/>
    </xf>
    <xf numFmtId="43" fontId="3" fillId="0" borderId="18" xfId="1" applyFont="1" applyBorder="1" applyAlignment="1">
      <alignment horizontal="center" vertical="center"/>
    </xf>
    <xf numFmtId="43" fontId="10" fillId="6" borderId="86" xfId="1" applyFont="1" applyFill="1" applyBorder="1" applyAlignment="1">
      <alignment horizontal="center" vertical="center" wrapText="1"/>
    </xf>
    <xf numFmtId="43" fontId="4" fillId="0" borderId="86" xfId="1" applyFont="1" applyFill="1" applyBorder="1" applyAlignment="1">
      <alignment horizontal="center" vertical="center" wrapText="1"/>
    </xf>
    <xf numFmtId="43" fontId="10" fillId="0" borderId="86" xfId="1" applyFont="1" applyFill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/>
    </xf>
    <xf numFmtId="164" fontId="3" fillId="8" borderId="54" xfId="0" quotePrefix="1" applyNumberFormat="1" applyFont="1" applyFill="1" applyBorder="1" applyAlignment="1">
      <alignment horizontal="center" vertical="center" wrapText="1"/>
    </xf>
    <xf numFmtId="1" fontId="5" fillId="8" borderId="54" xfId="0" applyNumberFormat="1" applyFont="1" applyFill="1" applyBorder="1" applyAlignment="1">
      <alignment horizontal="center" vertical="center" wrapText="1"/>
    </xf>
    <xf numFmtId="0" fontId="3" fillId="8" borderId="54" xfId="0" applyFont="1" applyFill="1" applyBorder="1" applyAlignment="1">
      <alignment horizontal="left" vertical="center"/>
    </xf>
    <xf numFmtId="164" fontId="3" fillId="8" borderId="54" xfId="0" applyNumberFormat="1" applyFont="1" applyFill="1" applyBorder="1" applyAlignment="1">
      <alignment horizontal="center" vertical="center" wrapText="1"/>
    </xf>
    <xf numFmtId="43" fontId="3" fillId="8" borderId="54" xfId="1" applyFont="1" applyFill="1" applyBorder="1" applyAlignment="1">
      <alignment horizontal="center" vertical="center" wrapText="1"/>
    </xf>
    <xf numFmtId="43" fontId="5" fillId="8" borderId="54" xfId="1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3" fillId="0" borderId="77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43" fontId="5" fillId="8" borderId="54" xfId="1" applyFont="1" applyFill="1" applyBorder="1" applyAlignment="1">
      <alignment horizontal="right" vertical="center" wrapText="1"/>
    </xf>
    <xf numFmtId="43" fontId="5" fillId="0" borderId="29" xfId="1" applyFont="1" applyBorder="1" applyAlignment="1">
      <alignment horizontal="right" vertical="center"/>
    </xf>
    <xf numFmtId="164" fontId="3" fillId="0" borderId="58" xfId="0" applyNumberFormat="1" applyFont="1" applyFill="1" applyBorder="1" applyAlignment="1">
      <alignment horizontal="center" vertical="center" wrapText="1"/>
    </xf>
    <xf numFmtId="43" fontId="3" fillId="0" borderId="58" xfId="1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43" fontId="5" fillId="0" borderId="30" xfId="1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wrapText="1"/>
    </xf>
    <xf numFmtId="4" fontId="11" fillId="0" borderId="54" xfId="0" applyNumberFormat="1" applyFont="1" applyFill="1" applyBorder="1" applyAlignment="1"/>
    <xf numFmtId="0" fontId="12" fillId="0" borderId="54" xfId="0" applyFont="1" applyFill="1" applyBorder="1" applyAlignment="1">
      <alignment horizontal="center" wrapText="1"/>
    </xf>
    <xf numFmtId="0" fontId="11" fillId="0" borderId="54" xfId="0" applyFont="1" applyFill="1" applyBorder="1" applyAlignment="1"/>
    <xf numFmtId="0" fontId="5" fillId="0" borderId="15" xfId="0" applyFont="1" applyFill="1" applyBorder="1" applyAlignment="1">
      <alignment wrapText="1"/>
    </xf>
    <xf numFmtId="0" fontId="5" fillId="0" borderId="30" xfId="0" applyFont="1" applyFill="1" applyBorder="1" applyAlignment="1">
      <alignment wrapText="1"/>
    </xf>
    <xf numFmtId="4" fontId="11" fillId="0" borderId="29" xfId="0" applyNumberFormat="1" applyFont="1" applyFill="1" applyBorder="1" applyAlignment="1"/>
    <xf numFmtId="0" fontId="11" fillId="0" borderId="69" xfId="0" applyFont="1" applyFill="1" applyBorder="1" applyAlignment="1">
      <alignment horizontal="center" wrapText="1"/>
    </xf>
    <xf numFmtId="4" fontId="11" fillId="0" borderId="69" xfId="0" applyNumberFormat="1" applyFont="1" applyFill="1" applyBorder="1" applyAlignment="1"/>
    <xf numFmtId="164" fontId="3" fillId="0" borderId="25" xfId="0" applyNumberFormat="1" applyFont="1" applyBorder="1" applyAlignment="1">
      <alignment horizontal="center" vertical="center"/>
    </xf>
    <xf numFmtId="0" fontId="3" fillId="0" borderId="62" xfId="0" applyFont="1" applyBorder="1" applyAlignment="1">
      <alignment vertical="center"/>
    </xf>
    <xf numFmtId="164" fontId="5" fillId="0" borderId="17" xfId="0" applyNumberFormat="1" applyFont="1" applyFill="1" applyBorder="1" applyAlignment="1">
      <alignment horizontal="left" vertical="center"/>
    </xf>
    <xf numFmtId="164" fontId="3" fillId="0" borderId="25" xfId="0" applyNumberFormat="1" applyFont="1" applyBorder="1" applyAlignment="1">
      <alignment horizontal="center" vertical="center" wrapText="1"/>
    </xf>
    <xf numFmtId="164" fontId="5" fillId="8" borderId="54" xfId="0" applyNumberFormat="1" applyFont="1" applyFill="1" applyBorder="1" applyAlignment="1">
      <alignment horizontal="left" vertical="center" wrapText="1"/>
    </xf>
    <xf numFmtId="164" fontId="3" fillId="8" borderId="67" xfId="0" applyNumberFormat="1" applyFont="1" applyFill="1" applyBorder="1" applyAlignment="1">
      <alignment horizontal="center" vertical="center" wrapText="1"/>
    </xf>
    <xf numFmtId="43" fontId="3" fillId="8" borderId="56" xfId="1" applyFont="1" applyFill="1" applyBorder="1" applyAlignment="1">
      <alignment horizontal="center" vertical="center" wrapText="1"/>
    </xf>
    <xf numFmtId="43" fontId="3" fillId="8" borderId="58" xfId="1" applyFont="1" applyFill="1" applyBorder="1" applyAlignment="1">
      <alignment horizontal="center" vertical="center" wrapText="1"/>
    </xf>
    <xf numFmtId="43" fontId="0" fillId="0" borderId="0" xfId="0" applyNumberFormat="1"/>
    <xf numFmtId="0" fontId="3" fillId="0" borderId="60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vertical="center"/>
    </xf>
    <xf numFmtId="164" fontId="3" fillId="0" borderId="67" xfId="0" applyNumberFormat="1" applyFont="1" applyBorder="1" applyAlignment="1">
      <alignment horizontal="center" vertical="center" wrapText="1"/>
    </xf>
    <xf numFmtId="43" fontId="3" fillId="0" borderId="63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" fontId="17" fillId="0" borderId="1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164" fontId="17" fillId="0" borderId="15" xfId="0" applyNumberFormat="1" applyFont="1" applyBorder="1" applyAlignment="1">
      <alignment horizontal="left" vertical="center"/>
    </xf>
    <xf numFmtId="164" fontId="1" fillId="0" borderId="67" xfId="0" applyNumberFormat="1" applyFont="1" applyBorder="1" applyAlignment="1">
      <alignment horizontal="center" vertical="center" wrapText="1"/>
    </xf>
    <xf numFmtId="43" fontId="1" fillId="0" borderId="54" xfId="1" applyFont="1" applyBorder="1" applyAlignment="1">
      <alignment horizontal="center" vertical="center"/>
    </xf>
    <xf numFmtId="43" fontId="1" fillId="0" borderId="14" xfId="1" applyFont="1" applyBorder="1" applyAlignment="1">
      <alignment horizontal="center" vertical="center"/>
    </xf>
    <xf numFmtId="43" fontId="1" fillId="8" borderId="5" xfId="1" applyFont="1" applyFill="1" applyBorder="1" applyAlignment="1">
      <alignment horizontal="center" vertical="center"/>
    </xf>
    <xf numFmtId="43" fontId="1" fillId="0" borderId="5" xfId="1" applyFont="1" applyBorder="1" applyAlignment="1">
      <alignment horizontal="center" vertical="center"/>
    </xf>
    <xf numFmtId="43" fontId="17" fillId="0" borderId="14" xfId="1" applyFont="1" applyBorder="1" applyAlignment="1">
      <alignment horizontal="center" vertical="center"/>
    </xf>
    <xf numFmtId="43" fontId="8" fillId="0" borderId="30" xfId="1" applyFont="1" applyBorder="1" applyAlignment="1">
      <alignment horizontal="center" vertical="center"/>
    </xf>
    <xf numFmtId="43" fontId="1" fillId="0" borderId="63" xfId="0" applyNumberFormat="1" applyFont="1" applyBorder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14" fontId="18" fillId="0" borderId="18" xfId="0" applyNumberFormat="1" applyFont="1" applyFill="1" applyBorder="1" applyAlignment="1">
      <alignment horizontal="center"/>
    </xf>
    <xf numFmtId="0" fontId="17" fillId="0" borderId="29" xfId="0" applyFont="1" applyFill="1" applyBorder="1" applyAlignment="1">
      <alignment horizontal="center"/>
    </xf>
    <xf numFmtId="0" fontId="18" fillId="0" borderId="29" xfId="0" applyFont="1" applyFill="1" applyBorder="1" applyAlignment="1"/>
    <xf numFmtId="0" fontId="17" fillId="0" borderId="30" xfId="0" applyFont="1" applyFill="1" applyBorder="1" applyAlignment="1">
      <alignment wrapText="1"/>
    </xf>
    <xf numFmtId="0" fontId="18" fillId="0" borderId="69" xfId="0" applyFont="1" applyFill="1" applyBorder="1" applyAlignment="1">
      <alignment horizontal="center" wrapText="1"/>
    </xf>
    <xf numFmtId="4" fontId="18" fillId="0" borderId="69" xfId="0" applyNumberFormat="1" applyFont="1" applyFill="1" applyBorder="1" applyAlignment="1"/>
    <xf numFmtId="4" fontId="18" fillId="0" borderId="29" xfId="0" applyNumberFormat="1" applyFont="1" applyFill="1" applyBorder="1" applyAlignment="1"/>
    <xf numFmtId="43" fontId="1" fillId="8" borderId="16" xfId="1" applyFont="1" applyFill="1" applyBorder="1" applyAlignment="1">
      <alignment horizontal="center" vertical="center"/>
    </xf>
    <xf numFmtId="43" fontId="19" fillId="8" borderId="29" xfId="1" applyFont="1" applyFill="1" applyBorder="1" applyAlignment="1">
      <alignment horizontal="center" vertical="center"/>
    </xf>
    <xf numFmtId="43" fontId="19" fillId="0" borderId="30" xfId="1" applyFont="1" applyFill="1" applyBorder="1" applyAlignment="1">
      <alignment horizontal="center" vertical="center"/>
    </xf>
    <xf numFmtId="43" fontId="19" fillId="0" borderId="69" xfId="1" applyFont="1" applyFill="1" applyBorder="1" applyAlignment="1">
      <alignment horizontal="center" vertical="center"/>
    </xf>
    <xf numFmtId="43" fontId="17" fillId="0" borderId="29" xfId="1" applyFont="1" applyBorder="1" applyAlignment="1">
      <alignment horizontal="center" vertical="center"/>
    </xf>
    <xf numFmtId="0" fontId="17" fillId="0" borderId="64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54" xfId="0" applyFont="1" applyFill="1" applyBorder="1" applyAlignment="1">
      <alignment horizontal="center" wrapText="1"/>
    </xf>
    <xf numFmtId="4" fontId="18" fillId="0" borderId="54" xfId="0" applyNumberFormat="1" applyFont="1" applyFill="1" applyBorder="1" applyAlignment="1"/>
    <xf numFmtId="43" fontId="17" fillId="8" borderId="5" xfId="1" applyFont="1" applyFill="1" applyBorder="1" applyAlignment="1">
      <alignment horizontal="center" vertical="center"/>
    </xf>
    <xf numFmtId="43" fontId="17" fillId="8" borderId="14" xfId="1" applyFont="1" applyFill="1" applyBorder="1" applyAlignment="1">
      <alignment horizontal="center" vertical="center"/>
    </xf>
    <xf numFmtId="43" fontId="17" fillId="0" borderId="15" xfId="1" applyFont="1" applyFill="1" applyBorder="1" applyAlignment="1">
      <alignment horizontal="center" vertical="center"/>
    </xf>
    <xf numFmtId="43" fontId="17" fillId="0" borderId="54" xfId="1" applyFont="1" applyFill="1" applyBorder="1" applyAlignment="1">
      <alignment horizontal="center" vertical="center"/>
    </xf>
    <xf numFmtId="43" fontId="17" fillId="0" borderId="14" xfId="1" applyFont="1" applyFill="1" applyBorder="1" applyAlignment="1">
      <alignment horizontal="center" vertical="center"/>
    </xf>
    <xf numFmtId="0" fontId="17" fillId="0" borderId="61" xfId="0" applyFont="1" applyFill="1" applyBorder="1" applyAlignment="1">
      <alignment horizontal="center" vertical="center"/>
    </xf>
    <xf numFmtId="0" fontId="17" fillId="0" borderId="30" xfId="0" applyFont="1" applyFill="1" applyBorder="1" applyAlignment="1"/>
    <xf numFmtId="0" fontId="18" fillId="0" borderId="54" xfId="0" applyFont="1" applyFill="1" applyBorder="1" applyAlignment="1">
      <alignment horizontal="center" wrapText="1"/>
    </xf>
    <xf numFmtId="0" fontId="19" fillId="0" borderId="54" xfId="0" applyFont="1" applyFill="1" applyBorder="1" applyAlignment="1"/>
    <xf numFmtId="0" fontId="19" fillId="0" borderId="29" xfId="0" applyFont="1" applyFill="1" applyBorder="1" applyAlignment="1"/>
    <xf numFmtId="43" fontId="1" fillId="8" borderId="14" xfId="1" applyFont="1" applyFill="1" applyBorder="1" applyAlignment="1">
      <alignment horizontal="center" vertical="center"/>
    </xf>
    <xf numFmtId="43" fontId="17" fillId="0" borderId="15" xfId="1" applyFont="1" applyFill="1" applyBorder="1" applyAlignment="1">
      <alignment horizontal="right" vertical="center"/>
    </xf>
    <xf numFmtId="0" fontId="17" fillId="0" borderId="54" xfId="0" applyFont="1" applyFill="1" applyBorder="1" applyAlignment="1"/>
    <xf numFmtId="0" fontId="17" fillId="0" borderId="29" xfId="0" applyFont="1" applyFill="1" applyBorder="1" applyAlignment="1"/>
    <xf numFmtId="43" fontId="1" fillId="0" borderId="15" xfId="1" applyFont="1" applyBorder="1" applyAlignment="1">
      <alignment horizontal="right" vertical="center"/>
    </xf>
    <xf numFmtId="0" fontId="1" fillId="0" borderId="62" xfId="0" applyFont="1" applyBorder="1" applyAlignment="1">
      <alignment horizontal="center" vertical="center"/>
    </xf>
    <xf numFmtId="0" fontId="18" fillId="0" borderId="54" xfId="0" applyFont="1" applyFill="1" applyBorder="1" applyAlignment="1"/>
    <xf numFmtId="0" fontId="1" fillId="0" borderId="63" xfId="0" applyFont="1" applyBorder="1" applyAlignment="1">
      <alignment horizontal="center" vertical="center"/>
    </xf>
    <xf numFmtId="43" fontId="1" fillId="8" borderId="5" xfId="1" applyNumberFormat="1" applyFont="1" applyFill="1" applyBorder="1" applyAlignment="1">
      <alignment horizontal="center" vertical="center"/>
    </xf>
    <xf numFmtId="43" fontId="17" fillId="0" borderId="14" xfId="1" applyNumberFormat="1" applyFont="1" applyBorder="1" applyAlignment="1">
      <alignment horizontal="center" vertical="center"/>
    </xf>
    <xf numFmtId="0" fontId="18" fillId="0" borderId="54" xfId="0" applyFont="1" applyFill="1" applyBorder="1" applyAlignment="1">
      <alignment wrapText="1"/>
    </xf>
    <xf numFmtId="164" fontId="1" fillId="0" borderId="13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left" vertical="center"/>
    </xf>
    <xf numFmtId="164" fontId="1" fillId="0" borderId="54" xfId="0" applyNumberFormat="1" applyFont="1" applyBorder="1" applyAlignment="1">
      <alignment horizontal="center" vertical="center" wrapText="1"/>
    </xf>
    <xf numFmtId="43" fontId="1" fillId="0" borderId="54" xfId="1" applyNumberFormat="1" applyFont="1" applyBorder="1" applyAlignment="1">
      <alignment horizontal="center" vertical="center"/>
    </xf>
    <xf numFmtId="43" fontId="1" fillId="0" borderId="14" xfId="1" applyNumberFormat="1" applyFont="1" applyBorder="1" applyAlignment="1">
      <alignment horizontal="center" vertical="center"/>
    </xf>
    <xf numFmtId="43" fontId="1" fillId="8" borderId="5" xfId="1" applyFont="1" applyFill="1" applyBorder="1" applyAlignment="1">
      <alignment horizontal="right" vertical="center"/>
    </xf>
    <xf numFmtId="43" fontId="1" fillId="0" borderId="15" xfId="1" applyFont="1" applyBorder="1" applyAlignment="1">
      <alignment horizontal="center" vertical="center"/>
    </xf>
    <xf numFmtId="43" fontId="17" fillId="0" borderId="14" xfId="1" applyNumberFormat="1" applyFont="1" applyBorder="1" applyAlignment="1">
      <alignment horizontal="right" vertical="center"/>
    </xf>
    <xf numFmtId="164" fontId="1" fillId="0" borderId="15" xfId="0" applyNumberFormat="1" applyFont="1" applyBorder="1" applyAlignment="1">
      <alignment horizontal="left" vertical="center" wrapText="1"/>
    </xf>
    <xf numFmtId="43" fontId="17" fillId="0" borderId="51" xfId="1" applyFont="1" applyBorder="1" applyAlignment="1">
      <alignment horizontal="right" vertical="center"/>
    </xf>
    <xf numFmtId="0" fontId="1" fillId="0" borderId="60" xfId="0" applyFont="1" applyBorder="1" applyAlignment="1">
      <alignment horizontal="center" vertical="center"/>
    </xf>
    <xf numFmtId="43" fontId="1" fillId="0" borderId="67" xfId="1" applyFont="1" applyBorder="1" applyAlignment="1">
      <alignment horizontal="center" vertical="center"/>
    </xf>
    <xf numFmtId="43" fontId="17" fillId="0" borderId="54" xfId="1" applyFont="1" applyBorder="1" applyAlignment="1">
      <alignment horizontal="right" vertical="center"/>
    </xf>
    <xf numFmtId="0" fontId="1" fillId="0" borderId="61" xfId="0" applyFont="1" applyBorder="1" applyAlignment="1">
      <alignment horizontal="center" vertical="center"/>
    </xf>
    <xf numFmtId="43" fontId="1" fillId="0" borderId="30" xfId="1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43" fontId="19" fillId="8" borderId="14" xfId="1" applyFont="1" applyFill="1" applyBorder="1" applyAlignment="1">
      <alignment horizontal="center" vertical="center"/>
    </xf>
    <xf numFmtId="43" fontId="19" fillId="0" borderId="14" xfId="1" applyFont="1" applyFill="1" applyBorder="1" applyAlignment="1">
      <alignment horizontal="center" vertical="center"/>
    </xf>
    <xf numFmtId="43" fontId="19" fillId="0" borderId="15" xfId="1" applyFont="1" applyFill="1" applyBorder="1" applyAlignment="1">
      <alignment horizontal="center" vertical="center"/>
    </xf>
    <xf numFmtId="43" fontId="17" fillId="0" borderId="54" xfId="1" applyNumberFormat="1" applyFont="1" applyBorder="1" applyAlignment="1">
      <alignment horizontal="center" vertical="center"/>
    </xf>
    <xf numFmtId="1" fontId="17" fillId="0" borderId="51" xfId="0" applyNumberFormat="1" applyFont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43" fontId="1" fillId="0" borderId="69" xfId="1" applyNumberFormat="1" applyFont="1" applyBorder="1" applyAlignment="1">
      <alignment horizontal="center" vertical="center"/>
    </xf>
    <xf numFmtId="43" fontId="1" fillId="0" borderId="51" xfId="1" applyNumberFormat="1" applyFont="1" applyBorder="1" applyAlignment="1">
      <alignment horizontal="center" vertical="center"/>
    </xf>
    <xf numFmtId="43" fontId="1" fillId="8" borderId="25" xfId="1" applyNumberFormat="1" applyFont="1" applyFill="1" applyBorder="1" applyAlignment="1">
      <alignment horizontal="center" vertical="center"/>
    </xf>
    <xf numFmtId="43" fontId="1" fillId="8" borderId="25" xfId="1" applyFont="1" applyFill="1" applyBorder="1" applyAlignment="1">
      <alignment horizontal="center" vertical="center"/>
    </xf>
    <xf numFmtId="43" fontId="1" fillId="0" borderId="51" xfId="1" applyFont="1" applyBorder="1" applyAlignment="1">
      <alignment horizontal="center" vertical="center"/>
    </xf>
    <xf numFmtId="1" fontId="17" fillId="0" borderId="54" xfId="0" applyNumberFormat="1" applyFont="1" applyBorder="1" applyAlignment="1">
      <alignment horizontal="center" vertical="center"/>
    </xf>
    <xf numFmtId="0" fontId="1" fillId="0" borderId="54" xfId="0" applyFont="1" applyBorder="1" applyAlignment="1">
      <alignment horizontal="left" vertical="center"/>
    </xf>
    <xf numFmtId="43" fontId="1" fillId="0" borderId="56" xfId="1" applyNumberFormat="1" applyFont="1" applyBorder="1" applyAlignment="1">
      <alignment horizontal="center" vertical="center"/>
    </xf>
    <xf numFmtId="43" fontId="1" fillId="8" borderId="54" xfId="1" applyNumberFormat="1" applyFont="1" applyFill="1" applyBorder="1" applyAlignment="1">
      <alignment horizontal="center" vertical="center"/>
    </xf>
    <xf numFmtId="43" fontId="17" fillId="8" borderId="5" xfId="1" applyFont="1" applyFill="1" applyBorder="1" applyAlignment="1">
      <alignment horizontal="right" vertical="center"/>
    </xf>
    <xf numFmtId="43" fontId="1" fillId="8" borderId="54" xfId="1" applyFont="1" applyFill="1" applyBorder="1" applyAlignment="1">
      <alignment horizontal="center" vertical="center"/>
    </xf>
    <xf numFmtId="43" fontId="17" fillId="8" borderId="5" xfId="1" applyNumberFormat="1" applyFont="1" applyFill="1" applyBorder="1" applyAlignment="1">
      <alignment horizontal="center" vertical="center"/>
    </xf>
    <xf numFmtId="43" fontId="1" fillId="8" borderId="0" xfId="1" applyFont="1" applyFill="1" applyBorder="1" applyAlignment="1">
      <alignment horizontal="center" vertical="center"/>
    </xf>
    <xf numFmtId="43" fontId="17" fillId="0" borderId="69" xfId="1" applyNumberFormat="1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1" xfId="0" applyFont="1" applyBorder="1" applyAlignment="1">
      <alignment vertical="center"/>
    </xf>
    <xf numFmtId="1" fontId="17" fillId="0" borderId="58" xfId="0" applyNumberFormat="1" applyFont="1" applyBorder="1" applyAlignment="1">
      <alignment horizontal="center" vertical="center"/>
    </xf>
    <xf numFmtId="164" fontId="1" fillId="0" borderId="58" xfId="0" applyNumberFormat="1" applyFont="1" applyBorder="1" applyAlignment="1">
      <alignment horizontal="center" vertical="center" wrapText="1"/>
    </xf>
    <xf numFmtId="43" fontId="1" fillId="0" borderId="58" xfId="1" applyNumberFormat="1" applyFont="1" applyBorder="1" applyAlignment="1">
      <alignment horizontal="center" vertical="center"/>
    </xf>
    <xf numFmtId="43" fontId="1" fillId="0" borderId="76" xfId="1" applyNumberFormat="1" applyFont="1" applyBorder="1" applyAlignment="1">
      <alignment horizontal="center" vertical="center"/>
    </xf>
    <xf numFmtId="43" fontId="1" fillId="8" borderId="58" xfId="1" applyNumberFormat="1" applyFont="1" applyFill="1" applyBorder="1" applyAlignment="1">
      <alignment horizontal="center" vertical="center"/>
    </xf>
    <xf numFmtId="43" fontId="1" fillId="8" borderId="58" xfId="1" applyFont="1" applyFill="1" applyBorder="1" applyAlignment="1">
      <alignment horizontal="center" vertical="center"/>
    </xf>
    <xf numFmtId="43" fontId="1" fillId="0" borderId="58" xfId="1" applyFont="1" applyBorder="1" applyAlignment="1">
      <alignment horizontal="center" vertical="center"/>
    </xf>
    <xf numFmtId="43" fontId="17" fillId="0" borderId="58" xfId="1" applyNumberFormat="1" applyFont="1" applyBorder="1" applyAlignment="1">
      <alignment horizontal="center" vertical="center"/>
    </xf>
    <xf numFmtId="1" fontId="17" fillId="8" borderId="58" xfId="0" applyNumberFormat="1" applyFont="1" applyFill="1" applyBorder="1" applyAlignment="1">
      <alignment horizontal="center" vertical="center"/>
    </xf>
    <xf numFmtId="164" fontId="1" fillId="8" borderId="58" xfId="0" applyNumberFormat="1" applyFont="1" applyFill="1" applyBorder="1" applyAlignment="1">
      <alignment horizontal="center" vertical="center" wrapText="1"/>
    </xf>
    <xf numFmtId="43" fontId="8" fillId="8" borderId="58" xfId="1" applyFont="1" applyFill="1" applyBorder="1" applyAlignment="1">
      <alignment horizontal="center" vertical="center"/>
    </xf>
    <xf numFmtId="43" fontId="8" fillId="8" borderId="76" xfId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164" fontId="17" fillId="0" borderId="57" xfId="0" applyNumberFormat="1" applyFont="1" applyBorder="1" applyAlignment="1">
      <alignment horizontal="left" vertical="center"/>
    </xf>
    <xf numFmtId="164" fontId="17" fillId="0" borderId="58" xfId="0" applyNumberFormat="1" applyFont="1" applyBorder="1" applyAlignment="1">
      <alignment horizontal="center" vertical="center" wrapText="1"/>
    </xf>
    <xf numFmtId="43" fontId="1" fillId="0" borderId="5" xfId="1" applyNumberFormat="1" applyFont="1" applyBorder="1" applyAlignment="1">
      <alignment horizontal="center" vertical="center"/>
    </xf>
    <xf numFmtId="43" fontId="17" fillId="0" borderId="5" xfId="1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64" fontId="17" fillId="0" borderId="54" xfId="0" applyNumberFormat="1" applyFont="1" applyBorder="1" applyAlignment="1">
      <alignment horizontal="left" vertical="center"/>
    </xf>
    <xf numFmtId="164" fontId="17" fillId="0" borderId="56" xfId="0" applyNumberFormat="1" applyFont="1" applyBorder="1" applyAlignment="1">
      <alignment horizontal="center" vertical="center" wrapText="1"/>
    </xf>
    <xf numFmtId="164" fontId="17" fillId="0" borderId="16" xfId="0" applyNumberFormat="1" applyFont="1" applyBorder="1" applyAlignment="1">
      <alignment horizontal="center" vertical="center" wrapText="1"/>
    </xf>
    <xf numFmtId="1" fontId="17" fillId="0" borderId="5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 wrapText="1"/>
    </xf>
    <xf numFmtId="43" fontId="17" fillId="0" borderId="5" xfId="1" applyNumberFormat="1" applyFont="1" applyFill="1" applyBorder="1" applyAlignment="1">
      <alignment horizontal="center" vertical="center"/>
    </xf>
    <xf numFmtId="43" fontId="1" fillId="0" borderId="5" xfId="1" applyFont="1" applyFill="1" applyBorder="1" applyAlignment="1">
      <alignment horizontal="center" vertical="center"/>
    </xf>
    <xf numFmtId="164" fontId="17" fillId="0" borderId="5" xfId="0" applyNumberFormat="1" applyFont="1" applyFill="1" applyBorder="1" applyAlignment="1">
      <alignment horizontal="center" vertical="center" wrapText="1"/>
    </xf>
    <xf numFmtId="0" fontId="1" fillId="0" borderId="62" xfId="0" applyFont="1" applyBorder="1" applyAlignment="1">
      <alignment vertical="center"/>
    </xf>
    <xf numFmtId="0" fontId="17" fillId="0" borderId="5" xfId="0" applyFont="1" applyFill="1" applyBorder="1" applyAlignment="1">
      <alignment horizontal="left" vertical="center"/>
    </xf>
    <xf numFmtId="164" fontId="1" fillId="0" borderId="5" xfId="0" applyNumberFormat="1" applyFont="1" applyBorder="1" applyAlignment="1">
      <alignment horizontal="center" vertical="center" wrapText="1"/>
    </xf>
    <xf numFmtId="43" fontId="17" fillId="0" borderId="5" xfId="1" applyFont="1" applyBorder="1" applyAlignment="1">
      <alignment horizontal="center" vertical="center"/>
    </xf>
    <xf numFmtId="164" fontId="17" fillId="0" borderId="58" xfId="0" applyNumberFormat="1" applyFont="1" applyBorder="1" applyAlignment="1">
      <alignment horizontal="left" vertical="center"/>
    </xf>
    <xf numFmtId="43" fontId="19" fillId="8" borderId="5" xfId="1" applyFont="1" applyFill="1" applyBorder="1" applyAlignment="1">
      <alignment horizontal="center" vertical="center"/>
    </xf>
    <xf numFmtId="43" fontId="17" fillId="0" borderId="5" xfId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43" fontId="1" fillId="0" borderId="23" xfId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 wrapText="1"/>
    </xf>
    <xf numFmtId="43" fontId="1" fillId="0" borderId="25" xfId="1" applyFont="1" applyBorder="1" applyAlignment="1">
      <alignment horizontal="center" vertical="center"/>
    </xf>
    <xf numFmtId="43" fontId="1" fillId="0" borderId="17" xfId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7" fillId="0" borderId="17" xfId="0" applyNumberFormat="1" applyFont="1" applyFill="1" applyBorder="1" applyAlignment="1">
      <alignment horizontal="left" vertical="center"/>
    </xf>
    <xf numFmtId="164" fontId="17" fillId="0" borderId="15" xfId="0" applyNumberFormat="1" applyFont="1" applyBorder="1" applyAlignment="1">
      <alignment horizontal="left" vertical="center" wrapText="1"/>
    </xf>
    <xf numFmtId="164" fontId="18" fillId="0" borderId="54" xfId="0" applyNumberFormat="1" applyFont="1" applyBorder="1" applyAlignment="1">
      <alignment horizontal="center" vertical="center" wrapText="1"/>
    </xf>
    <xf numFmtId="43" fontId="1" fillId="0" borderId="14" xfId="1" applyFont="1" applyBorder="1" applyAlignment="1">
      <alignment horizontal="right" vertical="center"/>
    </xf>
    <xf numFmtId="43" fontId="17" fillId="0" borderId="54" xfId="1" applyFon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164" fontId="1" fillId="0" borderId="54" xfId="0" applyNumberFormat="1" applyFont="1" applyFill="1" applyBorder="1" applyAlignment="1">
      <alignment horizontal="center" vertical="center" wrapText="1"/>
    </xf>
    <xf numFmtId="43" fontId="18" fillId="0" borderId="54" xfId="1" applyFont="1" applyFill="1" applyBorder="1" applyAlignment="1">
      <alignment horizontal="center" vertical="center"/>
    </xf>
    <xf numFmtId="43" fontId="1" fillId="0" borderId="14" xfId="1" applyFont="1" applyFill="1" applyBorder="1" applyAlignment="1">
      <alignment horizontal="right" vertical="center"/>
    </xf>
    <xf numFmtId="164" fontId="17" fillId="0" borderId="54" xfId="0" applyNumberFormat="1" applyFont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43" fontId="1" fillId="0" borderId="69" xfId="1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1" fontId="17" fillId="0" borderId="14" xfId="0" applyNumberFormat="1" applyFont="1" applyBorder="1" applyAlignment="1">
      <alignment horizontal="center" vertical="center" wrapText="1"/>
    </xf>
    <xf numFmtId="1" fontId="17" fillId="0" borderId="14" xfId="0" applyNumberFormat="1" applyFont="1" applyBorder="1" applyAlignment="1">
      <alignment horizontal="left" vertical="center" wrapText="1"/>
    </xf>
    <xf numFmtId="43" fontId="1" fillId="8" borderId="17" xfId="1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164" fontId="17" fillId="0" borderId="54" xfId="0" applyNumberFormat="1" applyFont="1" applyBorder="1" applyAlignment="1">
      <alignment horizontal="center" vertical="center" wrapText="1"/>
    </xf>
    <xf numFmtId="43" fontId="17" fillId="8" borderId="54" xfId="1" applyFont="1" applyFill="1" applyBorder="1" applyAlignment="1">
      <alignment horizontal="center" vertical="center"/>
    </xf>
    <xf numFmtId="43" fontId="8" fillId="0" borderId="67" xfId="1" applyFont="1" applyBorder="1" applyAlignment="1">
      <alignment horizontal="center" vertical="center"/>
    </xf>
    <xf numFmtId="43" fontId="1" fillId="0" borderId="16" xfId="1" applyFont="1" applyBorder="1" applyAlignment="1">
      <alignment horizontal="center" vertical="center"/>
    </xf>
    <xf numFmtId="164" fontId="1" fillId="8" borderId="54" xfId="0" quotePrefix="1" applyNumberFormat="1" applyFont="1" applyFill="1" applyBorder="1" applyAlignment="1">
      <alignment horizontal="center" vertical="center" wrapText="1"/>
    </xf>
    <xf numFmtId="1" fontId="17" fillId="8" borderId="54" xfId="0" applyNumberFormat="1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left" vertical="center"/>
    </xf>
    <xf numFmtId="164" fontId="17" fillId="8" borderId="54" xfId="0" applyNumberFormat="1" applyFont="1" applyFill="1" applyBorder="1" applyAlignment="1">
      <alignment horizontal="left" vertical="center" wrapText="1"/>
    </xf>
    <xf numFmtId="164" fontId="1" fillId="8" borderId="54" xfId="0" applyNumberFormat="1" applyFont="1" applyFill="1" applyBorder="1" applyAlignment="1">
      <alignment horizontal="center" vertical="center" wrapText="1"/>
    </xf>
    <xf numFmtId="43" fontId="1" fillId="8" borderId="58" xfId="1" applyFont="1" applyFill="1" applyBorder="1" applyAlignment="1">
      <alignment horizontal="center" vertical="center" wrapText="1"/>
    </xf>
    <xf numFmtId="43" fontId="1" fillId="8" borderId="54" xfId="1" applyFont="1" applyFill="1" applyBorder="1" applyAlignment="1">
      <alignment horizontal="center" vertical="center" wrapText="1"/>
    </xf>
    <xf numFmtId="43" fontId="17" fillId="8" borderId="54" xfId="1" applyFont="1" applyFill="1" applyBorder="1" applyAlignment="1">
      <alignment horizontal="center" vertical="center" wrapText="1"/>
    </xf>
    <xf numFmtId="43" fontId="17" fillId="8" borderId="54" xfId="1" applyFont="1" applyFill="1" applyBorder="1" applyAlignment="1">
      <alignment horizontal="right" vertical="center" wrapText="1"/>
    </xf>
    <xf numFmtId="1" fontId="17" fillId="0" borderId="29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164" fontId="18" fillId="0" borderId="30" xfId="0" applyNumberFormat="1" applyFont="1" applyBorder="1" applyAlignment="1">
      <alignment horizontal="center" vertical="center" wrapText="1"/>
    </xf>
    <xf numFmtId="43" fontId="1" fillId="8" borderId="56" xfId="1" applyFont="1" applyFill="1" applyBorder="1" applyAlignment="1">
      <alignment horizontal="center" vertical="center" wrapText="1"/>
    </xf>
    <xf numFmtId="43" fontId="17" fillId="0" borderId="29" xfId="1" applyFont="1" applyBorder="1" applyAlignment="1">
      <alignment horizontal="right" vertical="center"/>
    </xf>
    <xf numFmtId="164" fontId="1" fillId="8" borderId="67" xfId="0" applyNumberFormat="1" applyFont="1" applyFill="1" applyBorder="1" applyAlignment="1">
      <alignment horizontal="center" vertical="center" wrapText="1"/>
    </xf>
    <xf numFmtId="164" fontId="18" fillId="0" borderId="15" xfId="0" applyNumberFormat="1" applyFont="1" applyBorder="1" applyAlignment="1">
      <alignment horizontal="center" vertical="center" wrapText="1"/>
    </xf>
    <xf numFmtId="43" fontId="17" fillId="0" borderId="14" xfId="1" applyFont="1" applyBorder="1" applyAlignment="1">
      <alignment horizontal="right" vertical="center"/>
    </xf>
    <xf numFmtId="1" fontId="17" fillId="0" borderId="14" xfId="0" applyNumberFormat="1" applyFont="1" applyFill="1" applyBorder="1" applyAlignment="1">
      <alignment horizontal="center" vertical="center"/>
    </xf>
    <xf numFmtId="164" fontId="1" fillId="0" borderId="15" xfId="0" applyNumberFormat="1" applyFont="1" applyFill="1" applyBorder="1" applyAlignment="1">
      <alignment horizontal="center" vertical="center" wrapText="1"/>
    </xf>
    <xf numFmtId="43" fontId="1" fillId="0" borderId="54" xfId="1" applyFont="1" applyFill="1" applyBorder="1" applyAlignment="1">
      <alignment horizontal="center" vertical="center"/>
    </xf>
    <xf numFmtId="43" fontId="1" fillId="0" borderId="14" xfId="1" applyFont="1" applyFill="1" applyBorder="1" applyAlignment="1">
      <alignment horizontal="center" vertical="center"/>
    </xf>
    <xf numFmtId="43" fontId="17" fillId="0" borderId="14" xfId="1" applyFont="1" applyFill="1" applyBorder="1" applyAlignment="1">
      <alignment horizontal="right" vertical="center"/>
    </xf>
    <xf numFmtId="164" fontId="1" fillId="0" borderId="58" xfId="0" applyNumberFormat="1" applyFont="1" applyFill="1" applyBorder="1" applyAlignment="1">
      <alignment horizontal="center" vertical="center" wrapText="1"/>
    </xf>
    <xf numFmtId="43" fontId="1" fillId="0" borderId="58" xfId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wrapText="1"/>
    </xf>
    <xf numFmtId="43" fontId="1" fillId="8" borderId="67" xfId="1" applyFont="1" applyFill="1" applyBorder="1" applyAlignment="1">
      <alignment horizontal="center" vertical="center"/>
    </xf>
    <xf numFmtId="43" fontId="1" fillId="0" borderId="56" xfId="1" applyFont="1" applyBorder="1" applyAlignment="1">
      <alignment horizontal="center" vertical="center"/>
    </xf>
    <xf numFmtId="43" fontId="17" fillId="0" borderId="67" xfId="1" applyFont="1" applyBorder="1" applyAlignment="1">
      <alignment horizontal="center" vertical="center"/>
    </xf>
    <xf numFmtId="164" fontId="8" fillId="3" borderId="31" xfId="0" applyNumberFormat="1" applyFont="1" applyFill="1" applyBorder="1" applyAlignment="1">
      <alignment horizontal="center" vertical="center"/>
    </xf>
    <xf numFmtId="1" fontId="20" fillId="3" borderId="32" xfId="0" applyNumberFormat="1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left" vertical="center"/>
    </xf>
    <xf numFmtId="164" fontId="20" fillId="3" borderId="33" xfId="0" applyNumberFormat="1" applyFont="1" applyFill="1" applyBorder="1" applyAlignment="1">
      <alignment horizontal="left" vertical="center" wrapText="1"/>
    </xf>
    <xf numFmtId="164" fontId="8" fillId="3" borderId="34" xfId="0" applyNumberFormat="1" applyFont="1" applyFill="1" applyBorder="1" applyAlignment="1">
      <alignment horizontal="center" vertical="center" wrapText="1"/>
    </xf>
    <xf numFmtId="43" fontId="8" fillId="3" borderId="31" xfId="1" applyFont="1" applyFill="1" applyBorder="1" applyAlignment="1">
      <alignment horizontal="center" vertical="center"/>
    </xf>
    <xf numFmtId="43" fontId="8" fillId="3" borderId="9" xfId="1" applyFont="1" applyFill="1" applyBorder="1" applyAlignment="1">
      <alignment horizontal="center" vertical="center"/>
    </xf>
    <xf numFmtId="43" fontId="8" fillId="3" borderId="32" xfId="1" applyFont="1" applyFill="1" applyBorder="1" applyAlignment="1">
      <alignment horizontal="center" vertical="center"/>
    </xf>
    <xf numFmtId="43" fontId="8" fillId="3" borderId="11" xfId="1" applyFont="1" applyFill="1" applyBorder="1" applyAlignment="1">
      <alignment horizontal="center" vertical="center"/>
    </xf>
    <xf numFmtId="43" fontId="8" fillId="3" borderId="22" xfId="1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43" fontId="1" fillId="0" borderId="0" xfId="1" applyFont="1" applyAlignment="1">
      <alignment horizontal="center" vertical="center"/>
    </xf>
    <xf numFmtId="43" fontId="17" fillId="0" borderId="0" xfId="1" applyFont="1" applyAlignment="1">
      <alignment horizontal="center" vertical="center"/>
    </xf>
    <xf numFmtId="43" fontId="8" fillId="0" borderId="0" xfId="1" applyFont="1" applyAlignment="1">
      <alignment horizontal="center" vertical="center"/>
    </xf>
    <xf numFmtId="164" fontId="20" fillId="0" borderId="0" xfId="0" applyNumberFormat="1" applyFont="1" applyAlignment="1">
      <alignment horizontal="left" vertical="center" wrapText="1"/>
    </xf>
    <xf numFmtId="164" fontId="20" fillId="12" borderId="92" xfId="0" applyNumberFormat="1" applyFont="1" applyFill="1" applyBorder="1" applyAlignment="1">
      <alignment horizontal="left" vertical="center" wrapText="1"/>
    </xf>
    <xf numFmtId="164" fontId="1" fillId="12" borderId="43" xfId="0" applyNumberFormat="1" applyFont="1" applyFill="1" applyBorder="1" applyAlignment="1">
      <alignment horizontal="center" vertical="center" wrapText="1"/>
    </xf>
    <xf numFmtId="43" fontId="1" fillId="12" borderId="43" xfId="1" applyFont="1" applyFill="1" applyBorder="1" applyAlignment="1">
      <alignment horizontal="center" vertical="center"/>
    </xf>
    <xf numFmtId="43" fontId="1" fillId="12" borderId="42" xfId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43" fontId="1" fillId="0" borderId="0" xfId="1" applyFont="1" applyAlignment="1">
      <alignment horizontal="left" vertical="center"/>
    </xf>
    <xf numFmtId="43" fontId="17" fillId="0" borderId="0" xfId="1" applyFont="1" applyAlignment="1">
      <alignment horizontal="left" vertical="center"/>
    </xf>
    <xf numFmtId="43" fontId="8" fillId="0" borderId="0" xfId="1" applyFont="1" applyAlignment="1">
      <alignment horizontal="left" vertical="center"/>
    </xf>
    <xf numFmtId="43" fontId="20" fillId="0" borderId="0" xfId="1" applyFont="1" applyAlignment="1">
      <alignment horizontal="left" vertical="center"/>
    </xf>
    <xf numFmtId="43" fontId="8" fillId="11" borderId="35" xfId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43" fontId="4" fillId="5" borderId="7" xfId="1" applyFont="1" applyFill="1" applyBorder="1" applyAlignment="1">
      <alignment horizontal="center" vertical="center" wrapText="1"/>
    </xf>
    <xf numFmtId="43" fontId="4" fillId="5" borderId="6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43" fontId="4" fillId="7" borderId="7" xfId="1" applyFont="1" applyFill="1" applyBorder="1" applyAlignment="1">
      <alignment horizontal="center" vertical="center" wrapText="1"/>
    </xf>
    <xf numFmtId="43" fontId="4" fillId="7" borderId="3" xfId="1" applyFont="1" applyFill="1" applyBorder="1" applyAlignment="1">
      <alignment horizontal="center" vertical="center" wrapText="1"/>
    </xf>
    <xf numFmtId="43" fontId="4" fillId="9" borderId="7" xfId="1" applyFont="1" applyFill="1" applyBorder="1" applyAlignment="1">
      <alignment horizontal="center" vertical="center" wrapText="1"/>
    </xf>
    <xf numFmtId="43" fontId="4" fillId="9" borderId="3" xfId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" fontId="10" fillId="2" borderId="2" xfId="0" applyNumberFormat="1" applyFont="1" applyFill="1" applyBorder="1" applyAlignment="1">
      <alignment horizontal="center" vertical="center" wrapText="1"/>
    </xf>
    <xf numFmtId="1" fontId="10" fillId="2" borderId="9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10" fillId="2" borderId="19" xfId="0" applyNumberFormat="1" applyFont="1" applyFill="1" applyBorder="1" applyAlignment="1">
      <alignment horizontal="center" vertical="center" wrapText="1"/>
    </xf>
    <xf numFmtId="164" fontId="10" fillId="2" borderId="21" xfId="0" applyNumberFormat="1" applyFont="1" applyFill="1" applyBorder="1" applyAlignment="1">
      <alignment horizontal="center" vertical="center" wrapText="1"/>
    </xf>
    <xf numFmtId="164" fontId="4" fillId="2" borderId="20" xfId="0" applyNumberFormat="1" applyFont="1" applyFill="1" applyBorder="1" applyAlignment="1">
      <alignment horizontal="center" vertical="center" wrapText="1"/>
    </xf>
    <xf numFmtId="164" fontId="4" fillId="2" borderId="22" xfId="0" applyNumberFormat="1" applyFont="1" applyFill="1" applyBorder="1" applyAlignment="1">
      <alignment horizontal="center" vertical="center" wrapText="1"/>
    </xf>
    <xf numFmtId="43" fontId="4" fillId="3" borderId="36" xfId="1" applyFont="1" applyFill="1" applyBorder="1" applyAlignment="1">
      <alignment horizontal="center" vertical="center" wrapText="1"/>
    </xf>
    <xf numFmtId="43" fontId="4" fillId="3" borderId="37" xfId="1" applyFont="1" applyFill="1" applyBorder="1" applyAlignment="1">
      <alignment horizontal="center" vertical="center" wrapText="1"/>
    </xf>
    <xf numFmtId="43" fontId="4" fillId="4" borderId="36" xfId="1" applyFont="1" applyFill="1" applyBorder="1" applyAlignment="1">
      <alignment horizontal="center" vertical="center" wrapText="1"/>
    </xf>
    <xf numFmtId="43" fontId="4" fillId="4" borderId="37" xfId="1" applyFont="1" applyFill="1" applyBorder="1" applyAlignment="1">
      <alignment horizontal="center" vertical="center" wrapText="1"/>
    </xf>
    <xf numFmtId="43" fontId="10" fillId="10" borderId="4" xfId="1" applyFont="1" applyFill="1" applyBorder="1" applyAlignment="1">
      <alignment horizontal="center" vertical="center" wrapText="1"/>
    </xf>
    <xf numFmtId="43" fontId="10" fillId="10" borderId="11" xfId="1" applyFont="1" applyFill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4" fontId="4" fillId="2" borderId="46" xfId="0" applyNumberFormat="1" applyFont="1" applyFill="1" applyBorder="1" applyAlignment="1">
      <alignment horizontal="center" vertical="center" wrapText="1"/>
    </xf>
    <xf numFmtId="43" fontId="4" fillId="3" borderId="52" xfId="1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46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164" fontId="4" fillId="2" borderId="49" xfId="0" applyNumberFormat="1" applyFont="1" applyFill="1" applyBorder="1" applyAlignment="1">
      <alignment horizontal="center" vertical="center" wrapText="1"/>
    </xf>
    <xf numFmtId="1" fontId="10" fillId="2" borderId="50" xfId="0" applyNumberFormat="1" applyFont="1" applyFill="1" applyBorder="1" applyAlignment="1">
      <alignment horizontal="center" vertical="center" wrapText="1"/>
    </xf>
    <xf numFmtId="0" fontId="4" fillId="2" borderId="51" xfId="0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 wrapText="1"/>
    </xf>
    <xf numFmtId="164" fontId="10" fillId="2" borderId="53" xfId="0" applyNumberFormat="1" applyFont="1" applyFill="1" applyBorder="1" applyAlignment="1">
      <alignment horizontal="center" vertical="center" wrapText="1"/>
    </xf>
    <xf numFmtId="164" fontId="4" fillId="2" borderId="54" xfId="0" applyNumberFormat="1" applyFont="1" applyFill="1" applyBorder="1" applyAlignment="1">
      <alignment horizontal="center" vertical="center" wrapText="1"/>
    </xf>
    <xf numFmtId="43" fontId="4" fillId="3" borderId="6" xfId="1" applyFont="1" applyFill="1" applyBorder="1" applyAlignment="1">
      <alignment horizontal="center" vertical="center" wrapText="1"/>
    </xf>
    <xf numFmtId="43" fontId="4" fillId="3" borderId="55" xfId="1" applyFont="1" applyFill="1" applyBorder="1" applyAlignment="1">
      <alignment horizontal="center" vertical="center" wrapText="1"/>
    </xf>
    <xf numFmtId="43" fontId="4" fillId="4" borderId="52" xfId="1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4" fontId="4" fillId="2" borderId="80" xfId="0" applyNumberFormat="1" applyFont="1" applyFill="1" applyBorder="1" applyAlignment="1">
      <alignment horizontal="center" vertical="center" wrapText="1"/>
    </xf>
    <xf numFmtId="1" fontId="10" fillId="2" borderId="81" xfId="0" applyNumberFormat="1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center" vertical="center"/>
    </xf>
    <xf numFmtId="164" fontId="10" fillId="2" borderId="83" xfId="0" applyNumberFormat="1" applyFont="1" applyFill="1" applyBorder="1" applyAlignment="1">
      <alignment horizontal="center" vertical="center" wrapText="1"/>
    </xf>
    <xf numFmtId="164" fontId="4" fillId="2" borderId="84" xfId="0" applyNumberFormat="1" applyFont="1" applyFill="1" applyBorder="1" applyAlignment="1">
      <alignment horizontal="center" vertical="center" wrapText="1"/>
    </xf>
    <xf numFmtId="43" fontId="4" fillId="3" borderId="85" xfId="1" applyFont="1" applyFill="1" applyBorder="1" applyAlignment="1">
      <alignment horizontal="center" vertical="center" wrapText="1"/>
    </xf>
    <xf numFmtId="43" fontId="4" fillId="4" borderId="85" xfId="1" applyFont="1" applyFill="1" applyBorder="1" applyAlignment="1">
      <alignment horizontal="center" vertical="center" wrapText="1"/>
    </xf>
    <xf numFmtId="43" fontId="10" fillId="10" borderId="87" xfId="1" applyFont="1" applyFill="1" applyBorder="1" applyAlignment="1">
      <alignment horizontal="center" vertical="center" wrapText="1"/>
    </xf>
    <xf numFmtId="164" fontId="10" fillId="2" borderId="11" xfId="0" applyNumberFormat="1" applyFont="1" applyFill="1" applyBorder="1" applyAlignment="1">
      <alignment horizontal="center" vertical="center" wrapText="1"/>
    </xf>
    <xf numFmtId="164" fontId="4" fillId="2" borderId="70" xfId="0" applyNumberFormat="1" applyFont="1" applyFill="1" applyBorder="1" applyAlignment="1">
      <alignment horizontal="center" vertical="center" wrapText="1"/>
    </xf>
    <xf numFmtId="164" fontId="4" fillId="2" borderId="89" xfId="0" applyNumberFormat="1" applyFont="1" applyFill="1" applyBorder="1" applyAlignment="1">
      <alignment horizontal="center" vertical="center" wrapText="1"/>
    </xf>
    <xf numFmtId="43" fontId="4" fillId="3" borderId="71" xfId="1" applyFont="1" applyFill="1" applyBorder="1" applyAlignment="1">
      <alignment horizontal="center" vertical="center" wrapText="1"/>
    </xf>
    <xf numFmtId="43" fontId="4" fillId="3" borderId="90" xfId="1" applyFont="1" applyFill="1" applyBorder="1" applyAlignment="1">
      <alignment horizontal="center" vertical="center" wrapText="1"/>
    </xf>
    <xf numFmtId="43" fontId="4" fillId="4" borderId="6" xfId="1" applyFont="1" applyFill="1" applyBorder="1" applyAlignment="1">
      <alignment horizontal="center" vertical="center" wrapText="1"/>
    </xf>
    <xf numFmtId="43" fontId="4" fillId="4" borderId="91" xfId="1" applyFont="1" applyFill="1" applyBorder="1" applyAlignment="1">
      <alignment horizontal="center" vertical="center" wrapText="1"/>
    </xf>
    <xf numFmtId="43" fontId="10" fillId="10" borderId="19" xfId="1" applyFont="1" applyFill="1" applyBorder="1" applyAlignment="1">
      <alignment horizontal="center" vertical="center" wrapText="1"/>
    </xf>
    <xf numFmtId="43" fontId="10" fillId="10" borderId="21" xfId="1" applyFont="1" applyFill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3" fontId="17" fillId="0" borderId="0" xfId="1" applyNumberFormat="1" applyFont="1" applyAlignment="1">
      <alignment horizontal="left" vertical="center"/>
    </xf>
    <xf numFmtId="43" fontId="17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17" fillId="13" borderId="0" xfId="1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30"/>
  <sheetViews>
    <sheetView zoomScale="90" zoomScaleNormal="90" workbookViewId="0">
      <pane xSplit="2" ySplit="5" topLeftCell="C6" activePane="bottomRight" state="frozen"/>
      <selection pane="topRight"/>
      <selection pane="bottomLeft"/>
      <selection pane="bottomRight" activeCell="D35" sqref="D35"/>
    </sheetView>
  </sheetViews>
  <sheetFormatPr defaultColWidth="9.140625" defaultRowHeight="15.75" customHeight="1"/>
  <cols>
    <col min="1" max="1" width="8" style="10" customWidth="1"/>
    <col min="2" max="2" width="9.85546875" style="11" customWidth="1"/>
    <col min="3" max="3" width="24.5703125" style="12" customWidth="1"/>
    <col min="4" max="4" width="27.7109375" style="13" customWidth="1"/>
    <col min="5" max="5" width="7.7109375" style="14" customWidth="1"/>
    <col min="6" max="6" width="8.5703125" style="15" customWidth="1"/>
    <col min="7" max="7" width="10.140625" style="15" customWidth="1"/>
    <col min="8" max="8" width="9.5703125" style="15" customWidth="1"/>
    <col min="9" max="9" width="8" style="15" customWidth="1"/>
    <col min="10" max="11" width="9.7109375" style="15" customWidth="1"/>
    <col min="12" max="12" width="8.42578125" style="15" customWidth="1"/>
    <col min="13" max="13" width="10" style="15" customWidth="1"/>
    <col min="14" max="16" width="9.28515625" style="15" customWidth="1"/>
    <col min="17" max="17" width="8.7109375" style="15" customWidth="1"/>
    <col min="18" max="18" width="9.42578125" style="15" customWidth="1"/>
    <col min="19" max="19" width="8.7109375" style="15" customWidth="1"/>
    <col min="20" max="20" width="9.28515625" style="16" customWidth="1"/>
    <col min="21" max="21" width="9.85546875" style="17" customWidth="1"/>
    <col min="22" max="22" width="8.85546875" style="12" customWidth="1"/>
    <col min="23" max="16384" width="9.140625" style="12"/>
  </cols>
  <sheetData>
    <row r="1" spans="1:24" s="1" customFormat="1" ht="15.75" customHeight="1">
      <c r="A1" s="532" t="s">
        <v>0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</row>
    <row r="2" spans="1:24" s="2" customFormat="1" ht="15.75" customHeight="1">
      <c r="A2" s="533">
        <v>45853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</row>
    <row r="3" spans="1:24" s="3" customFormat="1" ht="15.75" customHeight="1">
      <c r="A3" s="18"/>
      <c r="B3" s="11"/>
      <c r="D3" s="19"/>
      <c r="E3" s="1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51"/>
      <c r="U3" s="52"/>
    </row>
    <row r="4" spans="1:24" s="4" customFormat="1" ht="26.25" customHeight="1">
      <c r="A4" s="541" t="s">
        <v>1</v>
      </c>
      <c r="B4" s="543" t="s">
        <v>2</v>
      </c>
      <c r="C4" s="545" t="s">
        <v>3</v>
      </c>
      <c r="D4" s="547" t="s">
        <v>4</v>
      </c>
      <c r="E4" s="549" t="s">
        <v>5</v>
      </c>
      <c r="F4" s="551" t="s">
        <v>6</v>
      </c>
      <c r="G4" s="553" t="s">
        <v>7</v>
      </c>
      <c r="H4" s="534" t="s">
        <v>8</v>
      </c>
      <c r="I4" s="535"/>
      <c r="J4" s="535"/>
      <c r="K4" s="535"/>
      <c r="L4" s="535"/>
      <c r="M4" s="535"/>
      <c r="N4" s="535"/>
      <c r="O4" s="535"/>
      <c r="P4" s="536"/>
      <c r="Q4" s="537" t="s">
        <v>9</v>
      </c>
      <c r="R4" s="538"/>
      <c r="S4" s="539" t="s">
        <v>10</v>
      </c>
      <c r="T4" s="540"/>
      <c r="U4" s="555" t="s">
        <v>11</v>
      </c>
      <c r="V4" s="530" t="s">
        <v>12</v>
      </c>
    </row>
    <row r="5" spans="1:24" s="5" customFormat="1" ht="26.25" customHeight="1">
      <c r="A5" s="542"/>
      <c r="B5" s="544"/>
      <c r="C5" s="546"/>
      <c r="D5" s="548"/>
      <c r="E5" s="550"/>
      <c r="F5" s="552"/>
      <c r="G5" s="554"/>
      <c r="H5" s="21" t="s">
        <v>13</v>
      </c>
      <c r="I5" s="21" t="s">
        <v>14</v>
      </c>
      <c r="J5" s="21" t="s">
        <v>15</v>
      </c>
      <c r="K5" s="21" t="s">
        <v>16</v>
      </c>
      <c r="L5" s="21" t="s">
        <v>17</v>
      </c>
      <c r="M5" s="21" t="s">
        <v>18</v>
      </c>
      <c r="N5" s="21" t="s">
        <v>19</v>
      </c>
      <c r="O5" s="21" t="s">
        <v>20</v>
      </c>
      <c r="P5" s="21" t="s">
        <v>21</v>
      </c>
      <c r="Q5" s="48" t="s">
        <v>22</v>
      </c>
      <c r="R5" s="48" t="s">
        <v>23</v>
      </c>
      <c r="S5" s="48" t="s">
        <v>22</v>
      </c>
      <c r="T5" s="53" t="s">
        <v>23</v>
      </c>
      <c r="U5" s="556"/>
      <c r="V5" s="531"/>
    </row>
    <row r="6" spans="1:24" ht="15.75" customHeight="1">
      <c r="A6" s="47">
        <v>45852</v>
      </c>
      <c r="B6" s="23" t="s">
        <v>24</v>
      </c>
      <c r="C6" s="24" t="s">
        <v>25</v>
      </c>
      <c r="D6" s="25" t="s">
        <v>26</v>
      </c>
      <c r="E6" s="314"/>
      <c r="F6" s="135"/>
      <c r="G6" s="26">
        <v>1400</v>
      </c>
      <c r="H6" s="27"/>
      <c r="I6" s="27"/>
      <c r="J6" s="27"/>
      <c r="K6" s="27"/>
      <c r="L6" s="27"/>
      <c r="M6" s="27"/>
      <c r="N6" s="27"/>
      <c r="O6" s="27"/>
      <c r="P6" s="27">
        <v>1400</v>
      </c>
      <c r="Q6" s="27"/>
      <c r="R6" s="27"/>
      <c r="S6" s="54"/>
      <c r="T6" s="177">
        <v>1400</v>
      </c>
      <c r="U6" s="315">
        <f>R6+T6</f>
        <v>1400</v>
      </c>
      <c r="W6" s="117">
        <f t="shared" ref="W6" si="0">F6+H6+I6+J6+K6+L6+M6+N6+O6+P6+R6-G6-Q6-S6</f>
        <v>0</v>
      </c>
    </row>
    <row r="7" spans="1:24" s="6" customFormat="1" ht="15.75" customHeight="1">
      <c r="A7" s="211">
        <v>45853</v>
      </c>
      <c r="B7" s="209">
        <v>50296</v>
      </c>
      <c r="C7" s="199" t="s">
        <v>27</v>
      </c>
      <c r="D7" s="200" t="s">
        <v>28</v>
      </c>
      <c r="E7" s="212" t="s">
        <v>29</v>
      </c>
      <c r="F7" s="201">
        <v>51250</v>
      </c>
      <c r="G7" s="201">
        <v>51250</v>
      </c>
      <c r="H7" s="27"/>
      <c r="I7" s="27"/>
      <c r="J7" s="27"/>
      <c r="K7" s="27"/>
      <c r="L7" s="27"/>
      <c r="M7" s="27">
        <v>51250</v>
      </c>
      <c r="N7" s="27"/>
      <c r="O7" s="27"/>
      <c r="P7" s="27"/>
      <c r="Q7" s="26"/>
      <c r="R7" s="26"/>
      <c r="S7" s="26"/>
      <c r="T7" s="54">
        <v>51250</v>
      </c>
      <c r="U7" s="217">
        <f>R7+T7</f>
        <v>51250</v>
      </c>
      <c r="V7" s="241"/>
      <c r="X7" s="57">
        <f>F7+H7+I7+J7+L7+M7+N7+O7+P7+S7+K7+Q7-G7-R7-T7</f>
        <v>0</v>
      </c>
    </row>
    <row r="8" spans="1:24" s="7" customFormat="1" ht="15.75" customHeight="1">
      <c r="A8" s="211">
        <v>45853</v>
      </c>
      <c r="B8" s="210">
        <v>50297</v>
      </c>
      <c r="C8" s="202" t="s">
        <v>30</v>
      </c>
      <c r="D8" s="203" t="s">
        <v>28</v>
      </c>
      <c r="E8" s="213" t="s">
        <v>31</v>
      </c>
      <c r="F8" s="204">
        <v>51200</v>
      </c>
      <c r="G8" s="204">
        <v>51200</v>
      </c>
      <c r="H8" s="28"/>
      <c r="I8" s="28"/>
      <c r="J8" s="28"/>
      <c r="K8" s="28"/>
      <c r="L8" s="28"/>
      <c r="M8" s="28">
        <v>51200</v>
      </c>
      <c r="N8" s="28"/>
      <c r="O8" s="28"/>
      <c r="P8" s="28"/>
      <c r="Q8" s="49"/>
      <c r="R8" s="49"/>
      <c r="S8" s="49"/>
      <c r="T8" s="33">
        <v>51200</v>
      </c>
      <c r="U8" s="217">
        <f t="shared" ref="U8:U23" si="1">R8+T8</f>
        <v>51200</v>
      </c>
      <c r="V8" s="242"/>
      <c r="X8" s="57">
        <f t="shared" ref="X8:X23" si="2">F8+H8+I8+J8+L8+M8+N8+O8+P8+S8+K8+Q8-G8-R8-T8</f>
        <v>0</v>
      </c>
    </row>
    <row r="9" spans="1:24" ht="15.75" customHeight="1">
      <c r="A9" s="211">
        <v>45853</v>
      </c>
      <c r="B9" s="210">
        <v>50298</v>
      </c>
      <c r="C9" s="202" t="s">
        <v>32</v>
      </c>
      <c r="D9" s="205" t="s">
        <v>33</v>
      </c>
      <c r="E9" s="214" t="s">
        <v>34</v>
      </c>
      <c r="F9" s="207" t="s">
        <v>35</v>
      </c>
      <c r="G9" s="207" t="s">
        <v>35</v>
      </c>
      <c r="H9" s="32"/>
      <c r="I9" s="32"/>
      <c r="J9" s="32"/>
      <c r="K9" s="32"/>
      <c r="L9" s="32">
        <v>21850</v>
      </c>
      <c r="M9" s="32"/>
      <c r="N9" s="32"/>
      <c r="O9" s="32"/>
      <c r="P9" s="32"/>
      <c r="Q9" s="33"/>
      <c r="R9" s="216">
        <v>21850</v>
      </c>
      <c r="S9" s="33"/>
      <c r="T9" s="33"/>
      <c r="U9" s="217">
        <f>R9+T9</f>
        <v>21850</v>
      </c>
      <c r="V9" s="242"/>
      <c r="X9" s="57" t="e">
        <f>F9+H9+I9+J9+L9+M9+N9+O9+P9+S9+K9+Q9-G9-R9-T9</f>
        <v>#VALUE!</v>
      </c>
    </row>
    <row r="10" spans="1:24" ht="15.75" customHeight="1">
      <c r="A10" s="211">
        <v>45853</v>
      </c>
      <c r="B10" s="210">
        <v>50299</v>
      </c>
      <c r="C10" s="202" t="s">
        <v>32</v>
      </c>
      <c r="D10" s="205" t="s">
        <v>36</v>
      </c>
      <c r="E10" s="215" t="s">
        <v>37</v>
      </c>
      <c r="F10" s="208" t="s">
        <v>35</v>
      </c>
      <c r="G10" s="208" t="s">
        <v>35</v>
      </c>
      <c r="H10" s="27"/>
      <c r="I10" s="27"/>
      <c r="J10" s="27"/>
      <c r="K10" s="27"/>
      <c r="L10" s="27">
        <v>200000</v>
      </c>
      <c r="M10" s="27"/>
      <c r="N10" s="27"/>
      <c r="O10" s="27"/>
      <c r="P10" s="27"/>
      <c r="Q10" s="26"/>
      <c r="R10" s="187">
        <v>200000</v>
      </c>
      <c r="S10" s="26"/>
      <c r="T10" s="54"/>
      <c r="U10" s="217">
        <f t="shared" si="1"/>
        <v>200000</v>
      </c>
      <c r="V10" s="145"/>
      <c r="X10" s="57" t="e">
        <f t="shared" si="2"/>
        <v>#VALUE!</v>
      </c>
    </row>
    <row r="11" spans="1:24" ht="15.75" customHeight="1">
      <c r="A11" s="211">
        <v>45853</v>
      </c>
      <c r="B11" s="210">
        <v>50301</v>
      </c>
      <c r="C11" s="202" t="s">
        <v>38</v>
      </c>
      <c r="D11" s="203" t="s">
        <v>39</v>
      </c>
      <c r="E11" s="214" t="s">
        <v>40</v>
      </c>
      <c r="F11" s="198" t="s">
        <v>35</v>
      </c>
      <c r="G11" s="198" t="s">
        <v>35</v>
      </c>
      <c r="H11" s="27"/>
      <c r="I11" s="27"/>
      <c r="J11" s="27"/>
      <c r="K11" s="27"/>
      <c r="L11" s="27"/>
      <c r="M11" s="27">
        <v>102300</v>
      </c>
      <c r="N11" s="27"/>
      <c r="O11" s="27"/>
      <c r="P11" s="27"/>
      <c r="Q11" s="26"/>
      <c r="R11" s="187">
        <v>102300</v>
      </c>
      <c r="S11" s="26"/>
      <c r="T11" s="54"/>
      <c r="U11" s="217">
        <f t="shared" si="1"/>
        <v>102300</v>
      </c>
      <c r="V11" s="311"/>
      <c r="X11" s="57" t="e">
        <f t="shared" si="2"/>
        <v>#VALUE!</v>
      </c>
    </row>
    <row r="12" spans="1:24" ht="15.75" customHeight="1">
      <c r="A12" s="211">
        <v>45853</v>
      </c>
      <c r="B12" s="210">
        <v>50302</v>
      </c>
      <c r="C12" s="202" t="s">
        <v>41</v>
      </c>
      <c r="D12" s="203" t="s">
        <v>39</v>
      </c>
      <c r="E12" s="214" t="s">
        <v>42</v>
      </c>
      <c r="F12" s="198" t="s">
        <v>35</v>
      </c>
      <c r="G12" s="198" t="s">
        <v>35</v>
      </c>
      <c r="H12" s="27"/>
      <c r="I12" s="27"/>
      <c r="J12" s="27"/>
      <c r="K12" s="27"/>
      <c r="L12" s="27"/>
      <c r="M12" s="38">
        <v>102500</v>
      </c>
      <c r="N12" s="27"/>
      <c r="O12" s="27"/>
      <c r="P12" s="27"/>
      <c r="Q12" s="26"/>
      <c r="R12" s="26">
        <v>102500</v>
      </c>
      <c r="S12" s="26"/>
      <c r="T12" s="58"/>
      <c r="U12" s="217">
        <f t="shared" si="1"/>
        <v>102500</v>
      </c>
      <c r="V12" s="146"/>
      <c r="X12" s="57" t="e">
        <f t="shared" si="2"/>
        <v>#VALUE!</v>
      </c>
    </row>
    <row r="13" spans="1:24" ht="15.75" customHeight="1">
      <c r="A13" s="211">
        <v>45853</v>
      </c>
      <c r="B13" s="210">
        <v>50303</v>
      </c>
      <c r="C13" s="202" t="s">
        <v>43</v>
      </c>
      <c r="D13" s="203" t="s">
        <v>44</v>
      </c>
      <c r="E13" s="214" t="s">
        <v>45</v>
      </c>
      <c r="F13" s="198" t="s">
        <v>35</v>
      </c>
      <c r="G13" s="198" t="s">
        <v>35</v>
      </c>
      <c r="H13" s="27"/>
      <c r="I13" s="27">
        <v>51100</v>
      </c>
      <c r="J13" s="27"/>
      <c r="K13" s="27"/>
      <c r="L13" s="27"/>
      <c r="M13" s="27"/>
      <c r="N13" s="27"/>
      <c r="O13" s="27"/>
      <c r="P13" s="27"/>
      <c r="Q13" s="26"/>
      <c r="R13" s="26"/>
      <c r="S13" s="26"/>
      <c r="T13" s="54">
        <v>51100</v>
      </c>
      <c r="U13" s="217">
        <f t="shared" si="1"/>
        <v>51100</v>
      </c>
      <c r="V13" s="146"/>
      <c r="X13" s="57" t="e">
        <f t="shared" si="2"/>
        <v>#VALUE!</v>
      </c>
    </row>
    <row r="14" spans="1:24" ht="15.75" customHeight="1">
      <c r="A14" s="211">
        <v>45853</v>
      </c>
      <c r="B14" s="210">
        <v>2895</v>
      </c>
      <c r="C14" s="202" t="s">
        <v>46</v>
      </c>
      <c r="D14" s="203" t="s">
        <v>28</v>
      </c>
      <c r="E14" s="214" t="s">
        <v>47</v>
      </c>
      <c r="F14" s="204">
        <v>51100</v>
      </c>
      <c r="G14" s="204">
        <v>51100</v>
      </c>
      <c r="H14" s="27"/>
      <c r="I14" s="27"/>
      <c r="J14" s="27"/>
      <c r="K14" s="27"/>
      <c r="L14" s="27"/>
      <c r="M14" s="27">
        <v>51100</v>
      </c>
      <c r="N14" s="27"/>
      <c r="O14" s="27"/>
      <c r="P14" s="27"/>
      <c r="Q14" s="26"/>
      <c r="R14" s="26"/>
      <c r="S14" s="26"/>
      <c r="T14" s="54">
        <v>51100</v>
      </c>
      <c r="U14" s="217">
        <f t="shared" si="1"/>
        <v>51100</v>
      </c>
      <c r="V14" s="146"/>
      <c r="X14" s="57">
        <f>F14+H14+I14+J14+L14+M14+N14+O14+P14+S14+K14+Q14-G14-R14-T14</f>
        <v>0</v>
      </c>
    </row>
    <row r="15" spans="1:24" ht="15.75" customHeight="1">
      <c r="A15" s="211">
        <v>45853</v>
      </c>
      <c r="B15" s="210" t="s">
        <v>48</v>
      </c>
      <c r="C15" s="202" t="s">
        <v>49</v>
      </c>
      <c r="D15" s="203" t="s">
        <v>50</v>
      </c>
      <c r="E15" s="206" t="s">
        <v>35</v>
      </c>
      <c r="F15" s="198" t="s">
        <v>35</v>
      </c>
      <c r="G15" s="198" t="s">
        <v>35</v>
      </c>
      <c r="H15" s="38">
        <v>2280</v>
      </c>
      <c r="I15" s="27"/>
      <c r="J15" s="27"/>
      <c r="K15" s="27"/>
      <c r="L15" s="27"/>
      <c r="M15" s="27"/>
      <c r="N15" s="27"/>
      <c r="O15" s="27"/>
      <c r="P15" s="27"/>
      <c r="Q15" s="26"/>
      <c r="R15" s="26"/>
      <c r="S15" s="26"/>
      <c r="T15" s="58">
        <v>2280</v>
      </c>
      <c r="U15" s="217">
        <f t="shared" si="1"/>
        <v>2280</v>
      </c>
      <c r="V15" s="146"/>
      <c r="X15" s="57" t="e">
        <f>F15+H15+I15+J15+L15+M15+N15+O15+P15+S15+K15+Q15-G15-R15-T15</f>
        <v>#VALUE!</v>
      </c>
    </row>
    <row r="16" spans="1:24" ht="15.75" customHeight="1">
      <c r="A16" s="211">
        <v>45853</v>
      </c>
      <c r="B16" s="23">
        <v>50308</v>
      </c>
      <c r="C16" s="130" t="s">
        <v>51</v>
      </c>
      <c r="D16" s="203" t="s">
        <v>52</v>
      </c>
      <c r="E16" s="94" t="s">
        <v>53</v>
      </c>
      <c r="F16" s="108"/>
      <c r="G16" s="108"/>
      <c r="H16" s="38">
        <v>51250</v>
      </c>
      <c r="I16" s="27"/>
      <c r="J16" s="27"/>
      <c r="K16" s="27"/>
      <c r="L16" s="27"/>
      <c r="M16" s="27"/>
      <c r="N16" s="27"/>
      <c r="O16" s="27"/>
      <c r="P16" s="27"/>
      <c r="Q16" s="26"/>
      <c r="R16" s="26"/>
      <c r="S16" s="26"/>
      <c r="T16" s="58">
        <v>51250</v>
      </c>
      <c r="U16" s="217">
        <f t="shared" si="1"/>
        <v>51250</v>
      </c>
      <c r="V16" s="146"/>
      <c r="X16" s="57">
        <f t="shared" si="2"/>
        <v>0</v>
      </c>
    </row>
    <row r="17" spans="1:24" ht="15.75" customHeight="1">
      <c r="A17" s="211"/>
      <c r="B17" s="23"/>
      <c r="C17" s="130"/>
      <c r="D17" s="203"/>
      <c r="E17" s="94"/>
      <c r="F17" s="108"/>
      <c r="G17" s="108"/>
      <c r="H17" s="38"/>
      <c r="I17" s="27"/>
      <c r="J17" s="27"/>
      <c r="K17" s="27"/>
      <c r="L17" s="27"/>
      <c r="M17" s="27"/>
      <c r="N17" s="27"/>
      <c r="O17" s="27"/>
      <c r="P17" s="27"/>
      <c r="Q17" s="26"/>
      <c r="R17" s="26"/>
      <c r="S17" s="26"/>
      <c r="T17" s="58"/>
      <c r="U17" s="217">
        <f t="shared" si="1"/>
        <v>0</v>
      </c>
      <c r="V17" s="146"/>
      <c r="X17" s="57">
        <f t="shared" si="2"/>
        <v>0</v>
      </c>
    </row>
    <row r="18" spans="1:24" ht="15.75" customHeight="1">
      <c r="A18" s="211"/>
      <c r="B18" s="23"/>
      <c r="C18" s="130"/>
      <c r="D18" s="203"/>
      <c r="E18" s="94"/>
      <c r="F18" s="108"/>
      <c r="G18" s="108"/>
      <c r="H18" s="38"/>
      <c r="I18" s="27"/>
      <c r="J18" s="27"/>
      <c r="K18" s="27"/>
      <c r="L18" s="27"/>
      <c r="M18" s="27"/>
      <c r="N18" s="27"/>
      <c r="O18" s="27"/>
      <c r="P18" s="27"/>
      <c r="Q18" s="26"/>
      <c r="R18" s="26"/>
      <c r="S18" s="26"/>
      <c r="T18" s="58"/>
      <c r="U18" s="217">
        <f t="shared" si="1"/>
        <v>0</v>
      </c>
      <c r="V18" s="146"/>
      <c r="X18" s="57">
        <f t="shared" si="2"/>
        <v>0</v>
      </c>
    </row>
    <row r="19" spans="1:24" ht="15.75" customHeight="1">
      <c r="A19" s="211"/>
      <c r="B19" s="23"/>
      <c r="C19" s="130"/>
      <c r="D19" s="203"/>
      <c r="E19" s="94"/>
      <c r="F19" s="108"/>
      <c r="G19" s="108"/>
      <c r="H19" s="38"/>
      <c r="I19" s="27"/>
      <c r="J19" s="27"/>
      <c r="K19" s="27"/>
      <c r="L19" s="27"/>
      <c r="M19" s="27"/>
      <c r="N19" s="27"/>
      <c r="O19" s="27"/>
      <c r="P19" s="27"/>
      <c r="Q19" s="26"/>
      <c r="R19" s="26"/>
      <c r="S19" s="26"/>
      <c r="T19" s="58"/>
      <c r="U19" s="217">
        <f t="shared" si="1"/>
        <v>0</v>
      </c>
      <c r="V19" s="146"/>
      <c r="X19" s="57">
        <f t="shared" si="2"/>
        <v>0</v>
      </c>
    </row>
    <row r="20" spans="1:24" ht="15.75" customHeight="1">
      <c r="A20" s="22"/>
      <c r="B20" s="29"/>
      <c r="C20" s="30"/>
      <c r="D20" s="90"/>
      <c r="E20" s="91"/>
      <c r="F20" s="108"/>
      <c r="G20" s="108"/>
      <c r="H20" s="40"/>
      <c r="I20" s="28"/>
      <c r="J20" s="28"/>
      <c r="K20" s="28"/>
      <c r="L20" s="28"/>
      <c r="M20" s="40"/>
      <c r="N20" s="28"/>
      <c r="O20" s="28"/>
      <c r="P20" s="28"/>
      <c r="Q20" s="49"/>
      <c r="R20" s="49"/>
      <c r="S20" s="49"/>
      <c r="T20" s="148"/>
      <c r="U20" s="55">
        <f t="shared" si="1"/>
        <v>0</v>
      </c>
      <c r="V20" s="56"/>
      <c r="X20" s="57">
        <f t="shared" si="2"/>
        <v>0</v>
      </c>
    </row>
    <row r="21" spans="1:24" ht="15.75" customHeight="1">
      <c r="A21" s="22"/>
      <c r="B21" s="23"/>
      <c r="C21" s="24"/>
      <c r="D21" s="90"/>
      <c r="E21" s="94"/>
      <c r="F21" s="89"/>
      <c r="G21" s="89"/>
      <c r="H21" s="27"/>
      <c r="I21" s="27"/>
      <c r="J21" s="27"/>
      <c r="K21" s="27"/>
      <c r="L21" s="27"/>
      <c r="M21" s="27"/>
      <c r="N21" s="27"/>
      <c r="O21" s="27"/>
      <c r="P21" s="27"/>
      <c r="Q21" s="26"/>
      <c r="R21" s="26"/>
      <c r="S21" s="26"/>
      <c r="T21" s="54"/>
      <c r="U21" s="55">
        <f t="shared" si="1"/>
        <v>0</v>
      </c>
      <c r="V21" s="146"/>
      <c r="X21" s="57">
        <f t="shared" si="2"/>
        <v>0</v>
      </c>
    </row>
    <row r="22" spans="1:24" ht="15.75" customHeight="1">
      <c r="A22" s="22"/>
      <c r="B22" s="23"/>
      <c r="C22" s="24"/>
      <c r="D22" s="90"/>
      <c r="E22" s="94"/>
      <c r="F22" s="89"/>
      <c r="G22" s="89"/>
      <c r="H22" s="27"/>
      <c r="I22" s="27"/>
      <c r="J22" s="27"/>
      <c r="K22" s="27"/>
      <c r="L22" s="27"/>
      <c r="M22" s="27"/>
      <c r="N22" s="27"/>
      <c r="O22" s="27"/>
      <c r="P22" s="27"/>
      <c r="Q22" s="26"/>
      <c r="R22" s="26"/>
      <c r="S22" s="26"/>
      <c r="T22" s="54"/>
      <c r="U22" s="55">
        <f t="shared" si="1"/>
        <v>0</v>
      </c>
      <c r="V22" s="146"/>
      <c r="X22" s="57">
        <f t="shared" si="2"/>
        <v>0</v>
      </c>
    </row>
    <row r="23" spans="1:24" ht="15.75" customHeight="1">
      <c r="A23" s="22"/>
      <c r="B23" s="23"/>
      <c r="C23" s="24"/>
      <c r="D23" s="90"/>
      <c r="E23" s="94"/>
      <c r="F23" s="89"/>
      <c r="G23" s="89"/>
      <c r="H23" s="27"/>
      <c r="I23" s="27"/>
      <c r="J23" s="27"/>
      <c r="K23" s="27"/>
      <c r="L23" s="27"/>
      <c r="M23" s="27"/>
      <c r="N23" s="27"/>
      <c r="O23" s="27"/>
      <c r="P23" s="27"/>
      <c r="Q23" s="26"/>
      <c r="R23" s="26"/>
      <c r="S23" s="26"/>
      <c r="T23" s="54"/>
      <c r="U23" s="55">
        <f t="shared" si="1"/>
        <v>0</v>
      </c>
      <c r="V23" s="310"/>
      <c r="X23" s="57">
        <f t="shared" si="2"/>
        <v>0</v>
      </c>
    </row>
    <row r="24" spans="1:24" s="4" customFormat="1" ht="15.75" customHeight="1">
      <c r="A24" s="95"/>
      <c r="B24" s="96"/>
      <c r="C24" s="97" t="s">
        <v>54</v>
      </c>
      <c r="D24" s="98"/>
      <c r="E24" s="99"/>
      <c r="F24" s="100">
        <f t="shared" ref="F24:T24" si="3">SUM(F7:F23)</f>
        <v>153550</v>
      </c>
      <c r="G24" s="100">
        <f t="shared" si="3"/>
        <v>153550</v>
      </c>
      <c r="H24" s="101">
        <f t="shared" si="3"/>
        <v>53530</v>
      </c>
      <c r="I24" s="101">
        <f t="shared" si="3"/>
        <v>51100</v>
      </c>
      <c r="J24" s="101">
        <f t="shared" si="3"/>
        <v>0</v>
      </c>
      <c r="K24" s="101"/>
      <c r="L24" s="101">
        <f t="shared" si="3"/>
        <v>221850</v>
      </c>
      <c r="M24" s="101">
        <f t="shared" si="3"/>
        <v>358350</v>
      </c>
      <c r="N24" s="102">
        <f t="shared" si="3"/>
        <v>0</v>
      </c>
      <c r="O24" s="102">
        <f t="shared" si="3"/>
        <v>0</v>
      </c>
      <c r="P24" s="101">
        <f t="shared" si="3"/>
        <v>0</v>
      </c>
      <c r="Q24" s="101">
        <f t="shared" si="3"/>
        <v>0</v>
      </c>
      <c r="R24" s="101">
        <f t="shared" si="3"/>
        <v>426650</v>
      </c>
      <c r="S24" s="101">
        <f t="shared" si="3"/>
        <v>0</v>
      </c>
      <c r="T24" s="101">
        <f t="shared" si="3"/>
        <v>258180</v>
      </c>
      <c r="U24" s="104">
        <f>SUM(U7:U23)</f>
        <v>684830</v>
      </c>
      <c r="V24" s="105"/>
    </row>
    <row r="25" spans="1:24" s="8" customFormat="1" ht="15.75" customHeight="1">
      <c r="A25" s="67"/>
      <c r="B25" s="68"/>
      <c r="D25" s="69"/>
      <c r="E25" s="70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84"/>
      <c r="U25" s="80"/>
    </row>
    <row r="26" spans="1:24" s="8" customFormat="1" ht="15.75" customHeight="1">
      <c r="A26" s="72" t="s">
        <v>55</v>
      </c>
      <c r="B26" s="68"/>
      <c r="D26" s="69"/>
      <c r="E26" s="70"/>
      <c r="J26" s="71"/>
      <c r="K26" s="71"/>
      <c r="L26" s="79" t="s">
        <v>56</v>
      </c>
      <c r="M26" s="71"/>
      <c r="N26" s="71"/>
      <c r="O26" s="71"/>
      <c r="Q26" s="79"/>
      <c r="S26" s="79" t="s">
        <v>57</v>
      </c>
      <c r="T26" s="85"/>
      <c r="U26" s="80">
        <f>F24+H24+I24+J24+O24+L24+M24+N24+P24</f>
        <v>838380</v>
      </c>
    </row>
    <row r="27" spans="1:24" s="8" customFormat="1" ht="15.75" customHeight="1">
      <c r="A27" s="72"/>
      <c r="B27" s="68"/>
      <c r="D27" s="69"/>
      <c r="E27" s="70"/>
      <c r="J27" s="71"/>
      <c r="K27" s="71"/>
      <c r="L27" s="79"/>
      <c r="M27" s="71"/>
      <c r="N27" s="71"/>
      <c r="O27" s="71"/>
      <c r="Q27" s="79"/>
      <c r="S27" s="79" t="s">
        <v>58</v>
      </c>
      <c r="T27" s="85"/>
      <c r="U27" s="80">
        <f>G24+R24+T24</f>
        <v>838380</v>
      </c>
    </row>
    <row r="28" spans="1:24" s="8" customFormat="1" ht="15.75" customHeight="1">
      <c r="A28" s="72"/>
      <c r="B28" s="68"/>
      <c r="D28" s="69"/>
      <c r="E28" s="70"/>
      <c r="J28" s="71"/>
      <c r="K28" s="71"/>
      <c r="L28" s="79"/>
      <c r="M28" s="71"/>
      <c r="N28" s="71"/>
      <c r="O28" s="71"/>
      <c r="Q28" s="79"/>
      <c r="S28" s="81" t="s">
        <v>59</v>
      </c>
      <c r="T28" s="86"/>
      <c r="U28" s="87">
        <f>U26-U27</f>
        <v>0</v>
      </c>
    </row>
    <row r="29" spans="1:24" s="9" customFormat="1" ht="15.75" customHeight="1">
      <c r="A29" s="73" t="s">
        <v>60</v>
      </c>
      <c r="B29" s="74"/>
      <c r="D29" s="75"/>
      <c r="E29" s="76"/>
      <c r="J29" s="80"/>
      <c r="K29" s="80"/>
      <c r="L29" s="81" t="s">
        <v>61</v>
      </c>
      <c r="M29" s="80"/>
      <c r="N29" s="80"/>
      <c r="O29" s="80"/>
      <c r="Q29" s="81"/>
      <c r="R29" s="81"/>
      <c r="S29" s="80"/>
      <c r="T29" s="86"/>
      <c r="U29" s="80"/>
    </row>
    <row r="30" spans="1:24" s="8" customFormat="1" ht="15.75" customHeight="1">
      <c r="A30" s="72" t="s">
        <v>62</v>
      </c>
      <c r="B30" s="68"/>
      <c r="D30" s="69"/>
      <c r="E30" s="70"/>
      <c r="J30" s="71"/>
      <c r="K30" s="71"/>
      <c r="L30" s="79" t="s">
        <v>63</v>
      </c>
      <c r="M30" s="71"/>
      <c r="N30" s="71"/>
      <c r="O30" s="71"/>
      <c r="Q30" s="79"/>
      <c r="R30" s="71"/>
      <c r="S30" s="71"/>
      <c r="T30" s="85"/>
      <c r="U30" s="80"/>
    </row>
  </sheetData>
  <autoFilter ref="A4:V24">
    <filterColumn colId="2">
      <filters>
        <filter val="OUTLET'S NAME"/>
      </filters>
    </filterColumn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8" showButton="0"/>
  </autoFilter>
  <mergeCells count="14">
    <mergeCell ref="V4:V5"/>
    <mergeCell ref="A1:U1"/>
    <mergeCell ref="A2:U2"/>
    <mergeCell ref="H4:P4"/>
    <mergeCell ref="Q4:R4"/>
    <mergeCell ref="S4:T4"/>
    <mergeCell ref="A4:A5"/>
    <mergeCell ref="B4:B5"/>
    <mergeCell ref="C4:C5"/>
    <mergeCell ref="D4:D5"/>
    <mergeCell ref="E4:E5"/>
    <mergeCell ref="F4:F5"/>
    <mergeCell ref="G4:G5"/>
    <mergeCell ref="U4:U5"/>
  </mergeCells>
  <pageMargins left="0.25" right="0.25" top="0.5" bottom="0.25" header="0.3" footer="0.3"/>
  <pageSetup paperSize="14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5"/>
  <sheetViews>
    <sheetView zoomScale="90" zoomScaleNormal="90" workbookViewId="0">
      <pane xSplit="2" ySplit="5" topLeftCell="C10" activePane="bottomRight" state="frozen"/>
      <selection pane="topRight"/>
      <selection pane="bottomLeft"/>
      <selection pane="bottomRight" activeCell="F35" sqref="F35"/>
    </sheetView>
  </sheetViews>
  <sheetFormatPr defaultColWidth="9.140625" defaultRowHeight="15.75" customHeight="1"/>
  <cols>
    <col min="1" max="1" width="8" style="10" customWidth="1"/>
    <col min="2" max="2" width="9.85546875" style="11" customWidth="1"/>
    <col min="3" max="3" width="27.7109375" style="12" customWidth="1"/>
    <col min="4" max="4" width="24.5703125" style="13" customWidth="1"/>
    <col min="5" max="5" width="7.7109375" style="14" customWidth="1"/>
    <col min="6" max="6" width="10.42578125" style="15" customWidth="1"/>
    <col min="7" max="7" width="9.42578125" style="15" customWidth="1"/>
    <col min="8" max="8" width="11.28515625" style="15" customWidth="1"/>
    <col min="9" max="9" width="10" style="15" customWidth="1"/>
    <col min="10" max="10" width="7.42578125" style="15" customWidth="1"/>
    <col min="11" max="11" width="9.42578125" style="15" customWidth="1"/>
    <col min="12" max="13" width="10" style="15" customWidth="1"/>
    <col min="14" max="14" width="10.5703125" style="15" customWidth="1"/>
    <col min="15" max="15" width="9.28515625" style="15" customWidth="1"/>
    <col min="16" max="16" width="8.7109375" style="15" customWidth="1"/>
    <col min="17" max="17" width="11" style="15" customWidth="1"/>
    <col min="18" max="18" width="8.7109375" style="15" customWidth="1"/>
    <col min="19" max="19" width="11" style="16" customWidth="1"/>
    <col min="20" max="20" width="14.5703125" style="17" customWidth="1"/>
    <col min="21" max="21" width="11.5703125" style="12" customWidth="1"/>
    <col min="22" max="16384" width="9.140625" style="12"/>
  </cols>
  <sheetData>
    <row r="1" spans="1:21" s="1" customFormat="1" ht="15.75" customHeight="1">
      <c r="A1" s="532" t="s">
        <v>0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</row>
    <row r="2" spans="1:21" s="2" customFormat="1" ht="15.75" customHeight="1">
      <c r="A2" s="533">
        <v>45854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</row>
    <row r="3" spans="1:21" s="3" customFormat="1" ht="15.75" customHeight="1">
      <c r="A3" s="18"/>
      <c r="B3" s="11"/>
      <c r="D3" s="19"/>
      <c r="E3" s="1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51"/>
      <c r="T3" s="52"/>
    </row>
    <row r="4" spans="1:21" s="4" customFormat="1" ht="26.25" customHeight="1">
      <c r="A4" s="541" t="s">
        <v>1</v>
      </c>
      <c r="B4" s="543" t="s">
        <v>2</v>
      </c>
      <c r="C4" s="545" t="s">
        <v>3</v>
      </c>
      <c r="D4" s="547" t="s">
        <v>4</v>
      </c>
      <c r="E4" s="549" t="s">
        <v>5</v>
      </c>
      <c r="F4" s="551" t="s">
        <v>6</v>
      </c>
      <c r="G4" s="553" t="s">
        <v>7</v>
      </c>
      <c r="H4" s="534" t="s">
        <v>8</v>
      </c>
      <c r="I4" s="535"/>
      <c r="J4" s="535"/>
      <c r="K4" s="535"/>
      <c r="L4" s="535"/>
      <c r="M4" s="535"/>
      <c r="N4" s="535"/>
      <c r="O4" s="536"/>
      <c r="P4" s="537" t="s">
        <v>9</v>
      </c>
      <c r="Q4" s="538"/>
      <c r="R4" s="539" t="s">
        <v>10</v>
      </c>
      <c r="S4" s="540"/>
      <c r="T4" s="555" t="s">
        <v>11</v>
      </c>
      <c r="U4" s="530" t="s">
        <v>12</v>
      </c>
    </row>
    <row r="5" spans="1:21" s="5" customFormat="1" ht="26.25" customHeight="1">
      <c r="A5" s="542"/>
      <c r="B5" s="544"/>
      <c r="C5" s="546"/>
      <c r="D5" s="548"/>
      <c r="E5" s="561"/>
      <c r="F5" s="562"/>
      <c r="G5" s="554"/>
      <c r="H5" s="21" t="s">
        <v>13</v>
      </c>
      <c r="I5" s="21" t="s">
        <v>14</v>
      </c>
      <c r="J5" s="21" t="s">
        <v>15</v>
      </c>
      <c r="K5" s="21" t="s">
        <v>16</v>
      </c>
      <c r="L5" s="21" t="s">
        <v>18</v>
      </c>
      <c r="M5" s="21" t="s">
        <v>20</v>
      </c>
      <c r="N5" s="21" t="s">
        <v>19</v>
      </c>
      <c r="O5" s="21" t="s">
        <v>21</v>
      </c>
      <c r="P5" s="48" t="s">
        <v>22</v>
      </c>
      <c r="Q5" s="48" t="s">
        <v>23</v>
      </c>
      <c r="R5" s="48" t="s">
        <v>22</v>
      </c>
      <c r="S5" s="53" t="s">
        <v>23</v>
      </c>
      <c r="T5" s="556"/>
      <c r="U5" s="560"/>
    </row>
    <row r="6" spans="1:21" ht="15.75" customHeight="1">
      <c r="A6" s="22">
        <v>45854</v>
      </c>
      <c r="B6" s="36" t="s">
        <v>64</v>
      </c>
      <c r="C6" s="24" t="s">
        <v>65</v>
      </c>
      <c r="D6" s="228" t="s">
        <v>66</v>
      </c>
      <c r="E6" s="134"/>
      <c r="F6" s="169">
        <v>2280</v>
      </c>
      <c r="G6" s="39">
        <v>2280</v>
      </c>
      <c r="H6" s="27"/>
      <c r="I6" s="27"/>
      <c r="J6" s="27"/>
      <c r="K6" s="27"/>
      <c r="L6" s="38"/>
      <c r="M6" s="38"/>
      <c r="N6" s="120"/>
      <c r="O6" s="120">
        <v>2280</v>
      </c>
      <c r="P6" s="26"/>
      <c r="Q6" s="26"/>
      <c r="R6" s="26"/>
      <c r="S6" s="121">
        <v>2280</v>
      </c>
      <c r="T6" s="55">
        <f>Q6+S6</f>
        <v>2280</v>
      </c>
      <c r="U6" s="146"/>
    </row>
    <row r="7" spans="1:21" ht="15.75" customHeight="1">
      <c r="A7" s="22">
        <v>45854</v>
      </c>
      <c r="B7" s="36" t="s">
        <v>67</v>
      </c>
      <c r="C7" s="24" t="s">
        <v>68</v>
      </c>
      <c r="D7" s="37" t="s">
        <v>69</v>
      </c>
      <c r="E7" s="134"/>
      <c r="F7" s="135"/>
      <c r="G7" s="26"/>
      <c r="H7" s="27">
        <v>3960</v>
      </c>
      <c r="I7" s="27"/>
      <c r="J7" s="27"/>
      <c r="K7" s="27"/>
      <c r="L7" s="27"/>
      <c r="M7" s="27"/>
      <c r="N7" s="120"/>
      <c r="O7" s="120"/>
      <c r="P7" s="26"/>
      <c r="Q7" s="26"/>
      <c r="R7" s="26"/>
      <c r="S7" s="59">
        <v>3960</v>
      </c>
      <c r="T7" s="55">
        <f t="shared" ref="T7" si="0">Q7+S7</f>
        <v>3960</v>
      </c>
      <c r="U7" s="146"/>
    </row>
    <row r="8" spans="1:21" ht="15.75" customHeight="1">
      <c r="A8" s="22">
        <v>45854</v>
      </c>
      <c r="B8" s="36">
        <v>50305</v>
      </c>
      <c r="C8" s="24" t="s">
        <v>68</v>
      </c>
      <c r="D8" s="37" t="s">
        <v>70</v>
      </c>
      <c r="E8" s="134" t="s">
        <v>71</v>
      </c>
      <c r="F8" s="135"/>
      <c r="G8" s="26"/>
      <c r="H8" s="27">
        <v>152200</v>
      </c>
      <c r="I8" s="27"/>
      <c r="J8" s="27"/>
      <c r="K8" s="27"/>
      <c r="L8" s="27"/>
      <c r="M8" s="27"/>
      <c r="N8" s="27"/>
      <c r="O8" s="120"/>
      <c r="P8" s="26"/>
      <c r="Q8" s="26"/>
      <c r="R8" s="26"/>
      <c r="S8" s="59">
        <v>152200</v>
      </c>
      <c r="T8" s="55">
        <f>Q8+S8</f>
        <v>152200</v>
      </c>
      <c r="U8" s="146"/>
    </row>
    <row r="9" spans="1:21" ht="15.75" customHeight="1">
      <c r="A9" s="22">
        <v>45854</v>
      </c>
      <c r="B9" s="36">
        <v>50306</v>
      </c>
      <c r="C9" s="24" t="s">
        <v>72</v>
      </c>
      <c r="D9" s="37" t="s">
        <v>73</v>
      </c>
      <c r="E9" s="134" t="s">
        <v>74</v>
      </c>
      <c r="F9" s="135"/>
      <c r="G9" s="26"/>
      <c r="H9" s="27">
        <v>50000</v>
      </c>
      <c r="I9" s="27"/>
      <c r="J9" s="27"/>
      <c r="K9" s="27"/>
      <c r="L9" s="27"/>
      <c r="M9" s="27"/>
      <c r="N9" s="27"/>
      <c r="O9" s="120"/>
      <c r="P9" s="26"/>
      <c r="Q9" s="26"/>
      <c r="R9" s="26"/>
      <c r="S9" s="59">
        <v>50000</v>
      </c>
      <c r="T9" s="55">
        <f t="shared" ref="T9:T27" si="1">Q9+S9</f>
        <v>50000</v>
      </c>
      <c r="U9" s="310"/>
    </row>
    <row r="10" spans="1:21" ht="15.75" customHeight="1">
      <c r="A10" s="22">
        <v>45854</v>
      </c>
      <c r="B10" s="36">
        <v>50306</v>
      </c>
      <c r="C10" s="24" t="s">
        <v>72</v>
      </c>
      <c r="D10" s="37" t="s">
        <v>73</v>
      </c>
      <c r="E10" s="134" t="s">
        <v>74</v>
      </c>
      <c r="F10" s="135"/>
      <c r="G10" s="26"/>
      <c r="H10" s="27"/>
      <c r="I10" s="27"/>
      <c r="J10" s="27"/>
      <c r="K10" s="27"/>
      <c r="L10" s="27"/>
      <c r="M10" s="27">
        <v>1150</v>
      </c>
      <c r="N10" s="27"/>
      <c r="O10" s="120"/>
      <c r="P10" s="26"/>
      <c r="Q10" s="26"/>
      <c r="R10" s="26"/>
      <c r="S10" s="59">
        <v>1150</v>
      </c>
      <c r="T10" s="55">
        <f t="shared" si="1"/>
        <v>1150</v>
      </c>
      <c r="U10" s="236"/>
    </row>
    <row r="11" spans="1:21" ht="15.75" customHeight="1">
      <c r="A11" s="22">
        <v>45854</v>
      </c>
      <c r="B11" s="36">
        <v>50307</v>
      </c>
      <c r="C11" s="24" t="s">
        <v>75</v>
      </c>
      <c r="D11" s="37" t="s">
        <v>73</v>
      </c>
      <c r="E11" s="134" t="s">
        <v>76</v>
      </c>
      <c r="F11" s="135"/>
      <c r="G11" s="26"/>
      <c r="H11" s="27">
        <v>50000</v>
      </c>
      <c r="I11" s="27"/>
      <c r="J11" s="27"/>
      <c r="K11" s="27"/>
      <c r="L11" s="27"/>
      <c r="M11" s="27"/>
      <c r="N11" s="27"/>
      <c r="O11" s="120"/>
      <c r="P11" s="26"/>
      <c r="Q11" s="26"/>
      <c r="R11" s="26"/>
      <c r="S11" s="59">
        <v>50000</v>
      </c>
      <c r="T11" s="55">
        <f t="shared" si="1"/>
        <v>50000</v>
      </c>
      <c r="U11" s="194"/>
    </row>
    <row r="12" spans="1:21" ht="15.75" customHeight="1">
      <c r="A12" s="22">
        <v>45854</v>
      </c>
      <c r="B12" s="36">
        <v>50307</v>
      </c>
      <c r="C12" s="24" t="s">
        <v>75</v>
      </c>
      <c r="D12" s="37" t="s">
        <v>73</v>
      </c>
      <c r="E12" s="134" t="s">
        <v>76</v>
      </c>
      <c r="F12" s="135"/>
      <c r="G12" s="26"/>
      <c r="H12" s="27"/>
      <c r="I12" s="27"/>
      <c r="J12" s="27"/>
      <c r="K12" s="27"/>
      <c r="L12" s="27"/>
      <c r="M12" s="27">
        <v>1150</v>
      </c>
      <c r="N12" s="27"/>
      <c r="O12" s="120"/>
      <c r="P12" s="26"/>
      <c r="Q12" s="26"/>
      <c r="R12" s="26"/>
      <c r="S12" s="59">
        <v>1150</v>
      </c>
      <c r="T12" s="55">
        <f t="shared" si="1"/>
        <v>1150</v>
      </c>
      <c r="U12" s="151"/>
    </row>
    <row r="13" spans="1:21" ht="15.75" customHeight="1">
      <c r="A13" s="22">
        <v>45854</v>
      </c>
      <c r="B13" s="36">
        <v>50308</v>
      </c>
      <c r="C13" s="24" t="s">
        <v>77</v>
      </c>
      <c r="D13" s="37" t="s">
        <v>73</v>
      </c>
      <c r="E13" s="134" t="s">
        <v>78</v>
      </c>
      <c r="F13" s="135"/>
      <c r="G13" s="26"/>
      <c r="H13" s="27">
        <v>51250</v>
      </c>
      <c r="I13" s="27"/>
      <c r="J13" s="27"/>
      <c r="K13" s="27"/>
      <c r="L13" s="27"/>
      <c r="M13" s="27"/>
      <c r="N13" s="27"/>
      <c r="O13" s="120"/>
      <c r="P13" s="26"/>
      <c r="Q13" s="26"/>
      <c r="R13" s="26"/>
      <c r="S13" s="59">
        <v>51250</v>
      </c>
      <c r="T13" s="55">
        <f>Q13+S13</f>
        <v>51250</v>
      </c>
      <c r="U13" s="151"/>
    </row>
    <row r="14" spans="1:21" ht="15.75" customHeight="1">
      <c r="A14" s="22">
        <v>45854</v>
      </c>
      <c r="B14" s="36">
        <v>50309</v>
      </c>
      <c r="C14" s="24" t="s">
        <v>79</v>
      </c>
      <c r="D14" s="37" t="s">
        <v>73</v>
      </c>
      <c r="E14" s="134" t="s">
        <v>80</v>
      </c>
      <c r="F14" s="135">
        <v>51350</v>
      </c>
      <c r="G14" s="26">
        <v>51350</v>
      </c>
      <c r="H14" s="27"/>
      <c r="I14" s="27"/>
      <c r="J14" s="27"/>
      <c r="K14" s="27"/>
      <c r="L14" s="27">
        <v>51350</v>
      </c>
      <c r="M14" s="27"/>
      <c r="N14" s="27"/>
      <c r="O14" s="120"/>
      <c r="P14" s="26"/>
      <c r="Q14" s="26"/>
      <c r="R14" s="26"/>
      <c r="S14" s="59">
        <v>51350</v>
      </c>
      <c r="T14" s="55">
        <f t="shared" si="1"/>
        <v>51350</v>
      </c>
      <c r="U14" s="557" t="s">
        <v>81</v>
      </c>
    </row>
    <row r="15" spans="1:21" ht="15.75" customHeight="1">
      <c r="A15" s="22">
        <v>45854</v>
      </c>
      <c r="B15" s="36">
        <v>50310</v>
      </c>
      <c r="C15" s="24" t="s">
        <v>79</v>
      </c>
      <c r="D15" s="37" t="s">
        <v>52</v>
      </c>
      <c r="E15" s="134" t="s">
        <v>82</v>
      </c>
      <c r="F15" s="135">
        <v>50</v>
      </c>
      <c r="G15" s="26">
        <v>50</v>
      </c>
      <c r="H15" s="27"/>
      <c r="I15" s="27"/>
      <c r="J15" s="27"/>
      <c r="K15" s="27"/>
      <c r="L15" s="27">
        <v>50</v>
      </c>
      <c r="M15" s="27"/>
      <c r="N15" s="27"/>
      <c r="O15" s="120"/>
      <c r="P15" s="26"/>
      <c r="Q15" s="26"/>
      <c r="R15" s="26"/>
      <c r="S15" s="59">
        <v>50</v>
      </c>
      <c r="T15" s="55">
        <f t="shared" si="1"/>
        <v>50</v>
      </c>
      <c r="U15" s="559"/>
    </row>
    <row r="16" spans="1:21" ht="15.75" customHeight="1">
      <c r="A16" s="22">
        <v>45854</v>
      </c>
      <c r="B16" s="36">
        <v>50312</v>
      </c>
      <c r="C16" s="24" t="s">
        <v>83</v>
      </c>
      <c r="D16" s="37" t="s">
        <v>52</v>
      </c>
      <c r="E16" s="134" t="s">
        <v>84</v>
      </c>
      <c r="F16" s="135">
        <v>51200</v>
      </c>
      <c r="G16" s="26">
        <v>51200</v>
      </c>
      <c r="H16" s="27"/>
      <c r="I16" s="27"/>
      <c r="J16" s="27"/>
      <c r="K16" s="27"/>
      <c r="L16" s="27">
        <v>51200</v>
      </c>
      <c r="M16" s="27"/>
      <c r="N16" s="27"/>
      <c r="O16" s="120"/>
      <c r="P16" s="26"/>
      <c r="Q16" s="26">
        <v>51200</v>
      </c>
      <c r="R16" s="26"/>
      <c r="S16" s="59"/>
      <c r="T16" s="55">
        <f t="shared" si="1"/>
        <v>51200</v>
      </c>
      <c r="U16" s="151"/>
    </row>
    <row r="17" spans="1:21" ht="15.75" customHeight="1">
      <c r="A17" s="22">
        <v>45854</v>
      </c>
      <c r="B17" s="36">
        <v>50313</v>
      </c>
      <c r="C17" s="24" t="s">
        <v>83</v>
      </c>
      <c r="D17" s="37" t="s">
        <v>85</v>
      </c>
      <c r="E17" s="134" t="s">
        <v>86</v>
      </c>
      <c r="F17" s="135">
        <v>25350</v>
      </c>
      <c r="G17" s="26">
        <v>25350</v>
      </c>
      <c r="H17" s="27"/>
      <c r="I17" s="27"/>
      <c r="J17" s="27"/>
      <c r="K17" s="27"/>
      <c r="L17" s="27">
        <v>25350</v>
      </c>
      <c r="M17" s="27"/>
      <c r="N17" s="27"/>
      <c r="O17" s="120"/>
      <c r="P17" s="26"/>
      <c r="Q17" s="26">
        <v>25350</v>
      </c>
      <c r="R17" s="26"/>
      <c r="S17" s="59"/>
      <c r="T17" s="55">
        <f t="shared" si="1"/>
        <v>25350</v>
      </c>
      <c r="U17" s="151"/>
    </row>
    <row r="18" spans="1:21" ht="15.75" customHeight="1">
      <c r="A18" s="22">
        <v>45854</v>
      </c>
      <c r="B18" s="36">
        <v>308853</v>
      </c>
      <c r="C18" s="24" t="s">
        <v>87</v>
      </c>
      <c r="D18" s="37" t="s">
        <v>73</v>
      </c>
      <c r="E18" s="134" t="s">
        <v>88</v>
      </c>
      <c r="F18" s="135">
        <v>50950</v>
      </c>
      <c r="G18" s="26">
        <v>50950</v>
      </c>
      <c r="H18" s="27"/>
      <c r="I18" s="27"/>
      <c r="J18" s="27"/>
      <c r="K18" s="27"/>
      <c r="L18" s="27">
        <v>50950</v>
      </c>
      <c r="M18" s="27"/>
      <c r="N18" s="27"/>
      <c r="O18" s="120"/>
      <c r="P18" s="26"/>
      <c r="Q18" s="26"/>
      <c r="R18" s="26"/>
      <c r="S18" s="59">
        <v>50950</v>
      </c>
      <c r="T18" s="55">
        <f t="shared" si="1"/>
        <v>50950</v>
      </c>
      <c r="U18" s="151"/>
    </row>
    <row r="19" spans="1:21" ht="15.75" customHeight="1">
      <c r="A19" s="22">
        <v>45854</v>
      </c>
      <c r="B19" s="23">
        <v>50315</v>
      </c>
      <c r="C19" s="24" t="s">
        <v>89</v>
      </c>
      <c r="D19" s="37" t="s">
        <v>52</v>
      </c>
      <c r="E19" s="134" t="s">
        <v>90</v>
      </c>
      <c r="F19" s="169"/>
      <c r="G19" s="39"/>
      <c r="H19" s="38"/>
      <c r="I19" s="27"/>
      <c r="J19" s="27"/>
      <c r="K19" s="27"/>
      <c r="L19" s="27">
        <v>11650</v>
      </c>
      <c r="M19" s="27"/>
      <c r="N19" s="27"/>
      <c r="O19" s="27"/>
      <c r="P19" s="26"/>
      <c r="Q19" s="26"/>
      <c r="R19" s="26"/>
      <c r="S19" s="58">
        <v>11650</v>
      </c>
      <c r="T19" s="55">
        <f t="shared" si="1"/>
        <v>11650</v>
      </c>
      <c r="U19" s="557" t="s">
        <v>81</v>
      </c>
    </row>
    <row r="20" spans="1:21" ht="15.75" customHeight="1">
      <c r="A20" s="22">
        <v>45854</v>
      </c>
      <c r="B20" s="218">
        <v>50316</v>
      </c>
      <c r="C20" s="24" t="s">
        <v>89</v>
      </c>
      <c r="D20" s="37" t="s">
        <v>73</v>
      </c>
      <c r="E20" s="189" t="s">
        <v>91</v>
      </c>
      <c r="F20" s="190"/>
      <c r="G20" s="226"/>
      <c r="H20" s="219"/>
      <c r="I20" s="157"/>
      <c r="J20" s="157"/>
      <c r="K20" s="157"/>
      <c r="L20" s="157">
        <v>8350</v>
      </c>
      <c r="M20" s="157"/>
      <c r="N20" s="157"/>
      <c r="O20" s="157"/>
      <c r="P20" s="158"/>
      <c r="Q20" s="158"/>
      <c r="R20" s="158"/>
      <c r="S20" s="220">
        <v>8350</v>
      </c>
      <c r="T20" s="155">
        <f t="shared" si="1"/>
        <v>8350</v>
      </c>
      <c r="U20" s="558"/>
    </row>
    <row r="21" spans="1:21" ht="15.75" customHeight="1">
      <c r="A21" s="22">
        <v>45854</v>
      </c>
      <c r="B21" s="132">
        <v>50317</v>
      </c>
      <c r="C21" s="138" t="s">
        <v>92</v>
      </c>
      <c r="D21" s="37" t="s">
        <v>52</v>
      </c>
      <c r="E21" s="134" t="s">
        <v>93</v>
      </c>
      <c r="F21" s="169"/>
      <c r="G21" s="227"/>
      <c r="H21" s="169">
        <v>1100</v>
      </c>
      <c r="I21" s="135"/>
      <c r="J21" s="135"/>
      <c r="K21" s="135"/>
      <c r="L21" s="135"/>
      <c r="M21" s="135"/>
      <c r="N21" s="135"/>
      <c r="O21" s="135"/>
      <c r="P21" s="135"/>
      <c r="Q21" s="135">
        <v>1100</v>
      </c>
      <c r="R21" s="135"/>
      <c r="S21" s="172"/>
      <c r="T21" s="163">
        <f t="shared" si="1"/>
        <v>1100</v>
      </c>
      <c r="U21" s="152"/>
    </row>
    <row r="22" spans="1:21" ht="15.75" customHeight="1">
      <c r="A22" s="22">
        <v>45854</v>
      </c>
      <c r="B22" s="132">
        <v>50318</v>
      </c>
      <c r="C22" s="138" t="s">
        <v>92</v>
      </c>
      <c r="D22" s="37" t="s">
        <v>94</v>
      </c>
      <c r="E22" s="134" t="s">
        <v>93</v>
      </c>
      <c r="F22" s="169"/>
      <c r="G22" s="227"/>
      <c r="H22" s="169">
        <v>13900</v>
      </c>
      <c r="I22" s="135"/>
      <c r="J22" s="135"/>
      <c r="K22" s="135"/>
      <c r="L22" s="135"/>
      <c r="M22" s="135"/>
      <c r="N22" s="135"/>
      <c r="O22" s="135"/>
      <c r="P22" s="135"/>
      <c r="Q22" s="135">
        <v>13900</v>
      </c>
      <c r="R22" s="135"/>
      <c r="S22" s="172"/>
      <c r="T22" s="163">
        <f t="shared" si="1"/>
        <v>13900</v>
      </c>
      <c r="U22" s="152"/>
    </row>
    <row r="23" spans="1:21" ht="15.75" customHeight="1">
      <c r="A23" s="22">
        <v>45854</v>
      </c>
      <c r="B23" s="132">
        <v>50319</v>
      </c>
      <c r="C23" s="138" t="s">
        <v>95</v>
      </c>
      <c r="D23" s="37" t="s">
        <v>96</v>
      </c>
      <c r="E23" s="134" t="s">
        <v>97</v>
      </c>
      <c r="F23" s="169">
        <v>51350</v>
      </c>
      <c r="G23" s="227">
        <v>51350</v>
      </c>
      <c r="H23" s="169"/>
      <c r="I23" s="135"/>
      <c r="J23" s="135"/>
      <c r="K23" s="135"/>
      <c r="L23" s="135">
        <v>51350</v>
      </c>
      <c r="M23" s="135"/>
      <c r="N23" s="135"/>
      <c r="O23" s="135"/>
      <c r="P23" s="135"/>
      <c r="Q23" s="135"/>
      <c r="R23" s="135"/>
      <c r="S23" s="172">
        <v>51350</v>
      </c>
      <c r="T23" s="163">
        <f t="shared" si="1"/>
        <v>51350</v>
      </c>
      <c r="U23" s="557" t="s">
        <v>81</v>
      </c>
    </row>
    <row r="24" spans="1:21" ht="15.75" customHeight="1">
      <c r="A24" s="22">
        <v>45854</v>
      </c>
      <c r="B24" s="159">
        <v>50320</v>
      </c>
      <c r="C24" s="138" t="s">
        <v>95</v>
      </c>
      <c r="D24" s="37" t="s">
        <v>98</v>
      </c>
      <c r="E24" s="232"/>
      <c r="F24" s="233">
        <v>300</v>
      </c>
      <c r="G24" s="234">
        <v>300</v>
      </c>
      <c r="H24" s="233"/>
      <c r="I24" s="162"/>
      <c r="J24" s="162"/>
      <c r="K24" s="162"/>
      <c r="L24" s="162">
        <v>300</v>
      </c>
      <c r="M24" s="162"/>
      <c r="N24" s="162"/>
      <c r="O24" s="162"/>
      <c r="P24" s="162"/>
      <c r="Q24" s="162">
        <v>300</v>
      </c>
      <c r="R24" s="162"/>
      <c r="S24" s="235"/>
      <c r="T24" s="163">
        <f t="shared" si="1"/>
        <v>300</v>
      </c>
      <c r="U24" s="558"/>
    </row>
    <row r="25" spans="1:21" ht="15.75" customHeight="1">
      <c r="A25" s="22">
        <v>45854</v>
      </c>
      <c r="B25" s="159" t="s">
        <v>99</v>
      </c>
      <c r="C25" s="138" t="s">
        <v>95</v>
      </c>
      <c r="D25" s="37" t="s">
        <v>100</v>
      </c>
      <c r="E25" s="232"/>
      <c r="F25" s="233">
        <v>7000</v>
      </c>
      <c r="G25" s="234">
        <v>7000</v>
      </c>
      <c r="H25" s="233"/>
      <c r="I25" s="162"/>
      <c r="J25" s="162"/>
      <c r="K25" s="162"/>
      <c r="L25" s="162"/>
      <c r="M25" s="162"/>
      <c r="N25" s="162"/>
      <c r="O25" s="162">
        <v>7000</v>
      </c>
      <c r="P25" s="162"/>
      <c r="Q25" s="162"/>
      <c r="R25" s="162"/>
      <c r="S25" s="235">
        <v>7000</v>
      </c>
      <c r="T25" s="163">
        <f t="shared" si="1"/>
        <v>7000</v>
      </c>
      <c r="U25" s="306"/>
    </row>
    <row r="26" spans="1:21" s="4" customFormat="1" ht="15.75" customHeight="1">
      <c r="A26" s="22">
        <v>45854</v>
      </c>
      <c r="B26" s="255">
        <v>50357</v>
      </c>
      <c r="C26" s="138" t="s">
        <v>101</v>
      </c>
      <c r="D26" s="228" t="s">
        <v>102</v>
      </c>
      <c r="E26" s="254" t="s">
        <v>103</v>
      </c>
      <c r="F26" s="230"/>
      <c r="G26" s="231"/>
      <c r="H26" s="253">
        <v>40000</v>
      </c>
      <c r="I26" s="230"/>
      <c r="J26" s="230"/>
      <c r="K26" s="230"/>
      <c r="L26" s="230"/>
      <c r="M26" s="230"/>
      <c r="N26" s="230"/>
      <c r="O26" s="230"/>
      <c r="P26" s="230"/>
      <c r="Q26" s="253">
        <v>40000</v>
      </c>
      <c r="R26" s="230"/>
      <c r="S26" s="230"/>
      <c r="T26" s="163">
        <f t="shared" si="1"/>
        <v>40000</v>
      </c>
      <c r="U26" s="243"/>
    </row>
    <row r="27" spans="1:21" s="4" customFormat="1" ht="15.75" customHeight="1">
      <c r="A27" s="221"/>
      <c r="B27" s="222"/>
      <c r="C27" s="223"/>
      <c r="D27" s="229"/>
      <c r="E27" s="224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163">
        <f t="shared" si="1"/>
        <v>0</v>
      </c>
      <c r="U27" s="244"/>
    </row>
    <row r="28" spans="1:21" s="4" customFormat="1" ht="15.75" customHeight="1">
      <c r="A28" s="221"/>
      <c r="B28" s="222"/>
      <c r="C28" s="223"/>
      <c r="D28" s="229"/>
      <c r="E28" s="224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5"/>
      <c r="T28" s="246"/>
      <c r="U28" s="245"/>
    </row>
    <row r="29" spans="1:21" s="4" customFormat="1" ht="15.75" customHeight="1">
      <c r="A29" s="60"/>
      <c r="B29" s="61"/>
      <c r="C29" s="62" t="s">
        <v>54</v>
      </c>
      <c r="D29" s="63"/>
      <c r="E29" s="64"/>
      <c r="F29" s="65">
        <f t="shared" ref="F29:L29" si="2">SUM(F6:F20)</f>
        <v>181180</v>
      </c>
      <c r="G29" s="65">
        <f t="shared" si="2"/>
        <v>181180</v>
      </c>
      <c r="H29" s="66">
        <f t="shared" si="2"/>
        <v>307410</v>
      </c>
      <c r="I29" s="66">
        <f t="shared" si="2"/>
        <v>0</v>
      </c>
      <c r="J29" s="66">
        <f t="shared" si="2"/>
        <v>0</v>
      </c>
      <c r="K29" s="66">
        <f t="shared" si="2"/>
        <v>0</v>
      </c>
      <c r="L29" s="66">
        <f t="shared" si="2"/>
        <v>198900</v>
      </c>
      <c r="M29" s="78">
        <f>SUM(M6:M26)</f>
        <v>2300</v>
      </c>
      <c r="N29" s="78">
        <f t="shared" ref="N29:T29" si="3">SUM(N6:N20)</f>
        <v>0</v>
      </c>
      <c r="O29" s="66">
        <f t="shared" si="3"/>
        <v>2280</v>
      </c>
      <c r="P29" s="66">
        <f t="shared" si="3"/>
        <v>0</v>
      </c>
      <c r="Q29" s="66">
        <f t="shared" si="3"/>
        <v>76550</v>
      </c>
      <c r="R29" s="66">
        <f t="shared" si="3"/>
        <v>0</v>
      </c>
      <c r="S29" s="66">
        <f t="shared" si="3"/>
        <v>434340</v>
      </c>
      <c r="T29" s="83">
        <f t="shared" si="3"/>
        <v>510890</v>
      </c>
      <c r="U29" s="147"/>
    </row>
    <row r="30" spans="1:21" s="8" customFormat="1" ht="15.75" customHeight="1">
      <c r="A30" s="67"/>
      <c r="B30" s="68"/>
      <c r="D30" s="69"/>
      <c r="E30" s="70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84"/>
      <c r="T30" s="80"/>
    </row>
    <row r="31" spans="1:21" s="8" customFormat="1" ht="15.75" customHeight="1">
      <c r="A31" s="72" t="s">
        <v>55</v>
      </c>
      <c r="B31" s="68"/>
      <c r="D31" s="69"/>
      <c r="E31" s="70"/>
      <c r="J31" s="71"/>
      <c r="K31" s="79" t="s">
        <v>56</v>
      </c>
      <c r="L31" s="71"/>
      <c r="M31" s="71"/>
      <c r="N31" s="71"/>
      <c r="P31" s="79"/>
      <c r="R31" s="79" t="s">
        <v>57</v>
      </c>
      <c r="S31" s="85"/>
      <c r="T31" s="80">
        <f>F29+H29+I29+J29+K29+L29+M29+N29+O29</f>
        <v>692070</v>
      </c>
    </row>
    <row r="32" spans="1:21" s="8" customFormat="1" ht="15.75" customHeight="1">
      <c r="A32" s="72"/>
      <c r="B32" s="68"/>
      <c r="D32" s="69"/>
      <c r="E32" s="70"/>
      <c r="J32" s="71"/>
      <c r="K32" s="79"/>
      <c r="L32" s="71"/>
      <c r="M32" s="71"/>
      <c r="N32" s="71"/>
      <c r="P32" s="79"/>
      <c r="R32" s="79" t="s">
        <v>58</v>
      </c>
      <c r="S32" s="85"/>
      <c r="T32" s="80">
        <f>G29+Q29+S29</f>
        <v>692070</v>
      </c>
    </row>
    <row r="33" spans="1:20" s="8" customFormat="1" ht="15.75" customHeight="1">
      <c r="A33" s="72"/>
      <c r="B33" s="68"/>
      <c r="D33" s="69"/>
      <c r="E33" s="70"/>
      <c r="J33" s="71"/>
      <c r="K33" s="79"/>
      <c r="L33" s="71"/>
      <c r="M33" s="71"/>
      <c r="N33" s="71"/>
      <c r="P33" s="79"/>
      <c r="R33" s="81" t="s">
        <v>59</v>
      </c>
      <c r="S33" s="86"/>
      <c r="T33" s="87">
        <f>T31-T32</f>
        <v>0</v>
      </c>
    </row>
    <row r="34" spans="1:20" s="9" customFormat="1" ht="15.75" customHeight="1">
      <c r="A34" s="73" t="s">
        <v>60</v>
      </c>
      <c r="B34" s="74"/>
      <c r="D34" s="75"/>
      <c r="E34" s="76"/>
      <c r="J34" s="80"/>
      <c r="K34" s="81" t="s">
        <v>61</v>
      </c>
      <c r="L34" s="80"/>
      <c r="M34" s="80"/>
      <c r="N34" s="80"/>
      <c r="P34" s="81"/>
      <c r="Q34" s="81"/>
      <c r="R34" s="80"/>
      <c r="S34" s="86"/>
      <c r="T34" s="80"/>
    </row>
    <row r="35" spans="1:20" s="8" customFormat="1" ht="15.75" customHeight="1">
      <c r="A35" s="72" t="s">
        <v>62</v>
      </c>
      <c r="B35" s="68"/>
      <c r="D35" s="69"/>
      <c r="E35" s="70"/>
      <c r="J35" s="71"/>
      <c r="K35" s="79" t="s">
        <v>63</v>
      </c>
      <c r="L35" s="71"/>
      <c r="M35" s="71"/>
      <c r="N35" s="71"/>
      <c r="P35" s="79"/>
      <c r="Q35" s="71"/>
      <c r="R35" s="71"/>
      <c r="S35" s="85"/>
      <c r="T35" s="80"/>
    </row>
  </sheetData>
  <autoFilter ref="A4:U27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7" showButton="0"/>
  </autoFilter>
  <mergeCells count="17">
    <mergeCell ref="A1:T1"/>
    <mergeCell ref="A2:T2"/>
    <mergeCell ref="H4:O4"/>
    <mergeCell ref="P4:Q4"/>
    <mergeCell ref="R4:S4"/>
    <mergeCell ref="A4:A5"/>
    <mergeCell ref="B4:B5"/>
    <mergeCell ref="C4:C5"/>
    <mergeCell ref="D4:D5"/>
    <mergeCell ref="E4:E5"/>
    <mergeCell ref="F4:F5"/>
    <mergeCell ref="G4:G5"/>
    <mergeCell ref="U23:U24"/>
    <mergeCell ref="U14:U15"/>
    <mergeCell ref="U19:U20"/>
    <mergeCell ref="T4:T5"/>
    <mergeCell ref="U4:U5"/>
  </mergeCells>
  <pageMargins left="0.25" right="0.25" top="0.5" bottom="0.25" header="0.3" footer="0.3"/>
  <pageSetup paperSize="14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EM40"/>
  <sheetViews>
    <sheetView zoomScale="90" zoomScaleNormal="90" workbookViewId="0">
      <pane xSplit="2" ySplit="3" topLeftCell="C4" activePane="bottomRight" state="frozen"/>
      <selection pane="topRight"/>
      <selection pane="bottomLeft"/>
      <selection pane="bottomRight" activeCell="V11" sqref="V11"/>
    </sheetView>
  </sheetViews>
  <sheetFormatPr defaultColWidth="9.140625" defaultRowHeight="15.75" customHeight="1"/>
  <cols>
    <col min="1" max="1" width="7" style="10" customWidth="1"/>
    <col min="2" max="2" width="11" style="11" customWidth="1"/>
    <col min="3" max="3" width="29.7109375" style="12" customWidth="1"/>
    <col min="4" max="4" width="28.7109375" style="13" customWidth="1"/>
    <col min="5" max="5" width="8.42578125" style="14" customWidth="1"/>
    <col min="6" max="6" width="10.28515625" style="15" customWidth="1"/>
    <col min="7" max="7" width="11" style="15" customWidth="1"/>
    <col min="8" max="8" width="9.5703125" style="15" customWidth="1"/>
    <col min="9" max="9" width="9.42578125" style="15" customWidth="1"/>
    <col min="10" max="10" width="10" style="15" customWidth="1"/>
    <col min="11" max="11" width="9.7109375" style="15" customWidth="1"/>
    <col min="12" max="12" width="10" style="15" customWidth="1"/>
    <col min="13" max="13" width="7.7109375" style="15" customWidth="1"/>
    <col min="14" max="14" width="8.7109375" style="15" customWidth="1"/>
    <col min="15" max="15" width="8.28515625" style="15" customWidth="1"/>
    <col min="16" max="16" width="9.7109375" style="15" customWidth="1"/>
    <col min="17" max="17" width="8.7109375" style="15" customWidth="1"/>
    <col min="18" max="18" width="10.42578125" style="15" customWidth="1"/>
    <col min="19" max="19" width="8.7109375" style="15" customWidth="1"/>
    <col min="20" max="20" width="10.140625" style="16" customWidth="1"/>
    <col min="21" max="21" width="12" style="17" customWidth="1"/>
    <col min="22" max="22" width="10.42578125" style="12" customWidth="1"/>
    <col min="23" max="16384" width="9.140625" style="12"/>
  </cols>
  <sheetData>
    <row r="1" spans="1:24" s="1" customFormat="1" ht="15.75" customHeight="1">
      <c r="A1" s="532" t="s">
        <v>0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</row>
    <row r="2" spans="1:24" s="2" customFormat="1" ht="15.75" customHeight="1">
      <c r="A2" s="533">
        <v>45855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</row>
    <row r="3" spans="1:24" s="3" customFormat="1" ht="15.75" customHeight="1">
      <c r="A3" s="18"/>
      <c r="B3" s="11"/>
      <c r="D3" s="19"/>
      <c r="E3" s="1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51"/>
      <c r="U3" s="52"/>
    </row>
    <row r="4" spans="1:24" ht="15.75" customHeight="1">
      <c r="A4" s="18"/>
      <c r="C4" s="3"/>
      <c r="D4" s="19"/>
      <c r="E4" s="1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51"/>
      <c r="U4" s="52"/>
      <c r="V4" s="3"/>
    </row>
    <row r="5" spans="1:24" ht="15.75" customHeight="1">
      <c r="A5" s="541" t="s">
        <v>1</v>
      </c>
      <c r="B5" s="543" t="s">
        <v>2</v>
      </c>
      <c r="C5" s="545" t="s">
        <v>3</v>
      </c>
      <c r="D5" s="569" t="s">
        <v>4</v>
      </c>
      <c r="E5" s="571" t="s">
        <v>5</v>
      </c>
      <c r="F5" s="572" t="s">
        <v>6</v>
      </c>
      <c r="G5" s="553" t="s">
        <v>7</v>
      </c>
      <c r="H5" s="534" t="s">
        <v>8</v>
      </c>
      <c r="I5" s="535"/>
      <c r="J5" s="535"/>
      <c r="K5" s="535"/>
      <c r="L5" s="535"/>
      <c r="M5" s="535"/>
      <c r="N5" s="535"/>
      <c r="O5" s="535"/>
      <c r="P5" s="536"/>
      <c r="Q5" s="537" t="s">
        <v>9</v>
      </c>
      <c r="R5" s="538"/>
      <c r="S5" s="539" t="s">
        <v>10</v>
      </c>
      <c r="T5" s="540"/>
      <c r="U5" s="555" t="s">
        <v>11</v>
      </c>
      <c r="V5" s="530" t="s">
        <v>12</v>
      </c>
    </row>
    <row r="6" spans="1:24" ht="15.75" hidden="1" customHeight="1">
      <c r="A6" s="566"/>
      <c r="B6" s="567"/>
      <c r="C6" s="568"/>
      <c r="D6" s="570"/>
      <c r="E6" s="571"/>
      <c r="F6" s="573"/>
      <c r="G6" s="574"/>
      <c r="H6" s="111" t="s">
        <v>13</v>
      </c>
      <c r="I6" s="111" t="s">
        <v>14</v>
      </c>
      <c r="J6" s="111" t="s">
        <v>15</v>
      </c>
      <c r="K6" s="111" t="s">
        <v>16</v>
      </c>
      <c r="L6" s="111" t="s">
        <v>18</v>
      </c>
      <c r="M6" s="111" t="s">
        <v>19</v>
      </c>
      <c r="N6" s="111" t="s">
        <v>17</v>
      </c>
      <c r="O6" s="111" t="s">
        <v>20</v>
      </c>
      <c r="P6" s="111" t="s">
        <v>21</v>
      </c>
      <c r="Q6" s="113" t="s">
        <v>22</v>
      </c>
      <c r="R6" s="113" t="s">
        <v>23</v>
      </c>
      <c r="S6" s="113" t="s">
        <v>22</v>
      </c>
      <c r="T6" s="115" t="s">
        <v>23</v>
      </c>
      <c r="U6" s="556"/>
      <c r="V6" s="531"/>
    </row>
    <row r="7" spans="1:24" ht="15.75" hidden="1" customHeight="1">
      <c r="A7" s="41">
        <v>45855</v>
      </c>
      <c r="B7" s="42">
        <v>50321</v>
      </c>
      <c r="C7" s="24" t="s">
        <v>104</v>
      </c>
      <c r="D7" s="128" t="s">
        <v>105</v>
      </c>
      <c r="E7" s="129" t="s">
        <v>106</v>
      </c>
      <c r="F7" s="39">
        <v>102200</v>
      </c>
      <c r="G7" s="38">
        <v>102200</v>
      </c>
      <c r="H7" s="38"/>
      <c r="I7" s="27"/>
      <c r="J7" s="27"/>
      <c r="K7" s="27"/>
      <c r="L7" s="38">
        <v>102200</v>
      </c>
      <c r="M7" s="27"/>
      <c r="N7" s="27"/>
      <c r="O7" s="27"/>
      <c r="P7" s="27"/>
      <c r="Q7" s="27"/>
      <c r="R7" s="38"/>
      <c r="S7" s="27"/>
      <c r="T7" s="116">
        <v>102200</v>
      </c>
      <c r="U7" s="55">
        <f>R7+T7</f>
        <v>102200</v>
      </c>
      <c r="V7" s="110"/>
      <c r="X7" s="117">
        <f>F7+H7+I7+J7+K7+L7+M7+O7+P7+Q7+S7-G7-R7-T7</f>
        <v>0</v>
      </c>
    </row>
    <row r="8" spans="1:24" ht="15.75" hidden="1" customHeight="1">
      <c r="A8" s="41">
        <v>45855</v>
      </c>
      <c r="B8" s="42">
        <v>50322</v>
      </c>
      <c r="C8" s="126" t="s">
        <v>107</v>
      </c>
      <c r="D8" s="125" t="s">
        <v>73</v>
      </c>
      <c r="E8" s="127" t="s">
        <v>108</v>
      </c>
      <c r="F8" s="39">
        <v>50950</v>
      </c>
      <c r="G8" s="38">
        <v>50950</v>
      </c>
      <c r="H8" s="38"/>
      <c r="I8" s="27"/>
      <c r="J8" s="27"/>
      <c r="K8" s="27"/>
      <c r="L8" s="38">
        <v>50950</v>
      </c>
      <c r="M8" s="27"/>
      <c r="N8" s="27"/>
      <c r="O8" s="27"/>
      <c r="P8" s="27"/>
      <c r="Q8" s="27"/>
      <c r="R8" s="38"/>
      <c r="S8" s="27"/>
      <c r="T8" s="116">
        <v>50950</v>
      </c>
      <c r="U8" s="55">
        <f t="shared" ref="U8:U18" si="0">R8+T8</f>
        <v>50950</v>
      </c>
      <c r="V8" s="311"/>
      <c r="X8" s="117">
        <f t="shared" ref="X8:X31" si="1">F8+H8+I8+J8+K8+L8+M8+O8+P8+Q8+S8-G8-R8-T8</f>
        <v>0</v>
      </c>
    </row>
    <row r="9" spans="1:24" ht="15.75" hidden="1" customHeight="1">
      <c r="A9" s="41">
        <v>45855</v>
      </c>
      <c r="B9" s="42">
        <v>50324</v>
      </c>
      <c r="C9" s="24" t="s">
        <v>109</v>
      </c>
      <c r="D9" s="125" t="s">
        <v>73</v>
      </c>
      <c r="E9" s="124" t="s">
        <v>110</v>
      </c>
      <c r="F9" s="38"/>
      <c r="G9" s="38"/>
      <c r="H9" s="38">
        <v>51050</v>
      </c>
      <c r="I9" s="27"/>
      <c r="J9" s="27"/>
      <c r="K9" s="27"/>
      <c r="L9" s="38"/>
      <c r="M9" s="27"/>
      <c r="N9" s="27"/>
      <c r="O9" s="27"/>
      <c r="P9" s="27"/>
      <c r="Q9" s="27"/>
      <c r="R9" s="38"/>
      <c r="S9" s="27"/>
      <c r="T9" s="116">
        <v>51050</v>
      </c>
      <c r="U9" s="55">
        <f t="shared" si="0"/>
        <v>51050</v>
      </c>
      <c r="V9" s="311"/>
      <c r="X9" s="117">
        <f t="shared" si="1"/>
        <v>0</v>
      </c>
    </row>
    <row r="10" spans="1:24" s="6" customFormat="1" ht="15.75" hidden="1" customHeight="1">
      <c r="A10" s="41">
        <v>45855</v>
      </c>
      <c r="B10" s="44">
        <v>50325</v>
      </c>
      <c r="C10" s="24" t="s">
        <v>111</v>
      </c>
      <c r="D10" s="125" t="s">
        <v>112</v>
      </c>
      <c r="E10" s="31" t="s">
        <v>113</v>
      </c>
      <c r="F10" s="38"/>
      <c r="G10" s="38"/>
      <c r="H10" s="40"/>
      <c r="I10" s="28">
        <v>102200</v>
      </c>
      <c r="J10" s="28"/>
      <c r="K10" s="28"/>
      <c r="L10" s="40"/>
      <c r="M10" s="28"/>
      <c r="N10" s="28"/>
      <c r="O10" s="28"/>
      <c r="P10" s="28"/>
      <c r="Q10" s="114"/>
      <c r="R10" s="114"/>
      <c r="S10" s="114"/>
      <c r="T10" s="46">
        <v>102200</v>
      </c>
      <c r="U10" s="55">
        <f t="shared" si="0"/>
        <v>102200</v>
      </c>
      <c r="V10" s="56"/>
      <c r="X10" s="117">
        <f t="shared" si="1"/>
        <v>0</v>
      </c>
    </row>
    <row r="11" spans="1:24" s="6" customFormat="1" ht="15.75" hidden="1" customHeight="1">
      <c r="A11" s="41">
        <v>45855</v>
      </c>
      <c r="B11" s="44">
        <v>50326</v>
      </c>
      <c r="C11" s="24" t="s">
        <v>114</v>
      </c>
      <c r="D11" s="125" t="s">
        <v>112</v>
      </c>
      <c r="E11" s="31" t="s">
        <v>115</v>
      </c>
      <c r="F11" s="38"/>
      <c r="G11" s="38"/>
      <c r="H11" s="40"/>
      <c r="I11" s="28"/>
      <c r="J11" s="28"/>
      <c r="K11" s="28"/>
      <c r="L11" s="40"/>
      <c r="M11" s="28"/>
      <c r="N11" s="28"/>
      <c r="O11" s="28"/>
      <c r="P11" s="28">
        <v>103100</v>
      </c>
      <c r="Q11" s="114"/>
      <c r="R11" s="114"/>
      <c r="S11" s="114"/>
      <c r="T11" s="46">
        <v>103100</v>
      </c>
      <c r="U11" s="55">
        <f t="shared" si="0"/>
        <v>103100</v>
      </c>
      <c r="V11" s="563" t="s">
        <v>81</v>
      </c>
      <c r="X11" s="117"/>
    </row>
    <row r="12" spans="1:24" s="6" customFormat="1" ht="15.75" hidden="1" customHeight="1">
      <c r="A12" s="41">
        <v>45855</v>
      </c>
      <c r="B12" s="44">
        <v>50327</v>
      </c>
      <c r="C12" s="24" t="s">
        <v>114</v>
      </c>
      <c r="D12" s="125" t="s">
        <v>116</v>
      </c>
      <c r="E12" s="31" t="s">
        <v>117</v>
      </c>
      <c r="F12" s="38"/>
      <c r="G12" s="38"/>
      <c r="H12" s="40"/>
      <c r="I12" s="28"/>
      <c r="J12" s="28"/>
      <c r="K12" s="28"/>
      <c r="L12" s="40"/>
      <c r="M12" s="28"/>
      <c r="N12" s="28"/>
      <c r="O12" s="28"/>
      <c r="P12" s="28">
        <v>1300</v>
      </c>
      <c r="Q12" s="114"/>
      <c r="R12" s="28">
        <v>1300</v>
      </c>
      <c r="S12" s="114"/>
      <c r="T12" s="46"/>
      <c r="U12" s="55">
        <f>R12+T12</f>
        <v>1300</v>
      </c>
      <c r="V12" s="564"/>
      <c r="X12" s="117"/>
    </row>
    <row r="13" spans="1:24" s="6" customFormat="1" ht="15.75" hidden="1" customHeight="1">
      <c r="A13" s="41">
        <v>45855</v>
      </c>
      <c r="B13" s="44">
        <v>50328</v>
      </c>
      <c r="C13" s="24" t="s">
        <v>114</v>
      </c>
      <c r="D13" s="125" t="s">
        <v>116</v>
      </c>
      <c r="E13" s="31" t="s">
        <v>118</v>
      </c>
      <c r="F13" s="38"/>
      <c r="G13" s="38"/>
      <c r="H13" s="40"/>
      <c r="I13" s="28"/>
      <c r="J13" s="28"/>
      <c r="K13" s="28"/>
      <c r="L13" s="40"/>
      <c r="M13" s="28"/>
      <c r="N13" s="28"/>
      <c r="O13" s="28"/>
      <c r="P13" s="28">
        <v>900</v>
      </c>
      <c r="Q13" s="114"/>
      <c r="R13" s="28">
        <v>900</v>
      </c>
      <c r="S13" s="114"/>
      <c r="T13" s="46"/>
      <c r="U13" s="55">
        <f t="shared" si="0"/>
        <v>900</v>
      </c>
      <c r="V13" s="564"/>
      <c r="X13" s="117"/>
    </row>
    <row r="14" spans="1:24" s="6" customFormat="1" ht="15.75" hidden="1" customHeight="1">
      <c r="A14" s="41">
        <v>45855</v>
      </c>
      <c r="B14" s="44">
        <v>50329</v>
      </c>
      <c r="C14" s="24" t="s">
        <v>114</v>
      </c>
      <c r="D14" s="125" t="s">
        <v>119</v>
      </c>
      <c r="E14" s="31" t="s">
        <v>120</v>
      </c>
      <c r="F14" s="38"/>
      <c r="G14" s="38"/>
      <c r="H14" s="40"/>
      <c r="I14" s="28"/>
      <c r="J14" s="28"/>
      <c r="K14" s="28"/>
      <c r="L14" s="40"/>
      <c r="M14" s="28"/>
      <c r="N14" s="28"/>
      <c r="O14" s="28"/>
      <c r="P14" s="28">
        <v>900</v>
      </c>
      <c r="Q14" s="114"/>
      <c r="R14" s="28">
        <v>900</v>
      </c>
      <c r="S14" s="114"/>
      <c r="T14" s="46"/>
      <c r="U14" s="55">
        <f t="shared" si="0"/>
        <v>900</v>
      </c>
      <c r="V14" s="564"/>
      <c r="X14" s="117"/>
    </row>
    <row r="15" spans="1:24" s="6" customFormat="1" ht="15.75" hidden="1" customHeight="1">
      <c r="A15" s="41">
        <v>45855</v>
      </c>
      <c r="B15" s="44">
        <v>50330</v>
      </c>
      <c r="C15" s="24" t="s">
        <v>114</v>
      </c>
      <c r="D15" s="125" t="s">
        <v>52</v>
      </c>
      <c r="E15" s="31" t="s">
        <v>121</v>
      </c>
      <c r="F15" s="38"/>
      <c r="G15" s="38"/>
      <c r="H15" s="40"/>
      <c r="I15" s="28"/>
      <c r="J15" s="28"/>
      <c r="K15" s="28"/>
      <c r="L15" s="40"/>
      <c r="M15" s="28"/>
      <c r="N15" s="28"/>
      <c r="O15" s="28"/>
      <c r="P15" s="28">
        <v>600</v>
      </c>
      <c r="Q15" s="114"/>
      <c r="R15" s="28">
        <v>600</v>
      </c>
      <c r="S15" s="114"/>
      <c r="T15" s="46"/>
      <c r="U15" s="55">
        <f t="shared" si="0"/>
        <v>600</v>
      </c>
      <c r="V15" s="565"/>
      <c r="X15" s="117"/>
    </row>
    <row r="16" spans="1:24" s="7" customFormat="1" ht="15.75" hidden="1" customHeight="1">
      <c r="A16" s="41">
        <v>45855</v>
      </c>
      <c r="B16" s="44">
        <v>50331</v>
      </c>
      <c r="C16" s="24" t="s">
        <v>122</v>
      </c>
      <c r="D16" s="125" t="s">
        <v>73</v>
      </c>
      <c r="E16" s="34" t="s">
        <v>123</v>
      </c>
      <c r="F16" s="46"/>
      <c r="G16" s="46"/>
      <c r="H16" s="46">
        <v>51100</v>
      </c>
      <c r="I16" s="32"/>
      <c r="J16" s="32"/>
      <c r="K16" s="32"/>
      <c r="L16" s="46"/>
      <c r="M16" s="32"/>
      <c r="N16" s="32"/>
      <c r="O16" s="32"/>
      <c r="P16" s="32"/>
      <c r="Q16" s="32"/>
      <c r="R16" s="32"/>
      <c r="S16" s="32"/>
      <c r="T16" s="46">
        <v>51100</v>
      </c>
      <c r="U16" s="55">
        <f t="shared" si="0"/>
        <v>51100</v>
      </c>
      <c r="V16" s="103"/>
      <c r="X16" s="117">
        <f t="shared" si="1"/>
        <v>0</v>
      </c>
    </row>
    <row r="17" spans="1:143" ht="15.75" customHeight="1">
      <c r="A17" s="41">
        <v>45855</v>
      </c>
      <c r="B17" s="44">
        <v>50332</v>
      </c>
      <c r="C17" s="237" t="s">
        <v>124</v>
      </c>
      <c r="D17" s="125" t="s">
        <v>125</v>
      </c>
      <c r="E17" s="35" t="s">
        <v>126</v>
      </c>
      <c r="F17" s="38"/>
      <c r="G17" s="38"/>
      <c r="H17" s="38"/>
      <c r="I17" s="27">
        <v>50950</v>
      </c>
      <c r="J17" s="27"/>
      <c r="K17" s="27"/>
      <c r="L17" s="38"/>
      <c r="M17" s="27"/>
      <c r="N17" s="27"/>
      <c r="O17" s="27"/>
      <c r="P17" s="27"/>
      <c r="Q17" s="27"/>
      <c r="R17" s="27"/>
      <c r="S17" s="27"/>
      <c r="T17" s="116">
        <v>50950</v>
      </c>
      <c r="U17" s="55">
        <f t="shared" si="0"/>
        <v>50950</v>
      </c>
      <c r="V17" s="146"/>
      <c r="X17" s="117">
        <f t="shared" si="1"/>
        <v>0</v>
      </c>
    </row>
    <row r="18" spans="1:143" ht="15.75" hidden="1" customHeight="1">
      <c r="A18" s="41">
        <v>45855</v>
      </c>
      <c r="B18" s="44">
        <v>50333</v>
      </c>
      <c r="C18" s="45" t="s">
        <v>127</v>
      </c>
      <c r="D18" s="125" t="s">
        <v>128</v>
      </c>
      <c r="E18" s="35" t="s">
        <v>129</v>
      </c>
      <c r="F18" s="38"/>
      <c r="G18" s="38"/>
      <c r="H18" s="27">
        <v>25800</v>
      </c>
      <c r="I18" s="27"/>
      <c r="J18" s="27"/>
      <c r="K18" s="27"/>
      <c r="L18" s="109"/>
      <c r="M18" s="27"/>
      <c r="N18" s="27"/>
      <c r="O18" s="27"/>
      <c r="P18" s="27"/>
      <c r="Q18" s="27"/>
      <c r="R18" s="27"/>
      <c r="S18" s="27"/>
      <c r="T18" s="116">
        <v>25800</v>
      </c>
      <c r="U18" s="55">
        <f t="shared" si="0"/>
        <v>25800</v>
      </c>
      <c r="V18" s="146"/>
      <c r="X18" s="117">
        <f t="shared" si="1"/>
        <v>0</v>
      </c>
    </row>
    <row r="19" spans="1:143" ht="15.75" hidden="1" customHeight="1">
      <c r="A19" s="41">
        <v>45855</v>
      </c>
      <c r="B19" s="44">
        <v>50334</v>
      </c>
      <c r="C19" s="24" t="s">
        <v>130</v>
      </c>
      <c r="D19" s="125" t="s">
        <v>131</v>
      </c>
      <c r="E19" s="35" t="s">
        <v>132</v>
      </c>
      <c r="F19" s="27"/>
      <c r="G19" s="27"/>
      <c r="H19" s="27"/>
      <c r="I19" s="27"/>
      <c r="J19" s="27">
        <v>203150</v>
      </c>
      <c r="K19" s="27"/>
      <c r="L19" s="27"/>
      <c r="M19" s="27"/>
      <c r="N19" s="27"/>
      <c r="O19" s="27"/>
      <c r="P19" s="27"/>
      <c r="Q19" s="27"/>
      <c r="R19" s="27"/>
      <c r="S19" s="27"/>
      <c r="T19" s="82">
        <v>203150</v>
      </c>
      <c r="U19" s="55">
        <f t="shared" ref="U19:U31" si="2">R19+T19</f>
        <v>203150</v>
      </c>
      <c r="V19" s="146"/>
      <c r="X19" s="117">
        <f t="shared" si="1"/>
        <v>0</v>
      </c>
    </row>
    <row r="20" spans="1:143" ht="15.75" hidden="1" customHeight="1">
      <c r="A20" s="41">
        <v>45855</v>
      </c>
      <c r="B20" s="44">
        <v>50335</v>
      </c>
      <c r="C20" s="24" t="s">
        <v>133</v>
      </c>
      <c r="D20" s="125" t="s">
        <v>134</v>
      </c>
      <c r="E20" s="35" t="s">
        <v>135</v>
      </c>
      <c r="F20" s="27"/>
      <c r="G20" s="27"/>
      <c r="H20" s="27"/>
      <c r="I20" s="27"/>
      <c r="J20" s="27"/>
      <c r="K20" s="27"/>
      <c r="L20" s="27">
        <v>354050</v>
      </c>
      <c r="M20" s="27"/>
      <c r="N20" s="27"/>
      <c r="O20" s="27"/>
      <c r="P20" s="27"/>
      <c r="Q20" s="27"/>
      <c r="R20" s="27"/>
      <c r="S20" s="27"/>
      <c r="T20" s="82">
        <v>354050</v>
      </c>
      <c r="U20" s="55">
        <f t="shared" si="2"/>
        <v>354050</v>
      </c>
      <c r="V20" s="146"/>
      <c r="X20" s="117">
        <f t="shared" si="1"/>
        <v>0</v>
      </c>
    </row>
    <row r="21" spans="1:143" ht="15.75" hidden="1" customHeight="1">
      <c r="A21" s="41">
        <v>45855</v>
      </c>
      <c r="B21" s="44">
        <v>50336</v>
      </c>
      <c r="C21" s="24" t="s">
        <v>136</v>
      </c>
      <c r="D21" s="239" t="s">
        <v>137</v>
      </c>
      <c r="E21" s="35" t="s">
        <v>138</v>
      </c>
      <c r="F21" s="27"/>
      <c r="G21" s="27"/>
      <c r="H21" s="27"/>
      <c r="I21" s="27"/>
      <c r="J21" s="27"/>
      <c r="K21" s="27"/>
      <c r="L21" s="50"/>
      <c r="M21" s="27">
        <v>76150</v>
      </c>
      <c r="N21" s="27"/>
      <c r="O21" s="27"/>
      <c r="P21" s="27"/>
      <c r="Q21" s="27"/>
      <c r="R21" s="27"/>
      <c r="S21" s="27"/>
      <c r="T21" s="118">
        <v>76150</v>
      </c>
      <c r="U21" s="55">
        <f t="shared" si="2"/>
        <v>76150</v>
      </c>
      <c r="V21" s="146"/>
      <c r="X21" s="117">
        <f t="shared" si="1"/>
        <v>0</v>
      </c>
    </row>
    <row r="22" spans="1:143" ht="15.75" hidden="1" customHeight="1">
      <c r="A22" s="41">
        <v>45855</v>
      </c>
      <c r="B22" s="44">
        <v>50337</v>
      </c>
      <c r="C22" s="126" t="s">
        <v>139</v>
      </c>
      <c r="D22" s="239" t="s">
        <v>140</v>
      </c>
      <c r="E22" s="238" t="s">
        <v>141</v>
      </c>
      <c r="F22" s="27"/>
      <c r="G22" s="27"/>
      <c r="H22" s="27"/>
      <c r="I22" s="27"/>
      <c r="J22" s="27"/>
      <c r="K22" s="27"/>
      <c r="L22" s="50">
        <v>203700</v>
      </c>
      <c r="M22" s="27"/>
      <c r="N22" s="27"/>
      <c r="O22" s="27"/>
      <c r="P22" s="27"/>
      <c r="Q22" s="27"/>
      <c r="R22" s="27"/>
      <c r="S22" s="27"/>
      <c r="T22" s="118">
        <v>203700</v>
      </c>
      <c r="U22" s="55">
        <f t="shared" si="2"/>
        <v>203700</v>
      </c>
      <c r="V22" s="146"/>
      <c r="X22" s="117"/>
    </row>
    <row r="23" spans="1:143" ht="15.75" hidden="1" customHeight="1">
      <c r="A23" s="41">
        <v>45855</v>
      </c>
      <c r="B23" s="44">
        <v>50338</v>
      </c>
      <c r="C23" s="240" t="s">
        <v>142</v>
      </c>
      <c r="D23" s="239" t="s">
        <v>73</v>
      </c>
      <c r="E23" s="238" t="s">
        <v>143</v>
      </c>
      <c r="F23" s="27"/>
      <c r="G23" s="27"/>
      <c r="H23" s="27"/>
      <c r="I23" s="27"/>
      <c r="J23" s="27">
        <v>51200</v>
      </c>
      <c r="K23" s="27"/>
      <c r="L23" s="50"/>
      <c r="M23" s="27"/>
      <c r="N23" s="27"/>
      <c r="O23" s="27"/>
      <c r="P23" s="27"/>
      <c r="Q23" s="27"/>
      <c r="R23" s="27"/>
      <c r="S23" s="27"/>
      <c r="T23" s="118">
        <v>51200</v>
      </c>
      <c r="U23" s="55">
        <f t="shared" si="2"/>
        <v>51200</v>
      </c>
      <c r="V23" s="146"/>
      <c r="X23" s="117"/>
    </row>
    <row r="24" spans="1:143" ht="15.75" hidden="1" customHeight="1">
      <c r="A24" s="41">
        <v>45855</v>
      </c>
      <c r="B24" s="44">
        <v>50339</v>
      </c>
      <c r="C24" s="126" t="s">
        <v>144</v>
      </c>
      <c r="D24" s="239" t="s">
        <v>112</v>
      </c>
      <c r="E24" s="238" t="s">
        <v>145</v>
      </c>
      <c r="F24" s="27"/>
      <c r="G24" s="27"/>
      <c r="H24" s="27"/>
      <c r="I24" s="27"/>
      <c r="J24" s="27"/>
      <c r="K24" s="27"/>
      <c r="L24" s="50"/>
      <c r="M24" s="27"/>
      <c r="N24" s="27"/>
      <c r="O24" s="27"/>
      <c r="P24" s="27">
        <v>102500</v>
      </c>
      <c r="Q24" s="27"/>
      <c r="R24" s="27"/>
      <c r="S24" s="27"/>
      <c r="T24" s="118">
        <v>102500</v>
      </c>
      <c r="U24" s="55">
        <f t="shared" si="2"/>
        <v>102500</v>
      </c>
      <c r="V24" s="146"/>
      <c r="X24" s="117"/>
    </row>
    <row r="25" spans="1:143" ht="15.75" hidden="1" customHeight="1">
      <c r="A25" s="41">
        <v>45855</v>
      </c>
      <c r="B25" s="44">
        <v>50340</v>
      </c>
      <c r="C25" s="126" t="s">
        <v>146</v>
      </c>
      <c r="D25" s="239" t="s">
        <v>147</v>
      </c>
      <c r="E25" s="238" t="s">
        <v>37</v>
      </c>
      <c r="F25" s="27"/>
      <c r="G25" s="27"/>
      <c r="H25" s="27"/>
      <c r="I25" s="27"/>
      <c r="J25" s="27"/>
      <c r="K25" s="27"/>
      <c r="L25" s="50"/>
      <c r="M25" s="27"/>
      <c r="N25" s="27">
        <v>100000</v>
      </c>
      <c r="O25" s="27"/>
      <c r="P25" s="27"/>
      <c r="Q25" s="27"/>
      <c r="R25" s="27"/>
      <c r="S25" s="27"/>
      <c r="T25" s="118">
        <v>100000</v>
      </c>
      <c r="U25" s="55">
        <f t="shared" si="2"/>
        <v>100000</v>
      </c>
      <c r="V25" s="146"/>
      <c r="X25" s="117"/>
    </row>
    <row r="26" spans="1:143" ht="15.75" hidden="1" customHeight="1">
      <c r="A26" s="41">
        <v>45855</v>
      </c>
      <c r="B26" s="44">
        <v>50341</v>
      </c>
      <c r="C26" s="126" t="s">
        <v>148</v>
      </c>
      <c r="D26" s="239" t="s">
        <v>149</v>
      </c>
      <c r="E26" s="238" t="s">
        <v>150</v>
      </c>
      <c r="F26" s="27"/>
      <c r="G26" s="27"/>
      <c r="H26" s="27"/>
      <c r="I26" s="27"/>
      <c r="J26" s="27"/>
      <c r="K26" s="27"/>
      <c r="L26" s="50">
        <v>102200</v>
      </c>
      <c r="M26" s="27"/>
      <c r="N26" s="27"/>
      <c r="O26" s="27"/>
      <c r="P26" s="27"/>
      <c r="Q26" s="27"/>
      <c r="R26" s="27"/>
      <c r="S26" s="27"/>
      <c r="T26" s="118">
        <v>102200</v>
      </c>
      <c r="U26" s="55">
        <f t="shared" si="2"/>
        <v>102200</v>
      </c>
      <c r="V26" s="146"/>
      <c r="X26" s="117">
        <f t="shared" si="1"/>
        <v>0</v>
      </c>
    </row>
    <row r="27" spans="1:143" ht="15.75" hidden="1" customHeight="1">
      <c r="A27" s="41">
        <v>45855</v>
      </c>
      <c r="B27" s="44">
        <v>50342</v>
      </c>
      <c r="C27" s="130" t="s">
        <v>151</v>
      </c>
      <c r="D27" s="239" t="s">
        <v>73</v>
      </c>
      <c r="E27" s="35" t="s">
        <v>152</v>
      </c>
      <c r="F27" s="27"/>
      <c r="G27" s="26"/>
      <c r="H27" s="27"/>
      <c r="I27" s="27">
        <v>51100</v>
      </c>
      <c r="J27" s="27"/>
      <c r="K27" s="27"/>
      <c r="L27" s="50"/>
      <c r="M27" s="27"/>
      <c r="N27" s="27"/>
      <c r="O27" s="27"/>
      <c r="P27" s="27"/>
      <c r="Q27" s="27"/>
      <c r="R27" s="27"/>
      <c r="S27" s="27"/>
      <c r="T27" s="118">
        <v>51100</v>
      </c>
      <c r="U27" s="55">
        <f t="shared" si="2"/>
        <v>51100</v>
      </c>
      <c r="V27" s="146"/>
      <c r="X27" s="117">
        <f t="shared" si="1"/>
        <v>0</v>
      </c>
    </row>
    <row r="28" spans="1:143" ht="15.75" hidden="1" customHeight="1">
      <c r="A28" s="41">
        <v>45855</v>
      </c>
      <c r="B28" s="44">
        <v>50343</v>
      </c>
      <c r="C28" s="24" t="s">
        <v>153</v>
      </c>
      <c r="D28" s="239" t="s">
        <v>112</v>
      </c>
      <c r="E28" s="43" t="s">
        <v>154</v>
      </c>
      <c r="F28" s="27"/>
      <c r="G28" s="26"/>
      <c r="H28" s="27">
        <v>101800</v>
      </c>
      <c r="I28" s="27"/>
      <c r="J28" s="27"/>
      <c r="K28" s="27"/>
      <c r="L28" s="27"/>
      <c r="M28" s="27"/>
      <c r="N28" s="27"/>
      <c r="O28" s="27"/>
      <c r="P28" s="26"/>
      <c r="Q28" s="26"/>
      <c r="R28" s="26"/>
      <c r="S28" s="54"/>
      <c r="T28" s="119">
        <v>101800</v>
      </c>
      <c r="U28" s="55">
        <v>101800</v>
      </c>
      <c r="V28" s="146"/>
      <c r="X28" s="117">
        <f t="shared" si="1"/>
        <v>0</v>
      </c>
    </row>
    <row r="29" spans="1:143" ht="15.75" hidden="1" customHeight="1">
      <c r="A29" s="41">
        <v>45855</v>
      </c>
      <c r="B29" s="42">
        <v>50344</v>
      </c>
      <c r="C29" s="24" t="s">
        <v>155</v>
      </c>
      <c r="D29" s="239" t="s">
        <v>112</v>
      </c>
      <c r="E29" s="35" t="s">
        <v>156</v>
      </c>
      <c r="F29" s="27"/>
      <c r="G29" s="26"/>
      <c r="H29" s="27"/>
      <c r="I29" s="27"/>
      <c r="J29" s="27"/>
      <c r="K29" s="27"/>
      <c r="L29" s="27">
        <v>102100</v>
      </c>
      <c r="M29" s="27"/>
      <c r="N29" s="27"/>
      <c r="O29" s="27"/>
      <c r="P29" s="27"/>
      <c r="Q29" s="27"/>
      <c r="R29" s="27"/>
      <c r="S29" s="82"/>
      <c r="T29" s="27">
        <v>102100</v>
      </c>
      <c r="U29" s="55">
        <f t="shared" si="2"/>
        <v>102100</v>
      </c>
      <c r="V29" s="146"/>
      <c r="X29" s="117">
        <f t="shared" si="1"/>
        <v>0</v>
      </c>
    </row>
    <row r="30" spans="1:143" ht="15.75" hidden="1" customHeight="1">
      <c r="A30" s="41">
        <v>45855</v>
      </c>
      <c r="B30" s="42">
        <v>50345</v>
      </c>
      <c r="C30" s="24" t="s">
        <v>157</v>
      </c>
      <c r="D30" s="112" t="s">
        <v>158</v>
      </c>
      <c r="E30" s="35" t="s">
        <v>159</v>
      </c>
      <c r="F30" s="27"/>
      <c r="G30" s="26"/>
      <c r="H30" s="27">
        <v>25675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82"/>
      <c r="T30" s="27">
        <v>25675</v>
      </c>
      <c r="U30" s="55">
        <f t="shared" si="2"/>
        <v>25675</v>
      </c>
      <c r="V30" s="146"/>
      <c r="X30" s="117">
        <f t="shared" si="1"/>
        <v>0</v>
      </c>
    </row>
    <row r="31" spans="1:143" s="137" customFormat="1" ht="15.75" hidden="1" customHeight="1">
      <c r="A31" s="247"/>
      <c r="B31" s="159"/>
      <c r="C31" s="160"/>
      <c r="D31" s="161"/>
      <c r="E31" s="23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248"/>
      <c r="U31" s="155">
        <f t="shared" si="2"/>
        <v>0</v>
      </c>
      <c r="V31" s="153"/>
      <c r="W31" s="143"/>
      <c r="X31" s="117">
        <f t="shared" si="1"/>
        <v>0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3"/>
      <c r="DA31" s="143"/>
      <c r="DB31" s="143"/>
      <c r="DC31" s="143"/>
      <c r="DD31" s="143"/>
      <c r="DE31" s="143"/>
      <c r="DF31" s="143"/>
      <c r="DG31" s="143"/>
      <c r="DH31" s="143"/>
      <c r="DI31" s="143"/>
      <c r="DJ31" s="143"/>
      <c r="DK31" s="143"/>
      <c r="DL31" s="143"/>
      <c r="DM31" s="143"/>
      <c r="DN31" s="143"/>
      <c r="DO31" s="143"/>
      <c r="DP31" s="143"/>
      <c r="DQ31" s="143"/>
      <c r="DR31" s="143"/>
      <c r="DS31" s="143"/>
      <c r="DT31" s="143"/>
      <c r="DU31" s="143"/>
      <c r="DV31" s="143"/>
      <c r="DW31" s="143"/>
      <c r="DX31" s="143"/>
      <c r="DY31" s="143"/>
      <c r="DZ31" s="143"/>
      <c r="EA31" s="143"/>
      <c r="EB31" s="143"/>
      <c r="EC31" s="143"/>
      <c r="ED31" s="143"/>
      <c r="EE31" s="143"/>
      <c r="EF31" s="143"/>
      <c r="EG31" s="143"/>
      <c r="EH31" s="143"/>
      <c r="EI31" s="143"/>
      <c r="EJ31" s="143"/>
      <c r="EK31" s="143"/>
      <c r="EL31" s="143"/>
      <c r="EM31" s="144"/>
    </row>
    <row r="32" spans="1:143" s="143" customFormat="1" ht="15.75" hidden="1" customHeight="1">
      <c r="A32" s="131"/>
      <c r="B32" s="132"/>
      <c r="C32" s="138"/>
      <c r="D32" s="133"/>
      <c r="E32" s="134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6"/>
      <c r="U32" s="163"/>
      <c r="V32" s="250"/>
      <c r="X32" s="117"/>
    </row>
    <row r="33" spans="1:24" s="143" customFormat="1" ht="15.75" hidden="1" customHeight="1">
      <c r="A33" s="131"/>
      <c r="B33" s="132"/>
      <c r="C33" s="138"/>
      <c r="D33" s="133"/>
      <c r="E33" s="134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6"/>
      <c r="U33" s="163"/>
      <c r="V33" s="250"/>
      <c r="X33" s="117"/>
    </row>
    <row r="34" spans="1:24" s="8" customFormat="1" ht="15.75" hidden="1" customHeight="1">
      <c r="A34" s="60"/>
      <c r="B34" s="61"/>
      <c r="C34" s="62" t="s">
        <v>54</v>
      </c>
      <c r="D34" s="63"/>
      <c r="E34" s="64"/>
      <c r="F34" s="65">
        <f t="shared" ref="F34:M34" si="3">SUM(F7:F30)</f>
        <v>153150</v>
      </c>
      <c r="G34" s="65">
        <f t="shared" si="3"/>
        <v>153150</v>
      </c>
      <c r="H34" s="66">
        <f t="shared" si="3"/>
        <v>255425</v>
      </c>
      <c r="I34" s="66">
        <f t="shared" si="3"/>
        <v>204250</v>
      </c>
      <c r="J34" s="66">
        <f t="shared" si="3"/>
        <v>254350</v>
      </c>
      <c r="K34" s="66">
        <f t="shared" si="3"/>
        <v>0</v>
      </c>
      <c r="L34" s="66">
        <f t="shared" si="3"/>
        <v>915200</v>
      </c>
      <c r="M34" s="78">
        <f t="shared" si="3"/>
        <v>76150</v>
      </c>
      <c r="N34" s="78">
        <f>SUM(N7:N31)</f>
        <v>100000</v>
      </c>
      <c r="O34" s="66">
        <f t="shared" ref="O34:U34" si="4">SUM(O7:O30)</f>
        <v>0</v>
      </c>
      <c r="P34" s="66">
        <f t="shared" si="4"/>
        <v>209300</v>
      </c>
      <c r="Q34" s="66">
        <f t="shared" si="4"/>
        <v>0</v>
      </c>
      <c r="R34" s="66">
        <f t="shared" si="4"/>
        <v>3700</v>
      </c>
      <c r="S34" s="66">
        <f t="shared" si="4"/>
        <v>0</v>
      </c>
      <c r="T34" s="66">
        <f t="shared" si="4"/>
        <v>2010975</v>
      </c>
      <c r="U34" s="83">
        <f t="shared" si="4"/>
        <v>2014675</v>
      </c>
      <c r="V34" s="251"/>
    </row>
    <row r="35" spans="1:24" s="8" customFormat="1" ht="15.75" customHeight="1">
      <c r="A35" s="67"/>
      <c r="B35" s="68"/>
      <c r="D35" s="69"/>
      <c r="E35" s="70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84"/>
      <c r="U35" s="80"/>
    </row>
    <row r="36" spans="1:24" s="8" customFormat="1" ht="15.75" customHeight="1">
      <c r="A36" s="72" t="s">
        <v>55</v>
      </c>
      <c r="B36" s="68"/>
      <c r="D36" s="69"/>
      <c r="E36" s="70"/>
      <c r="J36" s="71"/>
      <c r="K36" s="79" t="s">
        <v>56</v>
      </c>
      <c r="L36" s="71"/>
      <c r="M36" s="71"/>
      <c r="N36" s="71"/>
      <c r="O36" s="71"/>
      <c r="Q36" s="79"/>
      <c r="S36" s="79" t="s">
        <v>57</v>
      </c>
      <c r="T36" s="85"/>
      <c r="U36" s="80">
        <f>F34+H34+I34+J34+K34+L34+M34+N34+P34+O34</f>
        <v>2167825</v>
      </c>
    </row>
    <row r="37" spans="1:24" s="9" customFormat="1" ht="15.75" customHeight="1">
      <c r="A37" s="72"/>
      <c r="B37" s="68"/>
      <c r="C37" s="8"/>
      <c r="D37" s="69"/>
      <c r="E37" s="70"/>
      <c r="F37" s="8"/>
      <c r="G37" s="8"/>
      <c r="H37" s="8"/>
      <c r="I37" s="8"/>
      <c r="J37" s="71"/>
      <c r="K37" s="79"/>
      <c r="L37" s="71"/>
      <c r="M37" s="71"/>
      <c r="N37" s="71"/>
      <c r="O37" s="71"/>
      <c r="P37" s="8"/>
      <c r="Q37" s="79"/>
      <c r="R37" s="8"/>
      <c r="S37" s="79" t="s">
        <v>58</v>
      </c>
      <c r="T37" s="85"/>
      <c r="U37" s="80">
        <f>G34+R34+T34</f>
        <v>2167825</v>
      </c>
      <c r="V37" s="8"/>
    </row>
    <row r="38" spans="1:24" s="8" customFormat="1" ht="15.75" customHeight="1">
      <c r="A38" s="72"/>
      <c r="B38" s="68"/>
      <c r="D38" s="69"/>
      <c r="E38" s="70"/>
      <c r="J38" s="71"/>
      <c r="K38" s="79"/>
      <c r="L38" s="71"/>
      <c r="M38" s="71"/>
      <c r="N38" s="71"/>
      <c r="O38" s="71"/>
      <c r="Q38" s="79"/>
      <c r="S38" s="81" t="s">
        <v>59</v>
      </c>
      <c r="T38" s="86"/>
      <c r="U38" s="87">
        <f>U36-U37</f>
        <v>0</v>
      </c>
    </row>
    <row r="39" spans="1:24" ht="15.75" customHeight="1">
      <c r="A39" s="73" t="s">
        <v>60</v>
      </c>
      <c r="B39" s="74"/>
      <c r="C39" s="9"/>
      <c r="D39" s="75"/>
      <c r="E39" s="76"/>
      <c r="F39" s="9"/>
      <c r="G39" s="9"/>
      <c r="H39" s="9"/>
      <c r="I39" s="9"/>
      <c r="J39" s="80"/>
      <c r="K39" s="81" t="s">
        <v>61</v>
      </c>
      <c r="L39" s="80"/>
      <c r="M39" s="80"/>
      <c r="N39" s="80"/>
      <c r="O39" s="80"/>
      <c r="P39" s="9"/>
      <c r="Q39" s="81"/>
      <c r="R39" s="81"/>
      <c r="S39" s="80"/>
      <c r="T39" s="86"/>
      <c r="U39" s="80"/>
      <c r="V39" s="9"/>
    </row>
    <row r="40" spans="1:24" ht="15.75" customHeight="1">
      <c r="A40" s="72" t="s">
        <v>62</v>
      </c>
      <c r="B40" s="68"/>
      <c r="C40" s="8"/>
      <c r="D40" s="69"/>
      <c r="E40" s="70"/>
      <c r="F40" s="8"/>
      <c r="G40" s="8"/>
      <c r="H40" s="8"/>
      <c r="I40" s="8"/>
      <c r="J40" s="71"/>
      <c r="K40" s="79" t="s">
        <v>63</v>
      </c>
      <c r="L40" s="71"/>
      <c r="M40" s="71"/>
      <c r="N40" s="71"/>
      <c r="O40" s="71"/>
      <c r="P40" s="8"/>
      <c r="Q40" s="79"/>
      <c r="R40" s="71"/>
      <c r="S40" s="71"/>
      <c r="T40" s="85"/>
      <c r="U40" s="80"/>
      <c r="V40" s="8"/>
    </row>
  </sheetData>
  <autoFilter ref="A5:V34">
    <filterColumn colId="4">
      <filters>
        <filter val="7c 1121"/>
      </filters>
    </filterColumn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8" showButton="0"/>
  </autoFilter>
  <mergeCells count="15">
    <mergeCell ref="V11:V15"/>
    <mergeCell ref="V5:V6"/>
    <mergeCell ref="A1:U1"/>
    <mergeCell ref="A2:U2"/>
    <mergeCell ref="H5:P5"/>
    <mergeCell ref="Q5:R5"/>
    <mergeCell ref="S5:T5"/>
    <mergeCell ref="A5:A6"/>
    <mergeCell ref="B5:B6"/>
    <mergeCell ref="C5:C6"/>
    <mergeCell ref="D5:D6"/>
    <mergeCell ref="E5:E6"/>
    <mergeCell ref="F5:F6"/>
    <mergeCell ref="G5:G6"/>
    <mergeCell ref="U5:U6"/>
  </mergeCells>
  <pageMargins left="0.25" right="0.25" top="0.5" bottom="0.25" header="0.3" footer="0.3"/>
  <pageSetup paperSize="14" scale="6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2"/>
  <sheetViews>
    <sheetView zoomScale="142" zoomScaleNormal="142" workbookViewId="0">
      <pane xSplit="2" ySplit="3" topLeftCell="C4" activePane="bottomRight" state="frozen"/>
      <selection pane="topRight"/>
      <selection pane="bottomLeft"/>
      <selection pane="bottomRight" activeCell="D60" sqref="D60"/>
    </sheetView>
  </sheetViews>
  <sheetFormatPr defaultColWidth="9.140625" defaultRowHeight="15.75" customHeight="1"/>
  <cols>
    <col min="1" max="1" width="8.85546875" style="10" customWidth="1"/>
    <col min="2" max="2" width="10.140625" style="11" customWidth="1"/>
    <col min="3" max="3" width="28.5703125" style="12" customWidth="1"/>
    <col min="4" max="4" width="26.28515625" style="13" customWidth="1"/>
    <col min="5" max="5" width="7.7109375" style="14" customWidth="1"/>
    <col min="6" max="6" width="9.42578125" style="15" customWidth="1"/>
    <col min="7" max="7" width="10.140625" style="15" customWidth="1"/>
    <col min="8" max="8" width="9.85546875" style="15" customWidth="1"/>
    <col min="9" max="9" width="9.28515625" style="15" customWidth="1"/>
    <col min="10" max="10" width="10.42578125" style="15" customWidth="1"/>
    <col min="11" max="11" width="9.42578125" style="15" customWidth="1"/>
    <col min="12" max="13" width="10" style="15" customWidth="1"/>
    <col min="14" max="14" width="8.42578125" style="15" customWidth="1"/>
    <col min="15" max="15" width="9.28515625" style="15" customWidth="1"/>
    <col min="16" max="18" width="8.7109375" style="15" customWidth="1"/>
    <col min="19" max="19" width="12.5703125" style="16" customWidth="1"/>
    <col min="20" max="20" width="12" style="17" customWidth="1"/>
    <col min="21" max="21" width="11.85546875" style="12" customWidth="1"/>
    <col min="22" max="16384" width="9.140625" style="12"/>
  </cols>
  <sheetData>
    <row r="1" spans="1:24" s="1" customFormat="1" ht="15.75" customHeight="1">
      <c r="A1" s="532" t="s">
        <v>0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</row>
    <row r="2" spans="1:24" s="2" customFormat="1" ht="15.75" customHeight="1">
      <c r="A2" s="533" t="s">
        <v>160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</row>
    <row r="3" spans="1:24" s="3" customFormat="1" ht="15.75" customHeight="1">
      <c r="A3" s="18"/>
      <c r="B3" s="11"/>
      <c r="D3" s="19"/>
      <c r="E3" s="1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51"/>
      <c r="T3" s="52"/>
    </row>
    <row r="4" spans="1:24" ht="15.75" customHeight="1">
      <c r="A4" s="18"/>
      <c r="C4" s="3"/>
      <c r="D4" s="19"/>
      <c r="E4" s="1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51"/>
      <c r="T4" s="52"/>
      <c r="U4" s="3"/>
    </row>
    <row r="5" spans="1:24" ht="15.75" customHeight="1">
      <c r="A5" s="541" t="s">
        <v>1</v>
      </c>
      <c r="B5" s="543" t="s">
        <v>2</v>
      </c>
      <c r="C5" s="545" t="s">
        <v>3</v>
      </c>
      <c r="D5" s="547" t="s">
        <v>4</v>
      </c>
      <c r="E5" s="549" t="s">
        <v>5</v>
      </c>
      <c r="F5" s="551" t="s">
        <v>6</v>
      </c>
      <c r="G5" s="553" t="s">
        <v>7</v>
      </c>
      <c r="H5" s="534" t="s">
        <v>8</v>
      </c>
      <c r="I5" s="535"/>
      <c r="J5" s="535"/>
      <c r="K5" s="535"/>
      <c r="L5" s="535"/>
      <c r="M5" s="535"/>
      <c r="N5" s="535"/>
      <c r="O5" s="536"/>
      <c r="P5" s="537" t="s">
        <v>9</v>
      </c>
      <c r="Q5" s="538"/>
      <c r="R5" s="539" t="s">
        <v>10</v>
      </c>
      <c r="S5" s="540"/>
      <c r="T5" s="555" t="s">
        <v>11</v>
      </c>
      <c r="U5" s="530" t="s">
        <v>12</v>
      </c>
    </row>
    <row r="6" spans="1:24" ht="15.75" customHeight="1">
      <c r="A6" s="542"/>
      <c r="B6" s="544"/>
      <c r="C6" s="546"/>
      <c r="D6" s="548"/>
      <c r="E6" s="550"/>
      <c r="F6" s="552"/>
      <c r="G6" s="554"/>
      <c r="H6" s="21" t="s">
        <v>13</v>
      </c>
      <c r="I6" s="21" t="s">
        <v>14</v>
      </c>
      <c r="J6" s="21" t="s">
        <v>15</v>
      </c>
      <c r="K6" s="21" t="s">
        <v>17</v>
      </c>
      <c r="L6" s="21" t="s">
        <v>18</v>
      </c>
      <c r="M6" s="21" t="s">
        <v>20</v>
      </c>
      <c r="N6" s="21" t="s">
        <v>19</v>
      </c>
      <c r="O6" s="21" t="s">
        <v>21</v>
      </c>
      <c r="P6" s="48" t="s">
        <v>22</v>
      </c>
      <c r="Q6" s="48" t="s">
        <v>23</v>
      </c>
      <c r="R6" s="48" t="s">
        <v>22</v>
      </c>
      <c r="S6" s="53" t="s">
        <v>23</v>
      </c>
      <c r="T6" s="556"/>
      <c r="U6" s="531"/>
    </row>
    <row r="7" spans="1:24" s="7" customFormat="1" ht="15.75" customHeight="1">
      <c r="A7" s="47">
        <v>45856</v>
      </c>
      <c r="B7" s="23">
        <v>50346</v>
      </c>
      <c r="C7" s="24" t="s">
        <v>157</v>
      </c>
      <c r="D7" s="90" t="s">
        <v>161</v>
      </c>
      <c r="E7" s="88" t="s">
        <v>162</v>
      </c>
      <c r="F7" s="89"/>
      <c r="G7" s="106"/>
      <c r="H7" s="27">
        <v>25675</v>
      </c>
      <c r="I7" s="27"/>
      <c r="J7" s="27"/>
      <c r="K7" s="27"/>
      <c r="L7" s="27"/>
      <c r="M7" s="32"/>
      <c r="N7" s="27"/>
      <c r="O7" s="27"/>
      <c r="P7" s="26"/>
      <c r="Q7" s="26"/>
      <c r="R7" s="26"/>
      <c r="S7" s="54">
        <v>25675</v>
      </c>
      <c r="T7" s="55">
        <f>Q7+S7</f>
        <v>25675</v>
      </c>
      <c r="U7" s="146"/>
      <c r="X7" s="258">
        <f>F7+H7+I7+J7+L7+M7+N7+O7+P7+R7-G7-Q7-S7</f>
        <v>0</v>
      </c>
    </row>
    <row r="8" spans="1:24" ht="15.75" customHeight="1">
      <c r="A8" s="47">
        <v>45856</v>
      </c>
      <c r="B8" s="23">
        <v>50347</v>
      </c>
      <c r="C8" s="30" t="s">
        <v>163</v>
      </c>
      <c r="D8" s="90" t="s">
        <v>161</v>
      </c>
      <c r="E8" s="91" t="s">
        <v>164</v>
      </c>
      <c r="F8" s="123"/>
      <c r="G8" s="139"/>
      <c r="H8" s="28"/>
      <c r="I8" s="28"/>
      <c r="J8" s="28">
        <v>51100</v>
      </c>
      <c r="K8" s="28"/>
      <c r="L8" s="28"/>
      <c r="M8" s="32"/>
      <c r="N8" s="28"/>
      <c r="O8" s="28"/>
      <c r="P8" s="49"/>
      <c r="Q8" s="49"/>
      <c r="R8" s="49"/>
      <c r="S8" s="33">
        <v>51100</v>
      </c>
      <c r="T8" s="55">
        <f t="shared" ref="T8:U44" si="0">Q8+S8</f>
        <v>51100</v>
      </c>
      <c r="U8" s="56"/>
      <c r="X8" s="258">
        <f t="shared" ref="X8:X45" si="1">F8+H8+I8+J8+L8+M8+N8+O8+P8+R8-G8-Q8-S8</f>
        <v>0</v>
      </c>
    </row>
    <row r="9" spans="1:24" ht="15.75" customHeight="1">
      <c r="A9" s="47">
        <v>45856</v>
      </c>
      <c r="B9" s="23">
        <v>2896</v>
      </c>
      <c r="C9" s="30" t="s">
        <v>165</v>
      </c>
      <c r="D9" s="90" t="s">
        <v>161</v>
      </c>
      <c r="E9" s="91" t="s">
        <v>166</v>
      </c>
      <c r="F9" s="123">
        <v>51500</v>
      </c>
      <c r="G9" s="139">
        <v>51500</v>
      </c>
      <c r="H9" s="28">
        <v>51500</v>
      </c>
      <c r="I9" s="28"/>
      <c r="J9" s="28"/>
      <c r="K9" s="28"/>
      <c r="L9" s="28"/>
      <c r="M9" s="32"/>
      <c r="N9" s="28"/>
      <c r="O9" s="28"/>
      <c r="P9" s="49"/>
      <c r="Q9" s="49"/>
      <c r="R9" s="49"/>
      <c r="S9" s="33">
        <v>51500</v>
      </c>
      <c r="T9" s="55">
        <f t="shared" si="0"/>
        <v>51500</v>
      </c>
      <c r="U9" s="56"/>
      <c r="X9" s="258">
        <f t="shared" si="1"/>
        <v>0</v>
      </c>
    </row>
    <row r="10" spans="1:24" ht="15.75" customHeight="1">
      <c r="A10" s="47">
        <v>45856</v>
      </c>
      <c r="B10" s="23">
        <v>50348</v>
      </c>
      <c r="C10" s="249" t="s">
        <v>167</v>
      </c>
      <c r="D10" s="90" t="s">
        <v>168</v>
      </c>
      <c r="E10" s="91" t="s">
        <v>169</v>
      </c>
      <c r="F10" s="123">
        <v>25625</v>
      </c>
      <c r="G10" s="139">
        <v>25625</v>
      </c>
      <c r="H10" s="28">
        <v>25625</v>
      </c>
      <c r="I10" s="28"/>
      <c r="J10" s="28"/>
      <c r="K10" s="28"/>
      <c r="L10" s="28"/>
      <c r="M10" s="32"/>
      <c r="N10" s="28"/>
      <c r="O10" s="28"/>
      <c r="P10" s="49"/>
      <c r="Q10" s="49"/>
      <c r="R10" s="49"/>
      <c r="S10" s="33">
        <v>25625</v>
      </c>
      <c r="T10" s="55">
        <f t="shared" si="0"/>
        <v>25625</v>
      </c>
      <c r="U10" s="56"/>
      <c r="X10" s="258">
        <f t="shared" si="1"/>
        <v>0</v>
      </c>
    </row>
    <row r="11" spans="1:24" ht="15.75" customHeight="1">
      <c r="A11" s="47">
        <v>45856</v>
      </c>
      <c r="B11" s="23">
        <v>50350</v>
      </c>
      <c r="C11" s="249" t="s">
        <v>170</v>
      </c>
      <c r="D11" s="90" t="s">
        <v>171</v>
      </c>
      <c r="E11" s="91" t="s">
        <v>172</v>
      </c>
      <c r="F11" s="123">
        <v>3600</v>
      </c>
      <c r="G11" s="139">
        <v>3600</v>
      </c>
      <c r="H11" s="28">
        <v>3600</v>
      </c>
      <c r="I11" s="28"/>
      <c r="J11" s="28"/>
      <c r="K11" s="28"/>
      <c r="L11" s="28"/>
      <c r="M11" s="32"/>
      <c r="N11" s="28"/>
      <c r="O11" s="28"/>
      <c r="P11" s="49"/>
      <c r="Q11" s="49">
        <v>3600</v>
      </c>
      <c r="R11" s="49"/>
      <c r="S11" s="33"/>
      <c r="T11" s="55">
        <f t="shared" si="0"/>
        <v>3600</v>
      </c>
      <c r="U11" s="56"/>
      <c r="X11" s="258">
        <f t="shared" si="1"/>
        <v>0</v>
      </c>
    </row>
    <row r="12" spans="1:24" ht="15.75" customHeight="1">
      <c r="A12" s="47">
        <v>45856</v>
      </c>
      <c r="B12" s="23">
        <v>50351</v>
      </c>
      <c r="C12" s="249" t="s">
        <v>170</v>
      </c>
      <c r="D12" s="90" t="s">
        <v>161</v>
      </c>
      <c r="E12" s="91" t="s">
        <v>173</v>
      </c>
      <c r="F12" s="123">
        <v>51300</v>
      </c>
      <c r="G12" s="139">
        <v>51300</v>
      </c>
      <c r="H12" s="28">
        <v>51300</v>
      </c>
      <c r="I12" s="28"/>
      <c r="J12" s="28"/>
      <c r="K12" s="28"/>
      <c r="L12" s="28"/>
      <c r="M12" s="32"/>
      <c r="N12" s="28"/>
      <c r="O12" s="28"/>
      <c r="P12" s="49"/>
      <c r="Q12" s="49"/>
      <c r="R12" s="49"/>
      <c r="S12" s="33">
        <v>51300</v>
      </c>
      <c r="T12" s="55">
        <f t="shared" si="0"/>
        <v>51300</v>
      </c>
      <c r="U12" s="56"/>
      <c r="X12" s="258">
        <f t="shared" si="1"/>
        <v>0</v>
      </c>
    </row>
    <row r="13" spans="1:24" ht="15.75" customHeight="1">
      <c r="A13" s="47">
        <v>45856</v>
      </c>
      <c r="B13" s="23">
        <v>50352</v>
      </c>
      <c r="C13" s="249" t="s">
        <v>87</v>
      </c>
      <c r="D13" s="90" t="s">
        <v>174</v>
      </c>
      <c r="E13" s="91" t="s">
        <v>175</v>
      </c>
      <c r="F13" s="123">
        <v>50450</v>
      </c>
      <c r="G13" s="139">
        <v>50450</v>
      </c>
      <c r="H13" s="28">
        <v>50450</v>
      </c>
      <c r="I13" s="28"/>
      <c r="J13" s="28"/>
      <c r="K13" s="28"/>
      <c r="L13" s="28"/>
      <c r="M13" s="32"/>
      <c r="N13" s="28"/>
      <c r="O13" s="28"/>
      <c r="P13" s="49"/>
      <c r="Q13" s="49"/>
      <c r="R13" s="49"/>
      <c r="S13" s="33">
        <v>50450</v>
      </c>
      <c r="T13" s="55">
        <f t="shared" si="0"/>
        <v>50450</v>
      </c>
      <c r="U13" s="56"/>
      <c r="X13" s="258">
        <f t="shared" si="1"/>
        <v>0</v>
      </c>
    </row>
    <row r="14" spans="1:24" ht="15.75" customHeight="1">
      <c r="A14" s="47">
        <v>45856</v>
      </c>
      <c r="B14" s="23">
        <v>50353</v>
      </c>
      <c r="C14" s="249" t="s">
        <v>176</v>
      </c>
      <c r="D14" s="90" t="s">
        <v>177</v>
      </c>
      <c r="E14" s="91" t="s">
        <v>178</v>
      </c>
      <c r="F14" s="123">
        <v>101300</v>
      </c>
      <c r="G14" s="139">
        <v>101300</v>
      </c>
      <c r="H14" s="28">
        <v>101300</v>
      </c>
      <c r="I14" s="28"/>
      <c r="J14" s="28"/>
      <c r="K14" s="28"/>
      <c r="L14" s="28"/>
      <c r="M14" s="32"/>
      <c r="N14" s="28"/>
      <c r="O14" s="28"/>
      <c r="P14" s="49"/>
      <c r="Q14" s="49"/>
      <c r="R14" s="49"/>
      <c r="S14" s="33">
        <v>101300</v>
      </c>
      <c r="T14" s="55">
        <f t="shared" si="0"/>
        <v>101300</v>
      </c>
      <c r="U14" s="56"/>
      <c r="X14" s="258">
        <f t="shared" si="1"/>
        <v>0</v>
      </c>
    </row>
    <row r="15" spans="1:24" ht="15.75" customHeight="1">
      <c r="A15" s="47">
        <v>45856</v>
      </c>
      <c r="B15" s="23">
        <v>50354</v>
      </c>
      <c r="C15" s="45" t="s">
        <v>32</v>
      </c>
      <c r="D15" s="252" t="s">
        <v>179</v>
      </c>
      <c r="E15" s="92" t="s">
        <v>37</v>
      </c>
      <c r="F15" s="93"/>
      <c r="G15" s="106"/>
      <c r="H15" s="32"/>
      <c r="I15" s="32"/>
      <c r="J15" s="32"/>
      <c r="K15" s="32">
        <v>72500</v>
      </c>
      <c r="L15" s="32"/>
      <c r="M15" s="32"/>
      <c r="N15" s="32"/>
      <c r="O15" s="32"/>
      <c r="P15" s="33"/>
      <c r="Q15" s="33">
        <v>72500</v>
      </c>
      <c r="R15" s="33"/>
      <c r="S15" s="33"/>
      <c r="T15" s="55">
        <f t="shared" si="0"/>
        <v>72500</v>
      </c>
      <c r="U15" s="103"/>
      <c r="X15" s="258">
        <f>F15+H15+I15+J15+K15+L15+M15+N15+O15+P15+R15-G15-Q15-S15</f>
        <v>0</v>
      </c>
    </row>
    <row r="16" spans="1:24" ht="15.75" customHeight="1">
      <c r="A16" s="47">
        <v>45856</v>
      </c>
      <c r="B16" s="23">
        <v>50355</v>
      </c>
      <c r="C16" s="45" t="s">
        <v>32</v>
      </c>
      <c r="D16" s="90" t="s">
        <v>180</v>
      </c>
      <c r="E16" s="92" t="s">
        <v>181</v>
      </c>
      <c r="F16" s="93"/>
      <c r="G16" s="106"/>
      <c r="H16" s="32"/>
      <c r="I16" s="32"/>
      <c r="J16" s="32"/>
      <c r="K16" s="32">
        <v>27500</v>
      </c>
      <c r="L16" s="32"/>
      <c r="M16" s="32"/>
      <c r="N16" s="32"/>
      <c r="O16" s="32"/>
      <c r="P16" s="33"/>
      <c r="Q16" s="33"/>
      <c r="R16" s="33"/>
      <c r="S16" s="33">
        <v>27500</v>
      </c>
      <c r="T16" s="55">
        <f t="shared" si="0"/>
        <v>27500</v>
      </c>
      <c r="U16" s="103"/>
      <c r="X16" s="258">
        <f>F16+H16+I16+J16+K16+L16+M16+N16+O16+P16+R16-G16-Q16-S16</f>
        <v>0</v>
      </c>
    </row>
    <row r="17" spans="1:24" ht="15.75" customHeight="1">
      <c r="A17" s="47">
        <v>45856</v>
      </c>
      <c r="B17" s="23">
        <v>50356</v>
      </c>
      <c r="C17" s="45" t="s">
        <v>182</v>
      </c>
      <c r="D17" s="90" t="s">
        <v>161</v>
      </c>
      <c r="E17" s="92" t="s">
        <v>115</v>
      </c>
      <c r="F17" s="93"/>
      <c r="G17" s="106"/>
      <c r="H17" s="32">
        <v>51200</v>
      </c>
      <c r="I17" s="32"/>
      <c r="J17" s="32"/>
      <c r="K17" s="32"/>
      <c r="L17" s="32"/>
      <c r="M17" s="32"/>
      <c r="N17" s="32"/>
      <c r="O17" s="32"/>
      <c r="P17" s="33"/>
      <c r="Q17" s="33"/>
      <c r="R17" s="33"/>
      <c r="S17" s="33">
        <v>51200</v>
      </c>
      <c r="T17" s="55">
        <f t="shared" si="0"/>
        <v>51200</v>
      </c>
      <c r="U17" s="103"/>
      <c r="X17" s="258">
        <f t="shared" si="1"/>
        <v>0</v>
      </c>
    </row>
    <row r="18" spans="1:24" ht="15.75" customHeight="1">
      <c r="A18" s="47">
        <v>45856</v>
      </c>
      <c r="B18" s="23">
        <v>50358</v>
      </c>
      <c r="C18" s="24" t="s">
        <v>183</v>
      </c>
      <c r="D18" s="90" t="s">
        <v>184</v>
      </c>
      <c r="E18" s="94" t="s">
        <v>185</v>
      </c>
      <c r="F18" s="89"/>
      <c r="G18" s="89"/>
      <c r="H18" s="27"/>
      <c r="I18" s="27"/>
      <c r="J18" s="27"/>
      <c r="K18" s="27"/>
      <c r="L18" s="27">
        <v>76575</v>
      </c>
      <c r="M18" s="32"/>
      <c r="N18" s="27"/>
      <c r="O18" s="27"/>
      <c r="P18" s="26"/>
      <c r="Q18" s="26"/>
      <c r="R18" s="26"/>
      <c r="S18" s="59">
        <v>76575</v>
      </c>
      <c r="T18" s="55">
        <f t="shared" si="0"/>
        <v>76575</v>
      </c>
      <c r="U18" s="146"/>
      <c r="X18" s="258">
        <f t="shared" si="1"/>
        <v>0</v>
      </c>
    </row>
    <row r="19" spans="1:24" ht="15.75" customHeight="1">
      <c r="A19" s="47">
        <v>45856</v>
      </c>
      <c r="B19" s="23">
        <v>50359</v>
      </c>
      <c r="C19" s="130" t="s">
        <v>186</v>
      </c>
      <c r="D19" s="90" t="s">
        <v>161</v>
      </c>
      <c r="E19" s="94" t="s">
        <v>187</v>
      </c>
      <c r="F19" s="89"/>
      <c r="G19" s="89"/>
      <c r="H19" s="27">
        <v>50900</v>
      </c>
      <c r="I19" s="27"/>
      <c r="J19" s="27"/>
      <c r="K19" s="27"/>
      <c r="L19" s="27"/>
      <c r="M19" s="32"/>
      <c r="N19" s="27"/>
      <c r="O19" s="27"/>
      <c r="P19" s="26"/>
      <c r="Q19" s="26"/>
      <c r="R19" s="26"/>
      <c r="S19" s="54">
        <v>50900</v>
      </c>
      <c r="T19" s="55">
        <f t="shared" si="0"/>
        <v>50900</v>
      </c>
      <c r="U19" s="146"/>
      <c r="X19" s="258">
        <f t="shared" si="1"/>
        <v>0</v>
      </c>
    </row>
    <row r="20" spans="1:24" ht="15.75" customHeight="1">
      <c r="A20" s="47">
        <v>45856</v>
      </c>
      <c r="B20" s="23">
        <v>50360</v>
      </c>
      <c r="C20" s="24" t="s">
        <v>188</v>
      </c>
      <c r="D20" s="90" t="s">
        <v>189</v>
      </c>
      <c r="E20" s="94" t="s">
        <v>190</v>
      </c>
      <c r="F20" s="89"/>
      <c r="G20" s="89"/>
      <c r="H20" s="27"/>
      <c r="I20" s="27"/>
      <c r="J20" s="27"/>
      <c r="K20" s="27"/>
      <c r="L20" s="27">
        <v>152800</v>
      </c>
      <c r="M20" s="32"/>
      <c r="N20" s="27"/>
      <c r="O20" s="27"/>
      <c r="P20" s="26"/>
      <c r="Q20" s="26"/>
      <c r="R20" s="26"/>
      <c r="S20" s="54">
        <v>152800</v>
      </c>
      <c r="T20" s="55">
        <f t="shared" si="0"/>
        <v>152800</v>
      </c>
      <c r="U20" s="146"/>
      <c r="X20" s="258">
        <f t="shared" si="1"/>
        <v>0</v>
      </c>
    </row>
    <row r="21" spans="1:24" ht="15.75" customHeight="1">
      <c r="A21" s="47">
        <v>45856</v>
      </c>
      <c r="B21" s="23">
        <v>50361</v>
      </c>
      <c r="C21" s="24" t="s">
        <v>191</v>
      </c>
      <c r="D21" s="90" t="s">
        <v>192</v>
      </c>
      <c r="E21" s="94" t="s">
        <v>193</v>
      </c>
      <c r="F21" s="89"/>
      <c r="G21" s="89"/>
      <c r="H21" s="27"/>
      <c r="I21" s="27"/>
      <c r="J21" s="27">
        <v>204400</v>
      </c>
      <c r="K21" s="27"/>
      <c r="L21" s="27"/>
      <c r="M21" s="32"/>
      <c r="N21" s="27"/>
      <c r="O21" s="27"/>
      <c r="P21" s="26"/>
      <c r="Q21" s="26"/>
      <c r="R21" s="26"/>
      <c r="S21" s="54">
        <v>204400</v>
      </c>
      <c r="T21" s="55">
        <f t="shared" si="0"/>
        <v>204400</v>
      </c>
      <c r="U21" s="575"/>
      <c r="X21" s="258">
        <f t="shared" si="1"/>
        <v>0</v>
      </c>
    </row>
    <row r="22" spans="1:24" ht="15.75" customHeight="1">
      <c r="A22" s="47">
        <v>45856</v>
      </c>
      <c r="B22" s="23">
        <v>50362</v>
      </c>
      <c r="C22" s="24" t="s">
        <v>194</v>
      </c>
      <c r="D22" s="90" t="s">
        <v>195</v>
      </c>
      <c r="E22" s="94" t="s">
        <v>196</v>
      </c>
      <c r="F22" s="89"/>
      <c r="G22" s="89"/>
      <c r="H22" s="27">
        <v>50700</v>
      </c>
      <c r="I22" s="27"/>
      <c r="J22" s="27"/>
      <c r="K22" s="27"/>
      <c r="L22" s="27"/>
      <c r="M22" s="32"/>
      <c r="N22" s="27"/>
      <c r="O22" s="27"/>
      <c r="P22" s="26"/>
      <c r="Q22" s="26"/>
      <c r="R22" s="26"/>
      <c r="S22" s="54">
        <v>50700</v>
      </c>
      <c r="T22" s="55">
        <f t="shared" si="0"/>
        <v>50700</v>
      </c>
      <c r="U22" s="576"/>
      <c r="X22" s="258">
        <f t="shared" si="1"/>
        <v>0</v>
      </c>
    </row>
    <row r="23" spans="1:24" ht="15.75" customHeight="1">
      <c r="A23" s="47">
        <v>45856</v>
      </c>
      <c r="B23" s="23">
        <v>2897</v>
      </c>
      <c r="C23" s="24" t="s">
        <v>197</v>
      </c>
      <c r="D23" s="90" t="s">
        <v>161</v>
      </c>
      <c r="E23" s="94" t="s">
        <v>198</v>
      </c>
      <c r="F23" s="89">
        <v>51400</v>
      </c>
      <c r="G23" s="89">
        <v>51400</v>
      </c>
      <c r="H23" s="27"/>
      <c r="I23" s="27"/>
      <c r="J23" s="27"/>
      <c r="K23" s="27"/>
      <c r="L23" s="27"/>
      <c r="M23" s="32"/>
      <c r="N23" s="27"/>
      <c r="O23" s="27">
        <v>51400</v>
      </c>
      <c r="P23" s="26"/>
      <c r="Q23" s="26"/>
      <c r="R23" s="26"/>
      <c r="S23" s="54">
        <v>51400</v>
      </c>
      <c r="T23" s="55">
        <f t="shared" si="0"/>
        <v>51400</v>
      </c>
      <c r="U23" s="146"/>
      <c r="X23" s="258">
        <f t="shared" si="1"/>
        <v>0</v>
      </c>
    </row>
    <row r="24" spans="1:24" ht="15.75" customHeight="1">
      <c r="A24" s="47">
        <v>45856</v>
      </c>
      <c r="B24" s="23" t="s">
        <v>199</v>
      </c>
      <c r="C24" s="24" t="s">
        <v>200</v>
      </c>
      <c r="D24" s="90" t="s">
        <v>201</v>
      </c>
      <c r="E24" s="94"/>
      <c r="F24" s="89">
        <v>150</v>
      </c>
      <c r="G24" s="89">
        <v>150</v>
      </c>
      <c r="H24" s="27"/>
      <c r="I24" s="27"/>
      <c r="J24" s="27"/>
      <c r="K24" s="27"/>
      <c r="L24" s="27"/>
      <c r="M24" s="32"/>
      <c r="N24" s="27"/>
      <c r="O24" s="27">
        <v>150</v>
      </c>
      <c r="P24" s="26"/>
      <c r="Q24" s="26"/>
      <c r="R24" s="26"/>
      <c r="S24" s="54">
        <v>150</v>
      </c>
      <c r="T24" s="55">
        <f t="shared" si="0"/>
        <v>150</v>
      </c>
      <c r="U24" s="146"/>
      <c r="X24" s="258">
        <f t="shared" si="1"/>
        <v>0</v>
      </c>
    </row>
    <row r="25" spans="1:24" ht="15.75" customHeight="1">
      <c r="A25" s="47">
        <v>45856</v>
      </c>
      <c r="B25" s="23">
        <v>50363</v>
      </c>
      <c r="C25" s="24" t="s">
        <v>202</v>
      </c>
      <c r="D25" s="90" t="s">
        <v>161</v>
      </c>
      <c r="E25" s="94" t="s">
        <v>203</v>
      </c>
      <c r="F25" s="89"/>
      <c r="G25" s="89"/>
      <c r="H25" s="27"/>
      <c r="I25" s="27"/>
      <c r="J25" s="27"/>
      <c r="K25" s="27"/>
      <c r="L25" s="27">
        <v>51300</v>
      </c>
      <c r="M25" s="32"/>
      <c r="N25" s="27"/>
      <c r="O25" s="27"/>
      <c r="P25" s="26"/>
      <c r="Q25" s="26"/>
      <c r="R25" s="26"/>
      <c r="S25" s="54">
        <v>51300</v>
      </c>
      <c r="T25" s="55">
        <f t="shared" si="0"/>
        <v>51300</v>
      </c>
      <c r="U25" s="146"/>
      <c r="X25" s="258">
        <f t="shared" si="1"/>
        <v>0</v>
      </c>
    </row>
    <row r="26" spans="1:24" ht="15.75" customHeight="1">
      <c r="A26" s="47">
        <v>45856</v>
      </c>
      <c r="B26" s="140">
        <v>50364</v>
      </c>
      <c r="C26" s="141" t="s">
        <v>101</v>
      </c>
      <c r="D26" s="90" t="s">
        <v>204</v>
      </c>
      <c r="E26" s="94" t="s">
        <v>205</v>
      </c>
      <c r="F26" s="89"/>
      <c r="G26" s="89"/>
      <c r="H26" s="27">
        <v>1200</v>
      </c>
      <c r="I26" s="27"/>
      <c r="J26" s="27"/>
      <c r="K26" s="27"/>
      <c r="L26" s="27"/>
      <c r="M26" s="32"/>
      <c r="N26" s="27"/>
      <c r="O26" s="27"/>
      <c r="P26" s="26"/>
      <c r="Q26" s="54">
        <v>1200</v>
      </c>
      <c r="R26" s="26"/>
      <c r="S26" s="54"/>
      <c r="T26" s="55">
        <f t="shared" si="0"/>
        <v>1200</v>
      </c>
      <c r="U26" s="146"/>
      <c r="X26" s="258">
        <f t="shared" si="1"/>
        <v>0</v>
      </c>
    </row>
    <row r="27" spans="1:24" ht="15.75" customHeight="1">
      <c r="A27" s="47">
        <v>45856</v>
      </c>
      <c r="B27" s="23">
        <v>50365</v>
      </c>
      <c r="C27" s="141" t="s">
        <v>101</v>
      </c>
      <c r="D27" s="90" t="s">
        <v>204</v>
      </c>
      <c r="E27" s="94" t="s">
        <v>206</v>
      </c>
      <c r="F27" s="89"/>
      <c r="G27" s="89"/>
      <c r="H27" s="27">
        <v>2100</v>
      </c>
      <c r="I27" s="27"/>
      <c r="J27" s="27"/>
      <c r="K27" s="27"/>
      <c r="L27" s="27"/>
      <c r="M27" s="32"/>
      <c r="N27" s="27"/>
      <c r="O27" s="27"/>
      <c r="P27" s="26"/>
      <c r="Q27" s="54">
        <v>2100</v>
      </c>
      <c r="R27" s="26"/>
      <c r="S27" s="54"/>
      <c r="T27" s="55">
        <f t="shared" si="0"/>
        <v>2100</v>
      </c>
      <c r="U27" s="146"/>
      <c r="X27" s="258">
        <f t="shared" si="1"/>
        <v>0</v>
      </c>
    </row>
    <row r="28" spans="1:24" ht="15.75" customHeight="1">
      <c r="A28" s="47">
        <v>45856</v>
      </c>
      <c r="B28" s="23">
        <v>50366</v>
      </c>
      <c r="C28" s="141" t="s">
        <v>101</v>
      </c>
      <c r="D28" s="90" t="s">
        <v>204</v>
      </c>
      <c r="E28" s="94" t="s">
        <v>206</v>
      </c>
      <c r="F28" s="89"/>
      <c r="G28" s="89"/>
      <c r="H28" s="27">
        <v>49300</v>
      </c>
      <c r="I28" s="27"/>
      <c r="J28" s="27"/>
      <c r="K28" s="27"/>
      <c r="L28" s="27"/>
      <c r="M28" s="32"/>
      <c r="N28" s="27"/>
      <c r="O28" s="27"/>
      <c r="P28" s="26"/>
      <c r="Q28" s="54">
        <v>49300</v>
      </c>
      <c r="R28" s="26"/>
      <c r="S28" s="54"/>
      <c r="T28" s="55">
        <f t="shared" si="0"/>
        <v>49300</v>
      </c>
      <c r="U28" s="146"/>
      <c r="X28" s="258">
        <f t="shared" si="1"/>
        <v>0</v>
      </c>
    </row>
    <row r="29" spans="1:24" ht="15.75" customHeight="1">
      <c r="A29" s="47">
        <v>45856</v>
      </c>
      <c r="B29" s="23">
        <v>50367</v>
      </c>
      <c r="C29" s="130" t="s">
        <v>207</v>
      </c>
      <c r="D29" s="90" t="s">
        <v>161</v>
      </c>
      <c r="E29" s="94" t="s">
        <v>208</v>
      </c>
      <c r="F29" s="89"/>
      <c r="G29" s="89"/>
      <c r="H29" s="27"/>
      <c r="I29" s="27">
        <v>51300</v>
      </c>
      <c r="J29" s="27"/>
      <c r="K29" s="27"/>
      <c r="L29" s="27"/>
      <c r="M29" s="32"/>
      <c r="N29" s="27"/>
      <c r="O29" s="27"/>
      <c r="P29" s="26"/>
      <c r="Q29" s="26"/>
      <c r="R29" s="26"/>
      <c r="S29" s="54">
        <v>51300</v>
      </c>
      <c r="T29" s="55">
        <f t="shared" si="0"/>
        <v>51300</v>
      </c>
      <c r="U29" s="146"/>
      <c r="X29" s="258">
        <f t="shared" si="1"/>
        <v>0</v>
      </c>
    </row>
    <row r="30" spans="1:24" ht="15.75" customHeight="1">
      <c r="A30" s="47">
        <v>45856</v>
      </c>
      <c r="B30" s="23">
        <v>50372</v>
      </c>
      <c r="C30" s="24" t="s">
        <v>75</v>
      </c>
      <c r="D30" s="90" t="s">
        <v>161</v>
      </c>
      <c r="E30" s="94" t="s">
        <v>209</v>
      </c>
      <c r="F30" s="89"/>
      <c r="G30" s="89"/>
      <c r="H30" s="27">
        <v>50000</v>
      </c>
      <c r="I30" s="27"/>
      <c r="J30" s="27"/>
      <c r="K30" s="27"/>
      <c r="L30" s="27"/>
      <c r="M30" s="32"/>
      <c r="N30" s="27"/>
      <c r="O30" s="27"/>
      <c r="P30" s="26"/>
      <c r="Q30" s="26"/>
      <c r="R30" s="26"/>
      <c r="S30" s="54">
        <v>50000</v>
      </c>
      <c r="T30" s="55">
        <f t="shared" si="0"/>
        <v>50000</v>
      </c>
      <c r="U30" s="146"/>
      <c r="X30" s="258">
        <f t="shared" si="1"/>
        <v>0</v>
      </c>
    </row>
    <row r="31" spans="1:24" ht="15.75" customHeight="1">
      <c r="A31" s="47">
        <v>45856</v>
      </c>
      <c r="B31" s="23">
        <v>50372</v>
      </c>
      <c r="C31" s="24" t="s">
        <v>75</v>
      </c>
      <c r="D31" s="90" t="s">
        <v>161</v>
      </c>
      <c r="E31" s="107" t="s">
        <v>209</v>
      </c>
      <c r="F31" s="89"/>
      <c r="G31" s="89"/>
      <c r="H31" s="27"/>
      <c r="I31" s="27"/>
      <c r="J31" s="27"/>
      <c r="K31" s="27"/>
      <c r="L31" s="77"/>
      <c r="M31" s="32">
        <v>1150</v>
      </c>
      <c r="N31" s="26"/>
      <c r="O31" s="27"/>
      <c r="P31" s="26"/>
      <c r="Q31" s="26"/>
      <c r="R31" s="26"/>
      <c r="S31" s="54">
        <v>1150</v>
      </c>
      <c r="T31" s="55">
        <f t="shared" si="0"/>
        <v>1150</v>
      </c>
      <c r="U31" s="146"/>
      <c r="X31" s="258">
        <f t="shared" si="1"/>
        <v>0</v>
      </c>
    </row>
    <row r="32" spans="1:24" ht="15.75" customHeight="1">
      <c r="A32" s="47">
        <v>45856</v>
      </c>
      <c r="B32" s="23">
        <v>50373</v>
      </c>
      <c r="C32" s="24" t="s">
        <v>210</v>
      </c>
      <c r="D32" s="90" t="s">
        <v>161</v>
      </c>
      <c r="E32" s="94" t="s">
        <v>211</v>
      </c>
      <c r="F32" s="89"/>
      <c r="G32" s="89"/>
      <c r="H32" s="27"/>
      <c r="I32" s="27"/>
      <c r="J32" s="27"/>
      <c r="K32" s="27"/>
      <c r="L32" s="27">
        <v>51250</v>
      </c>
      <c r="M32" s="32"/>
      <c r="N32" s="27"/>
      <c r="O32" s="27"/>
      <c r="P32" s="26"/>
      <c r="Q32" s="26"/>
      <c r="R32" s="26"/>
      <c r="S32" s="54">
        <v>51250</v>
      </c>
      <c r="T32" s="55">
        <f t="shared" si="0"/>
        <v>51250</v>
      </c>
      <c r="U32" s="146"/>
      <c r="X32" s="258">
        <f t="shared" si="1"/>
        <v>0</v>
      </c>
    </row>
    <row r="33" spans="1:24" ht="15.75" customHeight="1">
      <c r="A33" s="47">
        <v>45856</v>
      </c>
      <c r="B33" s="23" t="s">
        <v>212</v>
      </c>
      <c r="C33" s="130" t="s">
        <v>194</v>
      </c>
      <c r="D33" s="90" t="s">
        <v>213</v>
      </c>
      <c r="E33" s="94"/>
      <c r="F33" s="89"/>
      <c r="G33" s="89"/>
      <c r="H33" s="27">
        <v>150</v>
      </c>
      <c r="I33" s="27"/>
      <c r="J33" s="27"/>
      <c r="K33" s="27"/>
      <c r="L33" s="27"/>
      <c r="M33" s="32"/>
      <c r="N33" s="27"/>
      <c r="O33" s="27"/>
      <c r="P33" s="26"/>
      <c r="Q33" s="26"/>
      <c r="R33" s="26"/>
      <c r="S33" s="54">
        <v>150</v>
      </c>
      <c r="T33" s="55">
        <f t="shared" si="0"/>
        <v>150</v>
      </c>
      <c r="U33" s="310"/>
      <c r="X33" s="258">
        <f t="shared" si="1"/>
        <v>0</v>
      </c>
    </row>
    <row r="34" spans="1:24" ht="15.75" customHeight="1">
      <c r="A34" s="47">
        <v>45856</v>
      </c>
      <c r="B34" s="23">
        <v>50378</v>
      </c>
      <c r="C34" s="24" t="s">
        <v>214</v>
      </c>
      <c r="D34" s="90" t="s">
        <v>215</v>
      </c>
      <c r="E34" s="94" t="s">
        <v>216</v>
      </c>
      <c r="F34" s="89"/>
      <c r="G34" s="89"/>
      <c r="H34" s="27"/>
      <c r="I34" s="27"/>
      <c r="J34" s="27"/>
      <c r="K34" s="27"/>
      <c r="L34" s="27">
        <v>153250</v>
      </c>
      <c r="M34" s="32"/>
      <c r="N34" s="27"/>
      <c r="O34" s="27"/>
      <c r="P34" s="26"/>
      <c r="Q34" s="26"/>
      <c r="R34" s="26"/>
      <c r="S34" s="54">
        <v>153250</v>
      </c>
      <c r="T34" s="55">
        <f t="shared" si="0"/>
        <v>153250</v>
      </c>
      <c r="U34" s="310"/>
      <c r="X34" s="258"/>
    </row>
    <row r="35" spans="1:24" ht="15.75" customHeight="1">
      <c r="A35" s="47">
        <v>45856</v>
      </c>
      <c r="B35" s="23">
        <v>50380</v>
      </c>
      <c r="C35" s="24" t="s">
        <v>155</v>
      </c>
      <c r="D35" s="90" t="s">
        <v>161</v>
      </c>
      <c r="E35" s="94" t="s">
        <v>217</v>
      </c>
      <c r="F35" s="89"/>
      <c r="G35" s="89"/>
      <c r="H35" s="27"/>
      <c r="I35" s="27"/>
      <c r="J35" s="27"/>
      <c r="K35" s="27"/>
      <c r="L35" s="27">
        <v>51050</v>
      </c>
      <c r="M35" s="32"/>
      <c r="N35" s="27"/>
      <c r="O35" s="27"/>
      <c r="P35" s="26"/>
      <c r="Q35" s="26"/>
      <c r="R35" s="26"/>
      <c r="S35" s="54">
        <v>51050</v>
      </c>
      <c r="T35" s="55">
        <f>Q35+S35</f>
        <v>51050</v>
      </c>
      <c r="U35" s="310"/>
      <c r="X35" s="258"/>
    </row>
    <row r="36" spans="1:24" ht="15.75" customHeight="1">
      <c r="A36" s="47">
        <v>45856</v>
      </c>
      <c r="B36" s="23">
        <v>50381</v>
      </c>
      <c r="C36" s="24" t="s">
        <v>72</v>
      </c>
      <c r="D36" s="90" t="s">
        <v>218</v>
      </c>
      <c r="E36" s="94" t="s">
        <v>219</v>
      </c>
      <c r="F36" s="89"/>
      <c r="G36" s="89"/>
      <c r="H36" s="27">
        <v>50000</v>
      </c>
      <c r="I36" s="27"/>
      <c r="J36" s="27"/>
      <c r="K36" s="27"/>
      <c r="L36" s="27"/>
      <c r="M36" s="32"/>
      <c r="N36" s="27"/>
      <c r="O36" s="27"/>
      <c r="P36" s="26"/>
      <c r="Q36" s="26"/>
      <c r="R36" s="26"/>
      <c r="S36" s="54">
        <v>50000</v>
      </c>
      <c r="T36" s="55">
        <f t="shared" si="0"/>
        <v>50000</v>
      </c>
      <c r="U36" s="310"/>
      <c r="X36" s="258"/>
    </row>
    <row r="37" spans="1:24" ht="15.75" customHeight="1">
      <c r="A37" s="47">
        <v>45856</v>
      </c>
      <c r="B37" s="23">
        <v>50382</v>
      </c>
      <c r="C37" s="24" t="s">
        <v>220</v>
      </c>
      <c r="D37" s="90" t="s">
        <v>221</v>
      </c>
      <c r="E37" s="94" t="s">
        <v>222</v>
      </c>
      <c r="F37" s="89"/>
      <c r="G37" s="89"/>
      <c r="H37" s="27"/>
      <c r="I37" s="27"/>
      <c r="J37" s="27"/>
      <c r="K37" s="27"/>
      <c r="L37" s="27">
        <v>25525</v>
      </c>
      <c r="M37" s="32"/>
      <c r="N37" s="27"/>
      <c r="O37" s="27"/>
      <c r="P37" s="26"/>
      <c r="Q37" s="26"/>
      <c r="R37" s="26"/>
      <c r="S37" s="54">
        <v>25525</v>
      </c>
      <c r="T37" s="55">
        <f t="shared" si="0"/>
        <v>25525</v>
      </c>
      <c r="U37" s="310"/>
      <c r="X37" s="258"/>
    </row>
    <row r="38" spans="1:24" ht="15.75" customHeight="1">
      <c r="A38" s="47">
        <v>45856</v>
      </c>
      <c r="B38" s="23">
        <v>50384</v>
      </c>
      <c r="C38" s="24" t="s">
        <v>153</v>
      </c>
      <c r="D38" s="90" t="s">
        <v>223</v>
      </c>
      <c r="E38" s="94" t="s">
        <v>224</v>
      </c>
      <c r="F38" s="89"/>
      <c r="G38" s="89"/>
      <c r="H38" s="27">
        <v>101600</v>
      </c>
      <c r="I38" s="27"/>
      <c r="J38" s="27"/>
      <c r="K38" s="27"/>
      <c r="L38" s="27"/>
      <c r="M38" s="32"/>
      <c r="N38" s="27"/>
      <c r="O38" s="27"/>
      <c r="P38" s="26"/>
      <c r="Q38" s="26"/>
      <c r="R38" s="26"/>
      <c r="S38" s="54">
        <v>101600</v>
      </c>
      <c r="T38" s="55">
        <f t="shared" si="0"/>
        <v>101600</v>
      </c>
      <c r="U38" s="310"/>
      <c r="X38" s="258"/>
    </row>
    <row r="39" spans="1:24" ht="15.75" customHeight="1">
      <c r="A39" s="47">
        <v>45856</v>
      </c>
      <c r="B39" s="23">
        <v>50389</v>
      </c>
      <c r="C39" s="30" t="s">
        <v>225</v>
      </c>
      <c r="D39" s="25" t="s">
        <v>226</v>
      </c>
      <c r="E39" s="134" t="s">
        <v>227</v>
      </c>
      <c r="F39" s="135"/>
      <c r="G39" s="26"/>
      <c r="H39" s="27"/>
      <c r="I39" s="27"/>
      <c r="J39" s="27"/>
      <c r="K39" s="27"/>
      <c r="L39" s="27">
        <v>51350</v>
      </c>
      <c r="M39" s="27"/>
      <c r="N39" s="27"/>
      <c r="O39" s="27"/>
      <c r="P39" s="27"/>
      <c r="Q39" s="26"/>
      <c r="R39" s="26"/>
      <c r="S39" s="26">
        <v>51350</v>
      </c>
      <c r="T39" s="119">
        <f t="shared" si="0"/>
        <v>51350</v>
      </c>
      <c r="U39" s="55">
        <f t="shared" si="0"/>
        <v>51350</v>
      </c>
      <c r="V39" s="285"/>
      <c r="X39" s="57"/>
    </row>
    <row r="40" spans="1:24" ht="15.75" customHeight="1">
      <c r="A40" s="47"/>
      <c r="B40" s="23"/>
      <c r="C40" s="24"/>
      <c r="D40" s="90"/>
      <c r="E40" s="94"/>
      <c r="F40" s="89"/>
      <c r="G40" s="89"/>
      <c r="H40" s="27"/>
      <c r="I40" s="27"/>
      <c r="J40" s="27"/>
      <c r="K40" s="27"/>
      <c r="L40" s="27"/>
      <c r="M40" s="32"/>
      <c r="N40" s="27"/>
      <c r="O40" s="27"/>
      <c r="P40" s="26"/>
      <c r="Q40" s="26"/>
      <c r="R40" s="26"/>
      <c r="S40" s="54"/>
      <c r="T40" s="55">
        <f t="shared" si="0"/>
        <v>0</v>
      </c>
      <c r="U40" s="310"/>
      <c r="X40" s="258"/>
    </row>
    <row r="41" spans="1:24" ht="15.75" customHeight="1">
      <c r="A41" s="47"/>
      <c r="B41" s="23"/>
      <c r="C41" s="24"/>
      <c r="D41" s="90"/>
      <c r="E41" s="94"/>
      <c r="F41" s="89"/>
      <c r="G41" s="89"/>
      <c r="H41" s="27"/>
      <c r="I41" s="27"/>
      <c r="J41" s="27"/>
      <c r="K41" s="27"/>
      <c r="L41" s="27"/>
      <c r="M41" s="32"/>
      <c r="N41" s="27"/>
      <c r="O41" s="27"/>
      <c r="P41" s="26"/>
      <c r="Q41" s="26"/>
      <c r="R41" s="26"/>
      <c r="S41" s="54"/>
      <c r="T41" s="55">
        <f t="shared" si="0"/>
        <v>0</v>
      </c>
      <c r="U41" s="310"/>
      <c r="X41" s="258"/>
    </row>
    <row r="42" spans="1:24" ht="15.75" customHeight="1">
      <c r="A42" s="47"/>
      <c r="B42" s="23"/>
      <c r="C42" s="24"/>
      <c r="D42" s="90"/>
      <c r="E42" s="94"/>
      <c r="F42" s="89"/>
      <c r="G42" s="89"/>
      <c r="H42" s="27"/>
      <c r="I42" s="27"/>
      <c r="J42" s="27"/>
      <c r="K42" s="27"/>
      <c r="L42" s="27"/>
      <c r="M42" s="32"/>
      <c r="N42" s="27"/>
      <c r="O42" s="27"/>
      <c r="P42" s="26"/>
      <c r="Q42" s="26"/>
      <c r="R42" s="26"/>
      <c r="S42" s="54"/>
      <c r="T42" s="55">
        <f t="shared" si="0"/>
        <v>0</v>
      </c>
      <c r="U42" s="310"/>
      <c r="X42" s="258"/>
    </row>
    <row r="43" spans="1:24" ht="15.75" customHeight="1">
      <c r="A43" s="47"/>
      <c r="B43" s="23"/>
      <c r="C43" s="24"/>
      <c r="D43" s="90"/>
      <c r="E43" s="94"/>
      <c r="F43" s="89"/>
      <c r="G43" s="89"/>
      <c r="H43" s="27"/>
      <c r="I43" s="27"/>
      <c r="J43" s="27"/>
      <c r="K43" s="27"/>
      <c r="L43" s="27"/>
      <c r="M43" s="32"/>
      <c r="N43" s="27"/>
      <c r="O43" s="27"/>
      <c r="P43" s="26"/>
      <c r="Q43" s="26"/>
      <c r="R43" s="26"/>
      <c r="S43" s="54"/>
      <c r="T43" s="55">
        <f t="shared" si="0"/>
        <v>0</v>
      </c>
      <c r="U43" s="310"/>
      <c r="X43" s="258"/>
    </row>
    <row r="44" spans="1:24" ht="15.75" customHeight="1">
      <c r="A44" s="47"/>
      <c r="B44" s="23"/>
      <c r="C44" s="24"/>
      <c r="D44" s="90"/>
      <c r="E44" s="94"/>
      <c r="F44" s="89"/>
      <c r="G44" s="89"/>
      <c r="H44" s="27"/>
      <c r="I44" s="27"/>
      <c r="J44" s="27"/>
      <c r="K44" s="27"/>
      <c r="L44" s="27"/>
      <c r="M44" s="32"/>
      <c r="N44" s="27"/>
      <c r="O44" s="27"/>
      <c r="P44" s="26"/>
      <c r="Q44" s="26"/>
      <c r="R44" s="26"/>
      <c r="S44" s="54"/>
      <c r="T44" s="55">
        <f t="shared" si="0"/>
        <v>0</v>
      </c>
      <c r="U44" s="310"/>
      <c r="X44" s="258">
        <f t="shared" si="1"/>
        <v>0</v>
      </c>
    </row>
    <row r="45" spans="1:24" s="8" customFormat="1" ht="15.75" customHeight="1">
      <c r="A45" s="22"/>
      <c r="B45" s="23"/>
      <c r="C45" s="24"/>
      <c r="D45" s="90"/>
      <c r="E45" s="94"/>
      <c r="F45" s="89"/>
      <c r="G45" s="89"/>
      <c r="H45" s="27"/>
      <c r="I45" s="27"/>
      <c r="J45" s="27"/>
      <c r="K45" s="27"/>
      <c r="L45" s="27"/>
      <c r="M45" s="32"/>
      <c r="N45" s="27"/>
      <c r="O45" s="27"/>
      <c r="P45" s="26"/>
      <c r="Q45" s="26"/>
      <c r="R45" s="26"/>
      <c r="S45" s="54"/>
      <c r="T45" s="55">
        <f t="shared" ref="T45" si="2">Q45+S45</f>
        <v>0</v>
      </c>
      <c r="U45" s="310"/>
      <c r="X45" s="258">
        <f t="shared" si="1"/>
        <v>0</v>
      </c>
    </row>
    <row r="46" spans="1:24" s="8" customFormat="1" ht="15.75" customHeight="1">
      <c r="A46" s="95"/>
      <c r="B46" s="96"/>
      <c r="C46" s="97" t="s">
        <v>54</v>
      </c>
      <c r="D46" s="98"/>
      <c r="E46" s="99"/>
      <c r="F46" s="100">
        <f t="shared" ref="F46:T46" si="3">SUM(F7:F45)</f>
        <v>335325</v>
      </c>
      <c r="G46" s="100">
        <f t="shared" si="3"/>
        <v>335325</v>
      </c>
      <c r="H46" s="101">
        <f t="shared" si="3"/>
        <v>716600</v>
      </c>
      <c r="I46" s="101">
        <f t="shared" si="3"/>
        <v>51300</v>
      </c>
      <c r="J46" s="101">
        <f t="shared" si="3"/>
        <v>255500</v>
      </c>
      <c r="K46" s="101">
        <f t="shared" si="3"/>
        <v>100000</v>
      </c>
      <c r="L46" s="101">
        <f t="shared" si="3"/>
        <v>613100</v>
      </c>
      <c r="M46" s="142">
        <f t="shared" si="3"/>
        <v>1150</v>
      </c>
      <c r="N46" s="102">
        <f t="shared" si="3"/>
        <v>0</v>
      </c>
      <c r="O46" s="101">
        <f t="shared" si="3"/>
        <v>51550</v>
      </c>
      <c r="P46" s="101">
        <f t="shared" si="3"/>
        <v>0</v>
      </c>
      <c r="Q46" s="101">
        <f t="shared" si="3"/>
        <v>128700</v>
      </c>
      <c r="R46" s="101">
        <f t="shared" si="3"/>
        <v>0</v>
      </c>
      <c r="S46" s="101">
        <f t="shared" si="3"/>
        <v>1660500</v>
      </c>
      <c r="T46" s="104">
        <f t="shared" si="3"/>
        <v>1789200</v>
      </c>
      <c r="U46" s="105"/>
      <c r="X46" s="258">
        <f>F46+H46+I46+J46+K46+L46+M46+N46+O46+P46+R46-G46-Q46-S46</f>
        <v>0</v>
      </c>
    </row>
    <row r="47" spans="1:24" s="8" customFormat="1" ht="15.75" customHeight="1">
      <c r="A47" s="67"/>
      <c r="B47" s="68"/>
      <c r="D47" s="69"/>
      <c r="E47" s="70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84"/>
      <c r="T47" s="80"/>
    </row>
    <row r="48" spans="1:24" s="8" customFormat="1" ht="15.75" customHeight="1">
      <c r="A48" s="72" t="s">
        <v>55</v>
      </c>
      <c r="B48" s="68"/>
      <c r="D48" s="69"/>
      <c r="E48" s="70"/>
      <c r="J48" s="71"/>
      <c r="K48" s="79" t="s">
        <v>56</v>
      </c>
      <c r="L48" s="71"/>
      <c r="M48" s="71"/>
      <c r="N48" s="71"/>
      <c r="P48" s="79"/>
      <c r="R48" s="79" t="s">
        <v>57</v>
      </c>
      <c r="S48" s="85"/>
      <c r="T48" s="80">
        <f>F46+H46+I46+J46+K46+L46+M46+N46+O46</f>
        <v>2124525</v>
      </c>
    </row>
    <row r="49" spans="1:21" s="9" customFormat="1" ht="15.75" customHeight="1">
      <c r="A49" s="72"/>
      <c r="B49" s="68"/>
      <c r="C49" s="8"/>
      <c r="D49" s="69"/>
      <c r="E49" s="70"/>
      <c r="F49" s="8"/>
      <c r="G49" s="8"/>
      <c r="H49" s="8"/>
      <c r="I49" s="8"/>
      <c r="J49" s="71"/>
      <c r="K49" s="79"/>
      <c r="L49" s="71"/>
      <c r="M49" s="71"/>
      <c r="N49" s="71"/>
      <c r="O49" s="8"/>
      <c r="P49" s="79"/>
      <c r="Q49" s="8"/>
      <c r="R49" s="79" t="s">
        <v>58</v>
      </c>
      <c r="S49" s="85"/>
      <c r="T49" s="80">
        <f>G46+Q46+S46</f>
        <v>2124525</v>
      </c>
      <c r="U49" s="8"/>
    </row>
    <row r="50" spans="1:21" s="8" customFormat="1" ht="15.75" customHeight="1">
      <c r="A50" s="72"/>
      <c r="B50" s="68"/>
      <c r="D50" s="69"/>
      <c r="E50" s="70"/>
      <c r="J50" s="71"/>
      <c r="K50" s="79"/>
      <c r="L50" s="71"/>
      <c r="M50" s="71"/>
      <c r="N50" s="71"/>
      <c r="P50" s="79"/>
      <c r="R50" s="81" t="s">
        <v>59</v>
      </c>
      <c r="S50" s="86"/>
      <c r="T50" s="87">
        <f>T48-T49</f>
        <v>0</v>
      </c>
    </row>
    <row r="51" spans="1:21" ht="15.75" customHeight="1">
      <c r="A51" s="73" t="s">
        <v>60</v>
      </c>
      <c r="B51" s="74"/>
      <c r="C51" s="9"/>
      <c r="D51" s="75"/>
      <c r="E51" s="76"/>
      <c r="F51" s="9"/>
      <c r="G51" s="9"/>
      <c r="H51" s="9"/>
      <c r="I51" s="9"/>
      <c r="J51" s="80"/>
      <c r="K51" s="81" t="s">
        <v>61</v>
      </c>
      <c r="L51" s="80"/>
      <c r="M51" s="80"/>
      <c r="N51" s="80"/>
      <c r="O51" s="9"/>
      <c r="P51" s="81"/>
      <c r="Q51" s="81"/>
      <c r="R51" s="80"/>
      <c r="S51" s="86"/>
      <c r="T51" s="80"/>
      <c r="U51" s="9"/>
    </row>
    <row r="52" spans="1:21" ht="15.75" customHeight="1">
      <c r="A52" s="72" t="s">
        <v>62</v>
      </c>
      <c r="B52" s="68"/>
      <c r="C52" s="8"/>
      <c r="D52" s="69"/>
      <c r="E52" s="70"/>
      <c r="F52" s="8"/>
      <c r="G52" s="8"/>
      <c r="H52" s="8"/>
      <c r="I52" s="8"/>
      <c r="J52" s="71"/>
      <c r="K52" s="79" t="s">
        <v>63</v>
      </c>
      <c r="L52" s="71"/>
      <c r="M52" s="71"/>
      <c r="N52" s="71"/>
      <c r="O52" s="8"/>
      <c r="P52" s="79"/>
      <c r="Q52" s="71"/>
      <c r="R52" s="71"/>
      <c r="S52" s="85"/>
      <c r="T52" s="80"/>
      <c r="U52" s="8"/>
    </row>
  </sheetData>
  <autoFilter ref="A5:U46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7" showButton="0"/>
  </autoFilter>
  <mergeCells count="15">
    <mergeCell ref="U21:U22"/>
    <mergeCell ref="U5:U6"/>
    <mergeCell ref="A1:T1"/>
    <mergeCell ref="A2:T2"/>
    <mergeCell ref="H5:O5"/>
    <mergeCell ref="P5:Q5"/>
    <mergeCell ref="R5:S5"/>
    <mergeCell ref="A5:A6"/>
    <mergeCell ref="B5:B6"/>
    <mergeCell ref="C5:C6"/>
    <mergeCell ref="D5:D6"/>
    <mergeCell ref="E5:E6"/>
    <mergeCell ref="F5:F6"/>
    <mergeCell ref="G5:G6"/>
    <mergeCell ref="T5:T6"/>
  </mergeCells>
  <pageMargins left="0.25" right="0.25" top="0.5" bottom="0.25" header="0.3" footer="0.3"/>
  <pageSetup paperSize="14" scale="6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1"/>
  <sheetViews>
    <sheetView zoomScale="90" zoomScaleNormal="90" workbookViewId="0">
      <pane xSplit="2" ySplit="3" topLeftCell="C4" activePane="bottomRight" state="frozen"/>
      <selection pane="topRight"/>
      <selection pane="bottomLeft"/>
      <selection pane="bottomRight" activeCell="S7" sqref="S7:S11"/>
    </sheetView>
  </sheetViews>
  <sheetFormatPr defaultColWidth="9.140625" defaultRowHeight="15.75" customHeight="1"/>
  <cols>
    <col min="1" max="1" width="8" style="10" customWidth="1"/>
    <col min="2" max="2" width="10.28515625" style="11" customWidth="1"/>
    <col min="3" max="3" width="29" style="12" customWidth="1"/>
    <col min="4" max="4" width="31.5703125" style="13" customWidth="1"/>
    <col min="5" max="5" width="7.7109375" style="14" customWidth="1"/>
    <col min="6" max="7" width="9.7109375" style="15" customWidth="1"/>
    <col min="8" max="8" width="9.5703125" style="15" customWidth="1"/>
    <col min="9" max="11" width="7.42578125" style="15" customWidth="1"/>
    <col min="12" max="13" width="10" style="15" customWidth="1"/>
    <col min="14" max="14" width="7.7109375" style="15" customWidth="1"/>
    <col min="15" max="15" width="9.28515625" style="15" customWidth="1"/>
    <col min="16" max="18" width="8.7109375" style="15" customWidth="1"/>
    <col min="19" max="19" width="9.28515625" style="16" customWidth="1"/>
    <col min="20" max="20" width="12" style="17" customWidth="1"/>
    <col min="21" max="21" width="16.7109375" style="12" customWidth="1"/>
    <col min="22" max="16384" width="9.140625" style="12"/>
  </cols>
  <sheetData>
    <row r="1" spans="1:23" s="1" customFormat="1" ht="15.75" customHeight="1">
      <c r="A1" s="532" t="s">
        <v>0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</row>
    <row r="2" spans="1:23" s="2" customFormat="1" ht="15.75" customHeight="1">
      <c r="A2" s="533">
        <v>45857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</row>
    <row r="3" spans="1:23" s="3" customFormat="1" ht="15.75" customHeight="1">
      <c r="A3" s="18"/>
      <c r="B3" s="11"/>
      <c r="D3" s="19"/>
      <c r="E3" s="1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51"/>
      <c r="T3" s="52"/>
    </row>
    <row r="4" spans="1:23" ht="15.75" customHeight="1">
      <c r="A4" s="18"/>
      <c r="C4" s="3"/>
      <c r="D4" s="19"/>
      <c r="E4" s="1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51"/>
      <c r="T4" s="52"/>
      <c r="U4" s="3"/>
    </row>
    <row r="5" spans="1:23" ht="15.75" customHeight="1">
      <c r="A5" s="541" t="s">
        <v>1</v>
      </c>
      <c r="B5" s="543" t="s">
        <v>2</v>
      </c>
      <c r="C5" s="545" t="s">
        <v>3</v>
      </c>
      <c r="D5" s="547" t="s">
        <v>4</v>
      </c>
      <c r="E5" s="549" t="s">
        <v>5</v>
      </c>
      <c r="F5" s="551" t="s">
        <v>6</v>
      </c>
      <c r="G5" s="553" t="s">
        <v>7</v>
      </c>
      <c r="H5" s="534" t="s">
        <v>8</v>
      </c>
      <c r="I5" s="535"/>
      <c r="J5" s="535"/>
      <c r="K5" s="535"/>
      <c r="L5" s="535"/>
      <c r="M5" s="535"/>
      <c r="N5" s="535"/>
      <c r="O5" s="536"/>
      <c r="P5" s="537" t="s">
        <v>9</v>
      </c>
      <c r="Q5" s="538"/>
      <c r="R5" s="539" t="s">
        <v>10</v>
      </c>
      <c r="S5" s="540"/>
      <c r="T5" s="555" t="s">
        <v>11</v>
      </c>
      <c r="U5" s="530" t="s">
        <v>12</v>
      </c>
    </row>
    <row r="6" spans="1:23" ht="15.75" customHeight="1">
      <c r="A6" s="577"/>
      <c r="B6" s="578"/>
      <c r="C6" s="579"/>
      <c r="D6" s="580"/>
      <c r="E6" s="581"/>
      <c r="F6" s="582"/>
      <c r="G6" s="583"/>
      <c r="H6" s="266" t="s">
        <v>13</v>
      </c>
      <c r="I6" s="266" t="s">
        <v>14</v>
      </c>
      <c r="J6" s="266" t="s">
        <v>15</v>
      </c>
      <c r="K6" s="266" t="s">
        <v>228</v>
      </c>
      <c r="L6" s="266" t="s">
        <v>18</v>
      </c>
      <c r="M6" s="266" t="s">
        <v>16</v>
      </c>
      <c r="N6" s="266" t="s">
        <v>19</v>
      </c>
      <c r="O6" s="266" t="s">
        <v>21</v>
      </c>
      <c r="P6" s="267" t="s">
        <v>22</v>
      </c>
      <c r="Q6" s="267" t="s">
        <v>23</v>
      </c>
      <c r="R6" s="267" t="s">
        <v>22</v>
      </c>
      <c r="S6" s="268" t="s">
        <v>23</v>
      </c>
      <c r="T6" s="584"/>
      <c r="U6" s="531"/>
    </row>
    <row r="7" spans="1:23" ht="15.75" customHeight="1">
      <c r="A7" s="270" t="s">
        <v>229</v>
      </c>
      <c r="B7" s="271">
        <v>50368</v>
      </c>
      <c r="C7" s="272" t="s">
        <v>230</v>
      </c>
      <c r="D7" s="301" t="s">
        <v>231</v>
      </c>
      <c r="E7" s="273" t="s">
        <v>232</v>
      </c>
      <c r="F7" s="274">
        <v>76700</v>
      </c>
      <c r="G7" s="274">
        <v>76700</v>
      </c>
      <c r="H7" s="275"/>
      <c r="I7" s="275"/>
      <c r="J7" s="275"/>
      <c r="K7" s="275"/>
      <c r="L7" s="275"/>
      <c r="M7" s="275"/>
      <c r="N7" s="275"/>
      <c r="O7" s="275">
        <v>76700</v>
      </c>
      <c r="P7" s="274"/>
      <c r="Q7" s="274"/>
      <c r="R7" s="274"/>
      <c r="S7" s="279">
        <v>76700</v>
      </c>
      <c r="T7" s="55">
        <f t="shared" ref="T7" si="0">Q7+S7</f>
        <v>76700</v>
      </c>
      <c r="U7" s="269"/>
      <c r="W7" s="117">
        <f>F7+H7+I7+J7+L7+K7+M7+N7+O7+P7+R7-G7-Q7-S7</f>
        <v>0</v>
      </c>
    </row>
    <row r="8" spans="1:23" ht="15.75" customHeight="1">
      <c r="A8" s="47">
        <v>45857</v>
      </c>
      <c r="B8" s="262">
        <v>50369</v>
      </c>
      <c r="C8" s="263" t="s">
        <v>233</v>
      </c>
      <c r="D8" s="301" t="s">
        <v>73</v>
      </c>
      <c r="E8" s="264" t="s">
        <v>234</v>
      </c>
      <c r="F8" s="265">
        <v>51300</v>
      </c>
      <c r="G8" s="274">
        <v>51300</v>
      </c>
      <c r="H8" s="193"/>
      <c r="I8" s="193"/>
      <c r="J8" s="193"/>
      <c r="K8" s="193"/>
      <c r="L8" s="193"/>
      <c r="M8" s="193"/>
      <c r="N8" s="193"/>
      <c r="O8" s="193">
        <v>51300</v>
      </c>
      <c r="P8" s="192"/>
      <c r="Q8" s="192"/>
      <c r="R8" s="192"/>
      <c r="S8" s="280">
        <v>51300</v>
      </c>
      <c r="T8" s="55">
        <f>Q8+S8</f>
        <v>51300</v>
      </c>
      <c r="U8" s="276"/>
      <c r="W8" s="117">
        <f t="shared" ref="W8:W15" si="1">F8+H8+I8+J8+L8+K8+M8+N8+O8+P8+R8-G8-Q8-S8</f>
        <v>0</v>
      </c>
    </row>
    <row r="9" spans="1:23" ht="15.75" customHeight="1">
      <c r="A9" s="47">
        <v>45857</v>
      </c>
      <c r="B9" s="271">
        <v>50370</v>
      </c>
      <c r="C9" s="272" t="s">
        <v>235</v>
      </c>
      <c r="D9" s="301" t="s">
        <v>73</v>
      </c>
      <c r="E9" s="273" t="s">
        <v>236</v>
      </c>
      <c r="F9" s="274">
        <v>51300</v>
      </c>
      <c r="G9" s="274">
        <v>51300</v>
      </c>
      <c r="H9" s="275"/>
      <c r="I9" s="275"/>
      <c r="J9" s="275"/>
      <c r="K9" s="275"/>
      <c r="L9" s="275"/>
      <c r="M9" s="275"/>
      <c r="N9" s="275"/>
      <c r="O9" s="275">
        <v>51300</v>
      </c>
      <c r="P9" s="274"/>
      <c r="Q9" s="274"/>
      <c r="R9" s="274"/>
      <c r="S9" s="279">
        <v>51300</v>
      </c>
      <c r="T9" s="55">
        <f>Q9+S9</f>
        <v>51300</v>
      </c>
      <c r="U9" s="306"/>
      <c r="W9" s="117">
        <f t="shared" si="1"/>
        <v>0</v>
      </c>
    </row>
    <row r="10" spans="1:23" s="7" customFormat="1" ht="15.75" customHeight="1">
      <c r="A10" s="47">
        <v>45857</v>
      </c>
      <c r="B10" s="23">
        <v>50394</v>
      </c>
      <c r="C10" s="24" t="s">
        <v>237</v>
      </c>
      <c r="D10" s="301" t="s">
        <v>238</v>
      </c>
      <c r="E10" s="88" t="s">
        <v>239</v>
      </c>
      <c r="F10" s="89"/>
      <c r="G10" s="89"/>
      <c r="H10" s="27"/>
      <c r="I10" s="27"/>
      <c r="J10" s="27"/>
      <c r="K10" s="27"/>
      <c r="L10" s="27"/>
      <c r="M10" s="27"/>
      <c r="N10" s="27"/>
      <c r="O10" s="27">
        <v>37300</v>
      </c>
      <c r="P10" s="26"/>
      <c r="Q10" s="26"/>
      <c r="R10" s="26"/>
      <c r="S10" s="59">
        <v>37300</v>
      </c>
      <c r="T10" s="55">
        <f t="shared" ref="T10:T11" si="2">Q10+S10</f>
        <v>37300</v>
      </c>
      <c r="U10" s="557" t="s">
        <v>240</v>
      </c>
      <c r="W10" s="117">
        <f>F10+H10+I10+J10+L10+K10+M10+N10+O10+P10+R10-G10-Q10-S10</f>
        <v>0</v>
      </c>
    </row>
    <row r="11" spans="1:23" ht="15.75" customHeight="1">
      <c r="A11" s="47">
        <v>45857</v>
      </c>
      <c r="B11" s="29">
        <v>50395</v>
      </c>
      <c r="C11" s="30" t="s">
        <v>237</v>
      </c>
      <c r="D11" s="301" t="s">
        <v>238</v>
      </c>
      <c r="E11" s="91" t="s">
        <v>241</v>
      </c>
      <c r="F11" s="122"/>
      <c r="G11" s="122"/>
      <c r="H11" s="28"/>
      <c r="I11" s="28"/>
      <c r="J11" s="28"/>
      <c r="K11" s="28"/>
      <c r="L11" s="28"/>
      <c r="M11" s="28"/>
      <c r="N11" s="28"/>
      <c r="O11" s="28">
        <v>42620</v>
      </c>
      <c r="P11" s="49"/>
      <c r="Q11" s="49"/>
      <c r="R11" s="49"/>
      <c r="S11" s="216">
        <v>42620</v>
      </c>
      <c r="T11" s="55">
        <f t="shared" si="2"/>
        <v>42620</v>
      </c>
      <c r="U11" s="559"/>
      <c r="W11" s="117">
        <f t="shared" si="1"/>
        <v>0</v>
      </c>
    </row>
    <row r="12" spans="1:23" ht="15.75" customHeight="1">
      <c r="A12" s="47">
        <v>45857</v>
      </c>
      <c r="B12" s="23"/>
      <c r="C12" s="24"/>
      <c r="D12" s="90"/>
      <c r="E12" s="94"/>
      <c r="F12" s="89"/>
      <c r="G12" s="89"/>
      <c r="H12" s="27"/>
      <c r="I12" s="27"/>
      <c r="J12" s="27"/>
      <c r="K12" s="27"/>
      <c r="L12" s="27"/>
      <c r="M12" s="27"/>
      <c r="N12" s="27"/>
      <c r="O12" s="27"/>
      <c r="P12" s="26"/>
      <c r="Q12" s="26"/>
      <c r="R12" s="26"/>
      <c r="S12" s="54"/>
      <c r="T12" s="55">
        <f t="shared" ref="T12" si="3">F12</f>
        <v>0</v>
      </c>
      <c r="U12" s="308"/>
      <c r="W12" s="117">
        <f t="shared" si="1"/>
        <v>0</v>
      </c>
    </row>
    <row r="13" spans="1:23" s="4" customFormat="1" ht="15.75" customHeight="1">
      <c r="A13" s="22"/>
      <c r="B13" s="23"/>
      <c r="C13" s="24"/>
      <c r="D13" s="90"/>
      <c r="E13" s="94"/>
      <c r="F13" s="89"/>
      <c r="G13" s="89"/>
      <c r="H13" s="27"/>
      <c r="I13" s="27"/>
      <c r="J13" s="27"/>
      <c r="K13" s="27"/>
      <c r="L13" s="27"/>
      <c r="M13" s="27"/>
      <c r="N13" s="27"/>
      <c r="O13" s="27"/>
      <c r="P13" s="26"/>
      <c r="Q13" s="26"/>
      <c r="R13" s="26"/>
      <c r="S13" s="54"/>
      <c r="T13" s="55"/>
      <c r="U13" s="277"/>
      <c r="W13" s="117">
        <f t="shared" si="1"/>
        <v>0</v>
      </c>
    </row>
    <row r="14" spans="1:23" s="8" customFormat="1" ht="15.75" customHeight="1">
      <c r="A14" s="22"/>
      <c r="B14" s="23"/>
      <c r="C14" s="24"/>
      <c r="D14" s="90"/>
      <c r="E14" s="94"/>
      <c r="F14" s="89"/>
      <c r="G14" s="89"/>
      <c r="H14" s="27"/>
      <c r="I14" s="27"/>
      <c r="J14" s="27"/>
      <c r="K14" s="27"/>
      <c r="L14" s="27"/>
      <c r="M14" s="27"/>
      <c r="N14" s="27"/>
      <c r="O14" s="27"/>
      <c r="P14" s="26"/>
      <c r="Q14" s="26"/>
      <c r="R14" s="26"/>
      <c r="S14" s="54"/>
      <c r="T14" s="55"/>
      <c r="U14" s="278"/>
      <c r="W14" s="117">
        <f t="shared" si="1"/>
        <v>0</v>
      </c>
    </row>
    <row r="15" spans="1:23" s="8" customFormat="1" ht="15.75" customHeight="1">
      <c r="A15" s="95"/>
      <c r="B15" s="96"/>
      <c r="C15" s="97" t="s">
        <v>54</v>
      </c>
      <c r="D15" s="98"/>
      <c r="E15" s="99"/>
      <c r="F15" s="100">
        <f>SUM(F8:F14)</f>
        <v>102600</v>
      </c>
      <c r="G15" s="100">
        <f>SUM(G8:G14)</f>
        <v>102600</v>
      </c>
      <c r="H15" s="101">
        <f>SUM(H10:H14)</f>
        <v>0</v>
      </c>
      <c r="I15" s="101">
        <f>SUM(I10:I14)</f>
        <v>0</v>
      </c>
      <c r="J15" s="101">
        <f>SUM(J10:J14)</f>
        <v>0</v>
      </c>
      <c r="K15" s="101">
        <f>SUM(K10:K14)</f>
        <v>0</v>
      </c>
      <c r="L15" s="101">
        <f>SUM(L8:L14)</f>
        <v>0</v>
      </c>
      <c r="M15" s="101">
        <f>SUM(M10:M14)</f>
        <v>0</v>
      </c>
      <c r="N15" s="102">
        <f>SUM(N10:N14)</f>
        <v>0</v>
      </c>
      <c r="O15" s="101">
        <f>SUM(O8:O14)</f>
        <v>182520</v>
      </c>
      <c r="P15" s="101">
        <f>SUM(P10:P14)</f>
        <v>0</v>
      </c>
      <c r="Q15" s="101">
        <f>SUM(Q10:Q14)</f>
        <v>0</v>
      </c>
      <c r="R15" s="101">
        <f>SUM(R10:R14)</f>
        <v>0</v>
      </c>
      <c r="S15" s="101">
        <f>SUM(S8:S14)</f>
        <v>182520</v>
      </c>
      <c r="T15" s="104">
        <f>SUM(T8:T14)</f>
        <v>182520</v>
      </c>
      <c r="U15" s="147"/>
      <c r="W15" s="117">
        <f t="shared" si="1"/>
        <v>0</v>
      </c>
    </row>
    <row r="16" spans="1:23" s="8" customFormat="1" ht="15.75" customHeight="1">
      <c r="A16" s="67"/>
      <c r="B16" s="68"/>
      <c r="D16" s="69"/>
      <c r="E16" s="70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84"/>
      <c r="T16" s="80"/>
    </row>
    <row r="17" spans="1:21" s="8" customFormat="1" ht="15.75" customHeight="1">
      <c r="A17" s="72" t="s">
        <v>55</v>
      </c>
      <c r="B17" s="68"/>
      <c r="D17" s="69"/>
      <c r="E17" s="70"/>
      <c r="J17" s="71"/>
      <c r="K17" s="79" t="s">
        <v>56</v>
      </c>
      <c r="L17" s="71"/>
      <c r="M17" s="71"/>
      <c r="N17" s="71"/>
      <c r="P17" s="79"/>
      <c r="R17" s="79" t="s">
        <v>57</v>
      </c>
      <c r="S17" s="85"/>
      <c r="T17" s="80">
        <f>F15+H15+I15+J15+K15+L15+N15+O15+M15</f>
        <v>285120</v>
      </c>
    </row>
    <row r="18" spans="1:21" s="9" customFormat="1" ht="15.75" customHeight="1">
      <c r="A18" s="72"/>
      <c r="B18" s="68"/>
      <c r="C18" s="8"/>
      <c r="D18" s="69"/>
      <c r="E18" s="70"/>
      <c r="F18" s="8"/>
      <c r="G18" s="8"/>
      <c r="H18" s="8"/>
      <c r="I18" s="8"/>
      <c r="J18" s="71"/>
      <c r="K18" s="79"/>
      <c r="L18" s="71"/>
      <c r="M18" s="71"/>
      <c r="N18" s="71"/>
      <c r="O18" s="8"/>
      <c r="P18" s="79"/>
      <c r="Q18" s="8"/>
      <c r="R18" s="79" t="s">
        <v>58</v>
      </c>
      <c r="S18" s="85"/>
      <c r="T18" s="80">
        <f>G15+Q15+S15</f>
        <v>285120</v>
      </c>
      <c r="U18" s="8"/>
    </row>
    <row r="19" spans="1:21" s="8" customFormat="1" ht="15.75" customHeight="1">
      <c r="A19" s="72"/>
      <c r="B19" s="68"/>
      <c r="D19" s="69"/>
      <c r="E19" s="70"/>
      <c r="J19" s="71"/>
      <c r="K19" s="79"/>
      <c r="L19" s="71"/>
      <c r="M19" s="71"/>
      <c r="N19" s="71"/>
      <c r="P19" s="79"/>
      <c r="R19" s="81" t="s">
        <v>59</v>
      </c>
      <c r="S19" s="86"/>
      <c r="T19" s="87">
        <f>T17-T18</f>
        <v>0</v>
      </c>
    </row>
    <row r="20" spans="1:21" ht="15.75" customHeight="1">
      <c r="A20" s="73" t="s">
        <v>60</v>
      </c>
      <c r="B20" s="74"/>
      <c r="C20" s="9"/>
      <c r="D20" s="75"/>
      <c r="E20" s="76"/>
      <c r="F20" s="9"/>
      <c r="G20" s="9"/>
      <c r="H20" s="9"/>
      <c r="I20" s="9"/>
      <c r="J20" s="80"/>
      <c r="K20" s="81" t="s">
        <v>61</v>
      </c>
      <c r="L20" s="80"/>
      <c r="M20" s="80"/>
      <c r="N20" s="80"/>
      <c r="O20" s="9"/>
      <c r="P20" s="81"/>
      <c r="Q20" s="81"/>
      <c r="R20" s="80"/>
      <c r="S20" s="86"/>
      <c r="T20" s="80"/>
      <c r="U20" s="9"/>
    </row>
    <row r="21" spans="1:21" ht="15.75" customHeight="1">
      <c r="A21" s="72" t="s">
        <v>62</v>
      </c>
      <c r="B21" s="68"/>
      <c r="C21" s="8"/>
      <c r="D21" s="69"/>
      <c r="E21" s="70"/>
      <c r="F21" s="8"/>
      <c r="G21" s="8"/>
      <c r="H21" s="8"/>
      <c r="I21" s="8"/>
      <c r="J21" s="71"/>
      <c r="K21" s="79" t="s">
        <v>63</v>
      </c>
      <c r="L21" s="71"/>
      <c r="M21" s="71"/>
      <c r="N21" s="71"/>
      <c r="O21" s="8"/>
      <c r="P21" s="79"/>
      <c r="Q21" s="71"/>
      <c r="R21" s="71"/>
      <c r="S21" s="85"/>
      <c r="T21" s="80"/>
      <c r="U21" s="8"/>
    </row>
  </sheetData>
  <mergeCells count="15">
    <mergeCell ref="U10:U11"/>
    <mergeCell ref="U5:U6"/>
    <mergeCell ref="A1:T1"/>
    <mergeCell ref="A2:T2"/>
    <mergeCell ref="H5:O5"/>
    <mergeCell ref="P5:Q5"/>
    <mergeCell ref="R5:S5"/>
    <mergeCell ref="A5:A6"/>
    <mergeCell ref="B5:B6"/>
    <mergeCell ref="C5:C6"/>
    <mergeCell ref="D5:D6"/>
    <mergeCell ref="E5:E6"/>
    <mergeCell ref="F5:F6"/>
    <mergeCell ref="G5:G6"/>
    <mergeCell ref="T5:T6"/>
  </mergeCells>
  <pageMargins left="0.25" right="0.25" top="0.5" bottom="0.25" header="0.3" footer="0.3"/>
  <pageSetup paperSize="14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2"/>
  <sheetViews>
    <sheetView zoomScale="90" zoomScaleNormal="90" workbookViewId="0">
      <pane xSplit="2" ySplit="3" topLeftCell="C4" activePane="bottomRight" state="frozen"/>
      <selection pane="topRight"/>
      <selection pane="bottomLeft"/>
      <selection pane="bottomRight" activeCell="E15" sqref="E15"/>
    </sheetView>
  </sheetViews>
  <sheetFormatPr defaultColWidth="9.140625" defaultRowHeight="15.75" customHeight="1"/>
  <cols>
    <col min="1" max="1" width="8" style="10" customWidth="1"/>
    <col min="2" max="2" width="11.85546875" style="11" customWidth="1"/>
    <col min="3" max="3" width="30.42578125" style="12" customWidth="1"/>
    <col min="4" max="4" width="35" style="13" customWidth="1"/>
    <col min="5" max="5" width="7.7109375" style="14" customWidth="1"/>
    <col min="6" max="6" width="10.5703125" style="15" customWidth="1"/>
    <col min="7" max="7" width="10" style="15" customWidth="1"/>
    <col min="8" max="8" width="9.5703125" style="15" customWidth="1"/>
    <col min="9" max="10" width="7.42578125" style="15" customWidth="1"/>
    <col min="11" max="11" width="9.140625" style="15" customWidth="1"/>
    <col min="12" max="14" width="10" style="15" customWidth="1"/>
    <col min="15" max="15" width="7.7109375" style="15" customWidth="1"/>
    <col min="16" max="16" width="9.28515625" style="15" customWidth="1"/>
    <col min="17" max="19" width="8.7109375" style="15" customWidth="1"/>
    <col min="20" max="20" width="12.7109375" style="16" customWidth="1"/>
    <col min="21" max="21" width="12" style="17" customWidth="1"/>
    <col min="22" max="22" width="17.28515625" style="12" customWidth="1"/>
    <col min="23" max="16384" width="9.140625" style="12"/>
  </cols>
  <sheetData>
    <row r="1" spans="1:24" s="1" customFormat="1" ht="15.75" customHeight="1">
      <c r="A1" s="532" t="s">
        <v>0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</row>
    <row r="2" spans="1:24" s="2" customFormat="1" ht="15.75" customHeight="1">
      <c r="A2" s="533">
        <v>45859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</row>
    <row r="3" spans="1:24" s="3" customFormat="1" ht="15.75" customHeight="1">
      <c r="A3" s="18"/>
      <c r="B3" s="11"/>
      <c r="D3" s="19"/>
      <c r="E3" s="1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51"/>
      <c r="U3" s="52"/>
    </row>
    <row r="4" spans="1:24" ht="15.75" customHeight="1">
      <c r="A4" s="18"/>
      <c r="C4" s="3"/>
      <c r="D4" s="19"/>
      <c r="E4" s="12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51"/>
      <c r="U4" s="52"/>
      <c r="V4" s="3"/>
    </row>
    <row r="5" spans="1:24" ht="15.75" customHeight="1">
      <c r="A5" s="541" t="s">
        <v>1</v>
      </c>
      <c r="B5" s="543" t="s">
        <v>2</v>
      </c>
      <c r="C5" s="545" t="s">
        <v>3</v>
      </c>
      <c r="D5" s="547" t="s">
        <v>4</v>
      </c>
      <c r="E5" s="549" t="s">
        <v>5</v>
      </c>
      <c r="F5" s="551" t="s">
        <v>6</v>
      </c>
      <c r="G5" s="553" t="s">
        <v>7</v>
      </c>
      <c r="H5" s="534" t="s">
        <v>8</v>
      </c>
      <c r="I5" s="535"/>
      <c r="J5" s="535"/>
      <c r="K5" s="535"/>
      <c r="L5" s="535"/>
      <c r="M5" s="535"/>
      <c r="N5" s="535"/>
      <c r="O5" s="535"/>
      <c r="P5" s="536"/>
      <c r="Q5" s="537" t="s">
        <v>9</v>
      </c>
      <c r="R5" s="538"/>
      <c r="S5" s="539" t="s">
        <v>10</v>
      </c>
      <c r="T5" s="540"/>
      <c r="U5" s="555" t="s">
        <v>11</v>
      </c>
      <c r="V5" s="530" t="s">
        <v>12</v>
      </c>
    </row>
    <row r="6" spans="1:24" ht="15.75" customHeight="1">
      <c r="A6" s="542"/>
      <c r="B6" s="544"/>
      <c r="C6" s="546"/>
      <c r="D6" s="548"/>
      <c r="E6" s="561"/>
      <c r="F6" s="562"/>
      <c r="G6" s="554"/>
      <c r="H6" s="21" t="s">
        <v>13</v>
      </c>
      <c r="I6" s="21" t="s">
        <v>14</v>
      </c>
      <c r="J6" s="21" t="s">
        <v>15</v>
      </c>
      <c r="K6" s="21" t="s">
        <v>242</v>
      </c>
      <c r="L6" s="21" t="s">
        <v>18</v>
      </c>
      <c r="M6" s="21" t="s">
        <v>16</v>
      </c>
      <c r="N6" s="21" t="s">
        <v>20</v>
      </c>
      <c r="O6" s="21" t="s">
        <v>19</v>
      </c>
      <c r="P6" s="21" t="s">
        <v>21</v>
      </c>
      <c r="Q6" s="48" t="s">
        <v>22</v>
      </c>
      <c r="R6" s="48" t="s">
        <v>23</v>
      </c>
      <c r="S6" s="48" t="s">
        <v>22</v>
      </c>
      <c r="T6" s="53" t="s">
        <v>23</v>
      </c>
      <c r="U6" s="556"/>
      <c r="V6" s="531"/>
    </row>
    <row r="7" spans="1:24" s="7" customFormat="1" ht="15.75" customHeight="1">
      <c r="A7" s="47">
        <v>45859</v>
      </c>
      <c r="B7" s="23">
        <v>308854</v>
      </c>
      <c r="C7" s="130" t="s">
        <v>243</v>
      </c>
      <c r="D7" s="126" t="s">
        <v>161</v>
      </c>
      <c r="E7" s="180" t="s">
        <v>244</v>
      </c>
      <c r="F7" s="135">
        <v>50950</v>
      </c>
      <c r="G7" s="26">
        <v>50950</v>
      </c>
      <c r="H7" s="27"/>
      <c r="I7" s="27"/>
      <c r="J7" s="27"/>
      <c r="K7" s="27"/>
      <c r="L7" s="27">
        <v>50950</v>
      </c>
      <c r="M7" s="27"/>
      <c r="N7" s="27"/>
      <c r="O7" s="27"/>
      <c r="P7" s="27"/>
      <c r="Q7" s="26"/>
      <c r="R7" s="26"/>
      <c r="S7" s="26"/>
      <c r="T7" s="54">
        <v>50950</v>
      </c>
      <c r="U7" s="55">
        <f>R7+T7</f>
        <v>50950</v>
      </c>
      <c r="V7" s="269"/>
      <c r="X7" s="57"/>
    </row>
    <row r="8" spans="1:24" ht="15.75" customHeight="1">
      <c r="A8" s="47">
        <v>45859</v>
      </c>
      <c r="B8" s="29">
        <v>308855</v>
      </c>
      <c r="C8" s="30" t="s">
        <v>245</v>
      </c>
      <c r="D8" s="126" t="s">
        <v>246</v>
      </c>
      <c r="E8" s="168" t="s">
        <v>247</v>
      </c>
      <c r="F8" s="183">
        <v>51300</v>
      </c>
      <c r="G8" s="181">
        <v>51300</v>
      </c>
      <c r="H8" s="28"/>
      <c r="I8" s="28"/>
      <c r="J8" s="28"/>
      <c r="K8" s="28"/>
      <c r="L8" s="28">
        <v>51300</v>
      </c>
      <c r="M8" s="28"/>
      <c r="N8" s="28"/>
      <c r="O8" s="28"/>
      <c r="P8" s="28"/>
      <c r="Q8" s="49"/>
      <c r="R8" s="49"/>
      <c r="S8" s="49"/>
      <c r="T8" s="33">
        <v>51300</v>
      </c>
      <c r="U8" s="55">
        <f t="shared" ref="U8:U35" si="0">R8+T8</f>
        <v>51300</v>
      </c>
      <c r="V8" s="283"/>
      <c r="X8" s="57"/>
    </row>
    <row r="9" spans="1:24" ht="15.75" customHeight="1">
      <c r="A9" s="47">
        <v>45859</v>
      </c>
      <c r="B9" s="29">
        <v>50374</v>
      </c>
      <c r="C9" s="249" t="s">
        <v>248</v>
      </c>
      <c r="D9" s="126" t="s">
        <v>246</v>
      </c>
      <c r="E9" s="281" t="s">
        <v>249</v>
      </c>
      <c r="F9" s="282">
        <v>50600</v>
      </c>
      <c r="G9" s="181">
        <v>50600</v>
      </c>
      <c r="H9" s="28"/>
      <c r="I9" s="28"/>
      <c r="J9" s="28"/>
      <c r="K9" s="28"/>
      <c r="L9" s="28">
        <v>50600</v>
      </c>
      <c r="M9" s="28"/>
      <c r="N9" s="28"/>
      <c r="O9" s="28"/>
      <c r="P9" s="28"/>
      <c r="Q9" s="49"/>
      <c r="R9" s="49"/>
      <c r="S9" s="49"/>
      <c r="T9" s="33">
        <v>50600</v>
      </c>
      <c r="U9" s="55">
        <f t="shared" si="0"/>
        <v>50600</v>
      </c>
      <c r="V9" s="284"/>
      <c r="X9" s="57"/>
    </row>
    <row r="10" spans="1:24" ht="15.75" customHeight="1">
      <c r="A10" s="47">
        <v>45859</v>
      </c>
      <c r="B10" s="29">
        <v>50375</v>
      </c>
      <c r="C10" s="249" t="s">
        <v>32</v>
      </c>
      <c r="D10" s="126" t="s">
        <v>250</v>
      </c>
      <c r="E10" s="281" t="s">
        <v>181</v>
      </c>
      <c r="F10" s="282"/>
      <c r="G10" s="181"/>
      <c r="H10" s="28"/>
      <c r="I10" s="28"/>
      <c r="J10" s="28"/>
      <c r="K10" s="170">
        <v>119300</v>
      </c>
      <c r="L10" s="28"/>
      <c r="M10" s="28"/>
      <c r="N10" s="28"/>
      <c r="O10" s="28"/>
      <c r="P10" s="181"/>
      <c r="Q10" s="49"/>
      <c r="R10" s="49"/>
      <c r="S10" s="49"/>
      <c r="T10" s="287">
        <v>119300</v>
      </c>
      <c r="U10" s="55">
        <f t="shared" si="0"/>
        <v>119300</v>
      </c>
      <c r="V10" s="284"/>
      <c r="X10" s="57"/>
    </row>
    <row r="11" spans="1:24" ht="15.75" customHeight="1">
      <c r="A11" s="47">
        <v>45859</v>
      </c>
      <c r="B11" s="29">
        <v>50376</v>
      </c>
      <c r="C11" s="249" t="s">
        <v>32</v>
      </c>
      <c r="D11" s="126" t="s">
        <v>251</v>
      </c>
      <c r="E11" s="281" t="s">
        <v>252</v>
      </c>
      <c r="F11" s="282"/>
      <c r="G11" s="181"/>
      <c r="H11" s="28"/>
      <c r="I11" s="28"/>
      <c r="J11" s="28"/>
      <c r="K11" s="28">
        <v>80700</v>
      </c>
      <c r="L11" s="28"/>
      <c r="M11" s="28"/>
      <c r="N11" s="28"/>
      <c r="O11" s="28"/>
      <c r="P11" s="181"/>
      <c r="Q11" s="49"/>
      <c r="R11" s="49"/>
      <c r="S11" s="49"/>
      <c r="T11" s="287">
        <v>80700</v>
      </c>
      <c r="U11" s="55">
        <f t="shared" si="0"/>
        <v>80700</v>
      </c>
      <c r="V11" s="284"/>
      <c r="X11" s="57"/>
    </row>
    <row r="12" spans="1:24" ht="15.75" customHeight="1">
      <c r="A12" s="47">
        <v>45859</v>
      </c>
      <c r="B12" s="23">
        <v>50379</v>
      </c>
      <c r="C12" s="24" t="s">
        <v>253</v>
      </c>
      <c r="D12" s="25" t="s">
        <v>254</v>
      </c>
      <c r="E12" s="134" t="s">
        <v>255</v>
      </c>
      <c r="F12" s="135"/>
      <c r="G12" s="26"/>
      <c r="H12" s="27">
        <v>152200</v>
      </c>
      <c r="I12" s="27"/>
      <c r="J12" s="27"/>
      <c r="K12" s="27"/>
      <c r="L12" s="27"/>
      <c r="M12" s="32"/>
      <c r="N12" s="27"/>
      <c r="O12" s="27"/>
      <c r="P12" s="26"/>
      <c r="Q12" s="26"/>
      <c r="R12" s="26"/>
      <c r="S12" s="59">
        <v>152200</v>
      </c>
      <c r="T12" s="119">
        <f t="shared" ref="T12:T21" si="1">Q12+S12</f>
        <v>152200</v>
      </c>
      <c r="U12" s="55">
        <f t="shared" si="0"/>
        <v>152200</v>
      </c>
      <c r="V12" s="152"/>
      <c r="X12" s="258"/>
    </row>
    <row r="13" spans="1:24" ht="15.75" customHeight="1">
      <c r="A13" s="47">
        <v>45859</v>
      </c>
      <c r="B13" s="23">
        <v>50380</v>
      </c>
      <c r="C13" s="24" t="s">
        <v>155</v>
      </c>
      <c r="D13" s="25" t="s">
        <v>161</v>
      </c>
      <c r="E13" s="134" t="s">
        <v>217</v>
      </c>
      <c r="F13" s="135"/>
      <c r="G13" s="26"/>
      <c r="H13" s="27"/>
      <c r="I13" s="27"/>
      <c r="J13" s="27"/>
      <c r="K13" s="27"/>
      <c r="L13" s="27">
        <v>51050</v>
      </c>
      <c r="M13" s="32"/>
      <c r="N13" s="27"/>
      <c r="O13" s="27"/>
      <c r="P13" s="26"/>
      <c r="Q13" s="26"/>
      <c r="R13" s="26"/>
      <c r="S13" s="54">
        <v>51050</v>
      </c>
      <c r="T13" s="119">
        <f>Q13+S13</f>
        <v>51050</v>
      </c>
      <c r="U13" s="55">
        <f t="shared" si="0"/>
        <v>51050</v>
      </c>
      <c r="V13" s="152"/>
      <c r="X13" s="258"/>
    </row>
    <row r="14" spans="1:24" ht="15.75" customHeight="1">
      <c r="A14" s="47">
        <v>45859</v>
      </c>
      <c r="B14" s="23">
        <v>50381</v>
      </c>
      <c r="C14" s="24" t="s">
        <v>72</v>
      </c>
      <c r="D14" s="25" t="s">
        <v>246</v>
      </c>
      <c r="E14" s="134" t="s">
        <v>219</v>
      </c>
      <c r="F14" s="135"/>
      <c r="G14" s="26"/>
      <c r="H14" s="27">
        <v>50000</v>
      </c>
      <c r="I14" s="27"/>
      <c r="J14" s="27"/>
      <c r="K14" s="27"/>
      <c r="L14" s="27"/>
      <c r="M14" s="32"/>
      <c r="N14" s="27"/>
      <c r="O14" s="27"/>
      <c r="P14" s="26"/>
      <c r="Q14" s="26"/>
      <c r="R14" s="26"/>
      <c r="S14" s="54">
        <v>50000</v>
      </c>
      <c r="T14" s="119">
        <f t="shared" si="1"/>
        <v>50000</v>
      </c>
      <c r="U14" s="55">
        <f t="shared" si="0"/>
        <v>50000</v>
      </c>
      <c r="V14" s="152"/>
      <c r="X14" s="258"/>
    </row>
    <row r="15" spans="1:24" ht="15.75" customHeight="1">
      <c r="A15" s="47">
        <v>45859</v>
      </c>
      <c r="B15" s="23">
        <v>50382</v>
      </c>
      <c r="C15" s="24" t="s">
        <v>220</v>
      </c>
      <c r="D15" s="25" t="s">
        <v>256</v>
      </c>
      <c r="E15" s="134" t="s">
        <v>222</v>
      </c>
      <c r="F15" s="135"/>
      <c r="G15" s="26"/>
      <c r="H15" s="27"/>
      <c r="I15" s="27"/>
      <c r="J15" s="27"/>
      <c r="K15" s="27"/>
      <c r="L15" s="27">
        <v>25525</v>
      </c>
      <c r="M15" s="32"/>
      <c r="N15" s="27"/>
      <c r="O15" s="27"/>
      <c r="P15" s="26"/>
      <c r="Q15" s="26"/>
      <c r="R15" s="26"/>
      <c r="S15" s="54">
        <v>25525</v>
      </c>
      <c r="T15" s="119">
        <f t="shared" si="1"/>
        <v>25525</v>
      </c>
      <c r="U15" s="55">
        <f t="shared" si="0"/>
        <v>25525</v>
      </c>
      <c r="V15" s="152"/>
      <c r="X15" s="258"/>
    </row>
    <row r="16" spans="1:24" ht="15.75" customHeight="1">
      <c r="A16" s="47">
        <v>45859</v>
      </c>
      <c r="B16" s="23">
        <v>50384</v>
      </c>
      <c r="C16" s="24" t="s">
        <v>153</v>
      </c>
      <c r="D16" s="25" t="s">
        <v>223</v>
      </c>
      <c r="E16" s="134" t="s">
        <v>224</v>
      </c>
      <c r="F16" s="135"/>
      <c r="G16" s="26"/>
      <c r="H16" s="27">
        <v>101600</v>
      </c>
      <c r="I16" s="27"/>
      <c r="J16" s="27"/>
      <c r="K16" s="27"/>
      <c r="L16" s="27"/>
      <c r="M16" s="32"/>
      <c r="N16" s="27"/>
      <c r="O16" s="27"/>
      <c r="P16" s="26"/>
      <c r="Q16" s="26"/>
      <c r="R16" s="26"/>
      <c r="S16" s="54">
        <v>101600</v>
      </c>
      <c r="T16" s="119">
        <f t="shared" si="1"/>
        <v>101600</v>
      </c>
      <c r="U16" s="55">
        <f t="shared" si="0"/>
        <v>101600</v>
      </c>
      <c r="V16" s="152"/>
      <c r="X16" s="258"/>
    </row>
    <row r="17" spans="1:24" ht="15.75" customHeight="1">
      <c r="A17" s="47">
        <v>45859</v>
      </c>
      <c r="B17" s="23">
        <v>50386</v>
      </c>
      <c r="C17" s="30" t="s">
        <v>257</v>
      </c>
      <c r="D17" s="25" t="s">
        <v>174</v>
      </c>
      <c r="E17" s="134" t="s">
        <v>258</v>
      </c>
      <c r="F17" s="135"/>
      <c r="G17" s="26"/>
      <c r="H17" s="27">
        <v>50750</v>
      </c>
      <c r="I17" s="27"/>
      <c r="J17" s="27"/>
      <c r="K17" s="27"/>
      <c r="L17" s="27"/>
      <c r="M17" s="27"/>
      <c r="N17" s="27"/>
      <c r="O17" s="27"/>
      <c r="P17" s="27"/>
      <c r="Q17" s="26"/>
      <c r="R17" s="26"/>
      <c r="S17" s="26">
        <v>50750</v>
      </c>
      <c r="T17" s="119">
        <f t="shared" si="1"/>
        <v>50750</v>
      </c>
      <c r="U17" s="55">
        <f t="shared" si="0"/>
        <v>50750</v>
      </c>
      <c r="V17" s="313"/>
      <c r="X17" s="57"/>
    </row>
    <row r="18" spans="1:24" ht="15.75" customHeight="1">
      <c r="A18" s="47">
        <v>45859</v>
      </c>
      <c r="B18" s="23">
        <v>50387</v>
      </c>
      <c r="C18" s="30" t="s">
        <v>259</v>
      </c>
      <c r="D18" s="25" t="s">
        <v>260</v>
      </c>
      <c r="E18" s="134" t="s">
        <v>261</v>
      </c>
      <c r="F18" s="135"/>
      <c r="G18" s="26"/>
      <c r="H18" s="27"/>
      <c r="I18" s="27"/>
      <c r="J18" s="27"/>
      <c r="K18" s="27"/>
      <c r="L18" s="27">
        <v>53600</v>
      </c>
      <c r="M18" s="27"/>
      <c r="N18" s="27"/>
      <c r="O18" s="27"/>
      <c r="P18" s="27"/>
      <c r="Q18" s="26"/>
      <c r="R18" s="26"/>
      <c r="S18" s="26">
        <v>53600</v>
      </c>
      <c r="T18" s="119">
        <f t="shared" si="1"/>
        <v>53600</v>
      </c>
      <c r="U18" s="55">
        <f t="shared" si="0"/>
        <v>53600</v>
      </c>
      <c r="V18" s="152"/>
      <c r="X18" s="57"/>
    </row>
    <row r="19" spans="1:24" ht="15.75" customHeight="1">
      <c r="A19" s="47">
        <v>45859</v>
      </c>
      <c r="B19" s="23">
        <v>50388</v>
      </c>
      <c r="C19" s="30" t="s">
        <v>262</v>
      </c>
      <c r="D19" s="25" t="s">
        <v>226</v>
      </c>
      <c r="E19" s="134" t="s">
        <v>263</v>
      </c>
      <c r="F19" s="135"/>
      <c r="G19" s="26"/>
      <c r="H19" s="27"/>
      <c r="I19" s="27"/>
      <c r="J19" s="27"/>
      <c r="K19" s="27"/>
      <c r="L19" s="27">
        <v>51300</v>
      </c>
      <c r="M19" s="27"/>
      <c r="N19" s="27"/>
      <c r="O19" s="27"/>
      <c r="P19" s="27"/>
      <c r="Q19" s="26"/>
      <c r="R19" s="26"/>
      <c r="S19" s="26">
        <v>51300</v>
      </c>
      <c r="T19" s="119">
        <f t="shared" si="1"/>
        <v>51300</v>
      </c>
      <c r="U19" s="55">
        <f t="shared" si="0"/>
        <v>51300</v>
      </c>
      <c r="V19" s="152"/>
      <c r="X19" s="57"/>
    </row>
    <row r="20" spans="1:24" ht="15.75" customHeight="1">
      <c r="A20" s="47">
        <v>45859</v>
      </c>
      <c r="B20" s="29">
        <v>50390</v>
      </c>
      <c r="C20" s="30" t="s">
        <v>264</v>
      </c>
      <c r="D20" s="25" t="s">
        <v>226</v>
      </c>
      <c r="E20" s="182" t="s">
        <v>265</v>
      </c>
      <c r="F20" s="171"/>
      <c r="G20" s="26"/>
      <c r="H20" s="32">
        <v>51150</v>
      </c>
      <c r="I20" s="32"/>
      <c r="J20" s="32"/>
      <c r="K20" s="32"/>
      <c r="L20" s="32"/>
      <c r="M20" s="32"/>
      <c r="N20" s="32"/>
      <c r="O20" s="32"/>
      <c r="P20" s="32"/>
      <c r="Q20" s="33"/>
      <c r="R20" s="33"/>
      <c r="S20" s="33">
        <v>51150</v>
      </c>
      <c r="T20" s="119">
        <f t="shared" si="1"/>
        <v>51150</v>
      </c>
      <c r="U20" s="55">
        <f t="shared" si="0"/>
        <v>51150</v>
      </c>
      <c r="V20" s="285"/>
      <c r="X20" s="57"/>
    </row>
    <row r="21" spans="1:24" s="4" customFormat="1" ht="15.75" customHeight="1">
      <c r="A21" s="47"/>
      <c r="B21" s="29"/>
      <c r="C21" s="30"/>
      <c r="D21" s="25"/>
      <c r="E21" s="134"/>
      <c r="F21" s="135"/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6"/>
      <c r="R21" s="26"/>
      <c r="S21" s="26"/>
      <c r="T21" s="55">
        <f t="shared" si="1"/>
        <v>0</v>
      </c>
      <c r="U21" s="55">
        <f t="shared" si="0"/>
        <v>0</v>
      </c>
      <c r="V21" s="286"/>
      <c r="X21" s="57"/>
    </row>
    <row r="22" spans="1:24" s="8" customFormat="1" ht="15.75" customHeight="1">
      <c r="A22" s="47"/>
      <c r="B22" s="29"/>
      <c r="C22" s="156"/>
      <c r="D22" s="25"/>
      <c r="E22" s="189"/>
      <c r="F22" s="185"/>
      <c r="G22" s="158"/>
      <c r="H22" s="157"/>
      <c r="I22" s="157"/>
      <c r="J22" s="157"/>
      <c r="K22" s="157"/>
      <c r="L22" s="157"/>
      <c r="M22" s="157"/>
      <c r="N22" s="157"/>
      <c r="O22" s="157"/>
      <c r="P22" s="157"/>
      <c r="Q22" s="158"/>
      <c r="R22" s="158"/>
      <c r="S22" s="158"/>
      <c r="T22" s="164"/>
      <c r="U22" s="55">
        <f t="shared" si="0"/>
        <v>0</v>
      </c>
      <c r="V22" s="313"/>
      <c r="X22" s="57">
        <f t="shared" ref="X22" si="2">F22+H22+I22+J22+K22+L22+M22+O22+P22+Q22+S22-G22-R22-T22</f>
        <v>0</v>
      </c>
    </row>
    <row r="23" spans="1:24" s="8" customFormat="1" ht="15.75" customHeight="1">
      <c r="A23" s="47"/>
      <c r="B23" s="29"/>
      <c r="C23" s="138"/>
      <c r="D23" s="25"/>
      <c r="E23" s="134"/>
      <c r="F23" s="135"/>
      <c r="G23" s="179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65"/>
      <c r="U23" s="55">
        <f t="shared" si="0"/>
        <v>0</v>
      </c>
      <c r="V23" s="152"/>
      <c r="X23" s="57"/>
    </row>
    <row r="24" spans="1:24" s="8" customFormat="1" ht="15.75" customHeight="1">
      <c r="A24" s="47"/>
      <c r="B24" s="29"/>
      <c r="C24" s="138"/>
      <c r="D24" s="25"/>
      <c r="E24" s="134"/>
      <c r="F24" s="135"/>
      <c r="G24" s="179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65"/>
      <c r="U24" s="55">
        <f t="shared" si="0"/>
        <v>0</v>
      </c>
      <c r="V24" s="152"/>
      <c r="X24" s="57"/>
    </row>
    <row r="25" spans="1:24" s="8" customFormat="1" ht="15.75" customHeight="1">
      <c r="A25" s="47"/>
      <c r="B25" s="29"/>
      <c r="C25" s="138"/>
      <c r="D25" s="25"/>
      <c r="E25" s="134"/>
      <c r="F25" s="135"/>
      <c r="G25" s="179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65"/>
      <c r="U25" s="55">
        <f t="shared" si="0"/>
        <v>0</v>
      </c>
      <c r="V25" s="152"/>
      <c r="X25" s="57"/>
    </row>
    <row r="26" spans="1:24" s="8" customFormat="1" ht="15.75" customHeight="1">
      <c r="A26" s="47"/>
      <c r="B26" s="132"/>
      <c r="C26" s="138"/>
      <c r="D26" s="25"/>
      <c r="E26" s="134"/>
      <c r="F26" s="135"/>
      <c r="G26" s="179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65"/>
      <c r="U26" s="55">
        <f t="shared" si="0"/>
        <v>0</v>
      </c>
      <c r="V26" s="152"/>
      <c r="X26" s="57"/>
    </row>
    <row r="27" spans="1:24" s="8" customFormat="1" ht="15.75" customHeight="1">
      <c r="A27" s="47"/>
      <c r="B27" s="132"/>
      <c r="C27" s="138"/>
      <c r="D27" s="25"/>
      <c r="E27" s="134"/>
      <c r="F27" s="135"/>
      <c r="G27" s="179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65"/>
      <c r="U27" s="55">
        <f t="shared" si="0"/>
        <v>0</v>
      </c>
      <c r="V27" s="152"/>
      <c r="X27" s="57"/>
    </row>
    <row r="28" spans="1:24" s="8" customFormat="1" ht="15.75" customHeight="1">
      <c r="A28" s="47"/>
      <c r="B28" s="159"/>
      <c r="C28" s="160"/>
      <c r="D28" s="161"/>
      <c r="E28" s="195"/>
      <c r="F28" s="196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6"/>
      <c r="U28" s="55">
        <f t="shared" si="0"/>
        <v>0</v>
      </c>
      <c r="V28" s="152"/>
      <c r="X28" s="57"/>
    </row>
    <row r="29" spans="1:24" s="8" customFormat="1" ht="15.75" customHeight="1">
      <c r="A29" s="131"/>
      <c r="B29" s="132"/>
      <c r="C29" s="138"/>
      <c r="D29" s="133"/>
      <c r="E29" s="134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6"/>
      <c r="U29" s="55">
        <f t="shared" si="0"/>
        <v>0</v>
      </c>
      <c r="V29" s="152"/>
      <c r="X29" s="57"/>
    </row>
    <row r="30" spans="1:24" s="8" customFormat="1" ht="15.75" customHeight="1">
      <c r="A30" s="131"/>
      <c r="B30" s="132"/>
      <c r="C30" s="138"/>
      <c r="D30" s="133"/>
      <c r="E30" s="134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6"/>
      <c r="U30" s="55">
        <f t="shared" si="0"/>
        <v>0</v>
      </c>
      <c r="V30" s="152"/>
      <c r="X30" s="57"/>
    </row>
    <row r="31" spans="1:24" s="8" customFormat="1" ht="15.75" customHeight="1">
      <c r="A31" s="131"/>
      <c r="B31" s="132"/>
      <c r="C31" s="138"/>
      <c r="D31" s="133"/>
      <c r="E31" s="134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6"/>
      <c r="U31" s="55">
        <f t="shared" si="0"/>
        <v>0</v>
      </c>
      <c r="V31" s="152"/>
      <c r="X31" s="57"/>
    </row>
    <row r="32" spans="1:24" s="8" customFormat="1" ht="15.75" customHeight="1">
      <c r="A32" s="131"/>
      <c r="B32" s="132"/>
      <c r="C32" s="138"/>
      <c r="D32" s="133"/>
      <c r="E32" s="134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6"/>
      <c r="U32" s="55">
        <f t="shared" si="0"/>
        <v>0</v>
      </c>
      <c r="V32" s="152"/>
      <c r="X32" s="57"/>
    </row>
    <row r="33" spans="1:24" s="8" customFormat="1" ht="15.75" customHeight="1">
      <c r="A33" s="131"/>
      <c r="B33" s="132"/>
      <c r="C33" s="138"/>
      <c r="D33" s="133"/>
      <c r="E33" s="134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6"/>
      <c r="U33" s="55">
        <f t="shared" si="0"/>
        <v>0</v>
      </c>
      <c r="V33" s="152"/>
      <c r="X33" s="57"/>
    </row>
    <row r="34" spans="1:24" s="8" customFormat="1" ht="15.75" customHeight="1">
      <c r="A34" s="131"/>
      <c r="B34" s="132"/>
      <c r="C34" s="138"/>
      <c r="D34" s="133"/>
      <c r="E34" s="134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6"/>
      <c r="U34" s="55">
        <f t="shared" si="0"/>
        <v>0</v>
      </c>
      <c r="V34" s="152"/>
      <c r="X34" s="57"/>
    </row>
    <row r="35" spans="1:24" s="8" customFormat="1" ht="15.75" customHeight="1">
      <c r="A35" s="131"/>
      <c r="B35" s="132"/>
      <c r="C35" s="138"/>
      <c r="D35" s="133"/>
      <c r="E35" s="134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6"/>
      <c r="U35" s="55">
        <f t="shared" si="0"/>
        <v>0</v>
      </c>
      <c r="V35" s="307"/>
      <c r="X35" s="57"/>
    </row>
    <row r="36" spans="1:24" s="8" customFormat="1" ht="15.75" customHeight="1">
      <c r="A36" s="60"/>
      <c r="B36" s="61"/>
      <c r="C36" s="62" t="s">
        <v>54</v>
      </c>
      <c r="D36" s="63"/>
      <c r="E36" s="64"/>
      <c r="F36" s="65">
        <f t="shared" ref="F36:M36" si="3">SUM(F7:F22)</f>
        <v>152850</v>
      </c>
      <c r="G36" s="65">
        <f t="shared" si="3"/>
        <v>152850</v>
      </c>
      <c r="H36" s="66">
        <f t="shared" si="3"/>
        <v>405700</v>
      </c>
      <c r="I36" s="66">
        <f t="shared" si="3"/>
        <v>0</v>
      </c>
      <c r="J36" s="66">
        <f t="shared" si="3"/>
        <v>0</v>
      </c>
      <c r="K36" s="66">
        <f t="shared" si="3"/>
        <v>200000</v>
      </c>
      <c r="L36" s="66">
        <f t="shared" si="3"/>
        <v>334325</v>
      </c>
      <c r="M36" s="66">
        <f t="shared" si="3"/>
        <v>0</v>
      </c>
      <c r="N36" s="78"/>
      <c r="O36" s="78">
        <f t="shared" ref="O36:U36" si="4">SUM(O7:O22)</f>
        <v>0</v>
      </c>
      <c r="P36" s="66">
        <f t="shared" si="4"/>
        <v>0</v>
      </c>
      <c r="Q36" s="66">
        <f t="shared" si="4"/>
        <v>0</v>
      </c>
      <c r="R36" s="66">
        <f t="shared" si="4"/>
        <v>0</v>
      </c>
      <c r="S36" s="66">
        <f t="shared" si="4"/>
        <v>587175</v>
      </c>
      <c r="T36" s="66">
        <f t="shared" si="4"/>
        <v>940025</v>
      </c>
      <c r="U36" s="83">
        <f t="shared" si="4"/>
        <v>940025</v>
      </c>
      <c r="V36" s="197"/>
    </row>
    <row r="37" spans="1:24" s="8" customFormat="1" ht="15.75" customHeight="1">
      <c r="A37" s="67"/>
      <c r="B37" s="68"/>
      <c r="D37" s="69"/>
      <c r="E37" s="70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84"/>
      <c r="U37" s="80"/>
    </row>
    <row r="38" spans="1:24" s="8" customFormat="1" ht="15.75" customHeight="1">
      <c r="A38" s="72" t="s">
        <v>55</v>
      </c>
      <c r="B38" s="68"/>
      <c r="D38" s="69"/>
      <c r="E38" s="70"/>
      <c r="J38" s="71"/>
      <c r="K38" s="79" t="s">
        <v>56</v>
      </c>
      <c r="L38" s="71"/>
      <c r="M38" s="71"/>
      <c r="N38" s="71"/>
      <c r="O38" s="71"/>
      <c r="Q38" s="79"/>
      <c r="S38" s="79" t="s">
        <v>57</v>
      </c>
      <c r="T38" s="85"/>
      <c r="U38" s="80">
        <f>F36+H36+I36+J36+K36+L36+M36+O36+P36</f>
        <v>1092875</v>
      </c>
    </row>
    <row r="39" spans="1:24" s="9" customFormat="1" ht="15.75" customHeight="1">
      <c r="A39" s="72"/>
      <c r="B39" s="68"/>
      <c r="C39" s="8"/>
      <c r="D39" s="69"/>
      <c r="E39" s="70"/>
      <c r="F39" s="8"/>
      <c r="G39" s="8"/>
      <c r="H39" s="8"/>
      <c r="I39" s="8"/>
      <c r="J39" s="71"/>
      <c r="K39" s="79"/>
      <c r="L39" s="71"/>
      <c r="M39" s="71"/>
      <c r="N39" s="71"/>
      <c r="O39" s="71"/>
      <c r="P39" s="8"/>
      <c r="Q39" s="79"/>
      <c r="R39" s="8"/>
      <c r="S39" s="79" t="s">
        <v>58</v>
      </c>
      <c r="T39" s="85"/>
      <c r="U39" s="80">
        <f>G36+R36+T36</f>
        <v>1092875</v>
      </c>
      <c r="V39" s="8"/>
    </row>
    <row r="40" spans="1:24" s="8" customFormat="1" ht="15.75" customHeight="1">
      <c r="A40" s="72"/>
      <c r="B40" s="68"/>
      <c r="D40" s="69"/>
      <c r="E40" s="70"/>
      <c r="J40" s="71"/>
      <c r="K40" s="79"/>
      <c r="L40" s="71"/>
      <c r="M40" s="71"/>
      <c r="N40" s="71"/>
      <c r="O40" s="71"/>
      <c r="Q40" s="79"/>
      <c r="S40" s="81" t="s">
        <v>59</v>
      </c>
      <c r="T40" s="86"/>
      <c r="U40" s="87">
        <f>U38-U39</f>
        <v>0</v>
      </c>
    </row>
    <row r="41" spans="1:24" ht="15.75" customHeight="1">
      <c r="A41" s="73" t="s">
        <v>60</v>
      </c>
      <c r="B41" s="74"/>
      <c r="C41" s="9"/>
      <c r="D41" s="75"/>
      <c r="E41" s="76"/>
      <c r="F41" s="9"/>
      <c r="G41" s="9"/>
      <c r="H41" s="9"/>
      <c r="I41" s="9"/>
      <c r="J41" s="80"/>
      <c r="K41" s="81" t="s">
        <v>61</v>
      </c>
      <c r="L41" s="80"/>
      <c r="M41" s="80"/>
      <c r="N41" s="80"/>
      <c r="O41" s="80"/>
      <c r="P41" s="9"/>
      <c r="Q41" s="81"/>
      <c r="R41" s="81"/>
      <c r="S41" s="80"/>
      <c r="T41" s="86"/>
      <c r="U41" s="80"/>
      <c r="V41" s="9"/>
    </row>
    <row r="42" spans="1:24" ht="15.75" customHeight="1">
      <c r="A42" s="72" t="s">
        <v>62</v>
      </c>
      <c r="B42" s="68"/>
      <c r="C42" s="8"/>
      <c r="D42" s="69"/>
      <c r="E42" s="70"/>
      <c r="F42" s="8"/>
      <c r="G42" s="8"/>
      <c r="H42" s="8"/>
      <c r="I42" s="8"/>
      <c r="J42" s="71"/>
      <c r="K42" s="79" t="s">
        <v>63</v>
      </c>
      <c r="L42" s="71"/>
      <c r="M42" s="71"/>
      <c r="N42" s="71"/>
      <c r="O42" s="71"/>
      <c r="P42" s="8"/>
      <c r="Q42" s="79"/>
      <c r="R42" s="71"/>
      <c r="S42" s="71"/>
      <c r="T42" s="85"/>
      <c r="U42" s="80"/>
      <c r="V42" s="8"/>
    </row>
  </sheetData>
  <mergeCells count="14">
    <mergeCell ref="V5:V6"/>
    <mergeCell ref="A1:U1"/>
    <mergeCell ref="A2:U2"/>
    <mergeCell ref="H5:P5"/>
    <mergeCell ref="Q5:R5"/>
    <mergeCell ref="S5:T5"/>
    <mergeCell ref="A5:A6"/>
    <mergeCell ref="B5:B6"/>
    <mergeCell ref="C5:C6"/>
    <mergeCell ref="D5:D6"/>
    <mergeCell ref="E5:E6"/>
    <mergeCell ref="F5:F6"/>
    <mergeCell ref="G5:G6"/>
    <mergeCell ref="U5:U6"/>
  </mergeCells>
  <pageMargins left="0.25" right="0.25" top="0.5" bottom="0.25" header="0.3" footer="0.3"/>
  <pageSetup paperSize="14"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2"/>
  <sheetViews>
    <sheetView zoomScale="84" zoomScaleNormal="84" workbookViewId="0">
      <pane xSplit="2" ySplit="5" topLeftCell="P95" activePane="bottomRight" state="frozen"/>
      <selection pane="topRight"/>
      <selection pane="bottomLeft"/>
      <selection pane="bottomRight" activeCell="Q127" sqref="Q127"/>
    </sheetView>
  </sheetViews>
  <sheetFormatPr defaultColWidth="9.140625" defaultRowHeight="15.75" customHeight="1"/>
  <cols>
    <col min="1" max="1" width="12.5703125" style="10" customWidth="1"/>
    <col min="2" max="2" width="21.42578125" style="11" customWidth="1"/>
    <col min="3" max="3" width="34.140625" style="12" customWidth="1"/>
    <col min="4" max="4" width="54.85546875" style="13" customWidth="1"/>
    <col min="5" max="5" width="11.5703125" style="14" customWidth="1"/>
    <col min="6" max="6" width="20.5703125" style="15" customWidth="1"/>
    <col min="7" max="7" width="20.42578125" style="15" customWidth="1"/>
    <col min="8" max="8" width="20" style="15" customWidth="1"/>
    <col min="9" max="9" width="18.7109375" style="15" customWidth="1"/>
    <col min="10" max="10" width="20.85546875" style="15" customWidth="1"/>
    <col min="11" max="11" width="15.28515625" style="15" customWidth="1"/>
    <col min="12" max="12" width="20.85546875" style="15" customWidth="1"/>
    <col min="13" max="13" width="19.42578125" style="15" customWidth="1"/>
    <col min="14" max="14" width="18.5703125" style="15" customWidth="1"/>
    <col min="15" max="15" width="17.42578125" style="15" customWidth="1"/>
    <col min="16" max="16" width="18.85546875" style="15" customWidth="1"/>
    <col min="17" max="17" width="19.7109375" style="15" customWidth="1"/>
    <col min="18" max="18" width="12.5703125" style="15" customWidth="1"/>
    <col min="19" max="19" width="19.7109375" style="15" customWidth="1"/>
    <col min="20" max="20" width="8.7109375" style="15" customWidth="1"/>
    <col min="21" max="21" width="22.140625" style="16" customWidth="1"/>
    <col min="22" max="22" width="23.140625" style="17" customWidth="1"/>
    <col min="23" max="23" width="19.7109375" style="12" customWidth="1"/>
    <col min="24" max="24" width="9.140625" style="12"/>
    <col min="25" max="25" width="15.42578125" style="12" customWidth="1"/>
    <col min="26" max="16384" width="9.140625" style="12"/>
  </cols>
  <sheetData>
    <row r="1" spans="1:25" s="1" customFormat="1" ht="15.75" customHeight="1">
      <c r="A1" s="532" t="s">
        <v>0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</row>
    <row r="2" spans="1:25" s="2" customFormat="1" ht="15.75" customHeight="1">
      <c r="A2" s="533" t="s">
        <v>266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</row>
    <row r="3" spans="1:25" s="3" customFormat="1" ht="15.75" customHeight="1">
      <c r="A3" s="18"/>
      <c r="B3" s="11"/>
      <c r="D3" s="19"/>
      <c r="E3" s="1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51"/>
      <c r="V3" s="52"/>
    </row>
    <row r="4" spans="1:25" s="4" customFormat="1" ht="26.25" customHeight="1">
      <c r="A4" s="541" t="s">
        <v>1</v>
      </c>
      <c r="B4" s="543" t="s">
        <v>2</v>
      </c>
      <c r="C4" s="545" t="s">
        <v>3</v>
      </c>
      <c r="D4" s="569" t="s">
        <v>4</v>
      </c>
      <c r="E4" s="586" t="s">
        <v>5</v>
      </c>
      <c r="F4" s="588" t="s">
        <v>6</v>
      </c>
      <c r="G4" s="590" t="s">
        <v>7</v>
      </c>
      <c r="H4" s="534" t="s">
        <v>8</v>
      </c>
      <c r="I4" s="535"/>
      <c r="J4" s="535"/>
      <c r="K4" s="535"/>
      <c r="L4" s="535"/>
      <c r="M4" s="535"/>
      <c r="N4" s="535"/>
      <c r="O4" s="535"/>
      <c r="P4" s="535"/>
      <c r="Q4" s="536"/>
      <c r="R4" s="537" t="s">
        <v>9</v>
      </c>
      <c r="S4" s="538"/>
      <c r="T4" s="539" t="s">
        <v>10</v>
      </c>
      <c r="U4" s="540"/>
      <c r="V4" s="592" t="s">
        <v>267</v>
      </c>
      <c r="W4" s="596" t="s">
        <v>12</v>
      </c>
    </row>
    <row r="5" spans="1:25" s="5" customFormat="1" ht="26.25" customHeight="1">
      <c r="A5" s="542"/>
      <c r="B5" s="544"/>
      <c r="C5" s="546"/>
      <c r="D5" s="585"/>
      <c r="E5" s="587"/>
      <c r="F5" s="589"/>
      <c r="G5" s="591"/>
      <c r="H5" s="111" t="s">
        <v>13</v>
      </c>
      <c r="I5" s="111" t="s">
        <v>14</v>
      </c>
      <c r="J5" s="111" t="s">
        <v>15</v>
      </c>
      <c r="K5" s="111" t="s">
        <v>16</v>
      </c>
      <c r="L5" s="111" t="s">
        <v>18</v>
      </c>
      <c r="M5" s="111" t="s">
        <v>17</v>
      </c>
      <c r="N5" s="111" t="s">
        <v>19</v>
      </c>
      <c r="O5" s="111" t="s">
        <v>20</v>
      </c>
      <c r="P5" s="111" t="s">
        <v>276</v>
      </c>
      <c r="Q5" s="111" t="s">
        <v>21</v>
      </c>
      <c r="R5" s="113" t="s">
        <v>22</v>
      </c>
      <c r="S5" s="113" t="s">
        <v>23</v>
      </c>
      <c r="T5" s="113" t="s">
        <v>22</v>
      </c>
      <c r="U5" s="115" t="s">
        <v>23</v>
      </c>
      <c r="V5" s="593"/>
      <c r="W5" s="597"/>
    </row>
    <row r="6" spans="1:25" ht="24.95" customHeight="1">
      <c r="A6" s="316">
        <v>45853</v>
      </c>
      <c r="B6" s="317" t="s">
        <v>24</v>
      </c>
      <c r="C6" s="318" t="s">
        <v>25</v>
      </c>
      <c r="D6" s="319" t="s">
        <v>26</v>
      </c>
      <c r="E6" s="320"/>
      <c r="F6" s="321"/>
      <c r="G6" s="322">
        <v>1400</v>
      </c>
      <c r="H6" s="323"/>
      <c r="I6" s="323"/>
      <c r="J6" s="323"/>
      <c r="K6" s="323"/>
      <c r="L6" s="323"/>
      <c r="M6" s="323"/>
      <c r="N6" s="323"/>
      <c r="O6" s="323"/>
      <c r="P6" s="323">
        <v>1400</v>
      </c>
      <c r="Q6" s="323"/>
      <c r="R6" s="323"/>
      <c r="S6" s="324"/>
      <c r="T6" s="325"/>
      <c r="U6" s="326"/>
      <c r="V6" s="327">
        <f>S6+U6</f>
        <v>0</v>
      </c>
      <c r="W6" s="1"/>
      <c r="X6" s="328"/>
      <c r="Y6" s="117">
        <f>F6+H6+I6+J6+K6+L6+M6+N6+O6+Q6+R6+T6-G6-S6-U6+P6</f>
        <v>0</v>
      </c>
    </row>
    <row r="7" spans="1:25" s="7" customFormat="1" ht="24.95" customHeight="1">
      <c r="A7" s="329">
        <v>45853</v>
      </c>
      <c r="B7" s="330">
        <v>50296</v>
      </c>
      <c r="C7" s="331" t="s">
        <v>27</v>
      </c>
      <c r="D7" s="332" t="s">
        <v>28</v>
      </c>
      <c r="E7" s="333" t="s">
        <v>29</v>
      </c>
      <c r="F7" s="334">
        <v>51250</v>
      </c>
      <c r="G7" s="335">
        <v>51250</v>
      </c>
      <c r="H7" s="336"/>
      <c r="I7" s="336"/>
      <c r="J7" s="336"/>
      <c r="K7" s="336"/>
      <c r="L7" s="336">
        <v>51250</v>
      </c>
      <c r="M7" s="336"/>
      <c r="N7" s="336"/>
      <c r="O7" s="336"/>
      <c r="P7" s="336"/>
      <c r="Q7" s="336"/>
      <c r="R7" s="337"/>
      <c r="S7" s="338"/>
      <c r="T7" s="339"/>
      <c r="U7" s="340">
        <v>51250</v>
      </c>
      <c r="V7" s="326">
        <f>S7+U7</f>
        <v>51250</v>
      </c>
      <c r="W7" s="341"/>
      <c r="X7" s="342"/>
      <c r="Y7" s="117">
        <f t="shared" ref="Y7" si="0">F7+H7+I7+J7+K7+L7+M7+N7+O7+Q7+R7+T7-G7-S7-U7</f>
        <v>0</v>
      </c>
    </row>
    <row r="8" spans="1:25" ht="24.95" customHeight="1">
      <c r="A8" s="329">
        <v>45853</v>
      </c>
      <c r="B8" s="330">
        <v>50297</v>
      </c>
      <c r="C8" s="331" t="s">
        <v>30</v>
      </c>
      <c r="D8" s="332" t="s">
        <v>28</v>
      </c>
      <c r="E8" s="343" t="s">
        <v>31</v>
      </c>
      <c r="F8" s="344">
        <v>51200</v>
      </c>
      <c r="G8" s="335">
        <v>51200</v>
      </c>
      <c r="H8" s="345"/>
      <c r="I8" s="345"/>
      <c r="J8" s="345"/>
      <c r="K8" s="345"/>
      <c r="L8" s="323">
        <v>51200</v>
      </c>
      <c r="M8" s="323"/>
      <c r="N8" s="345"/>
      <c r="O8" s="323"/>
      <c r="P8" s="323"/>
      <c r="Q8" s="345"/>
      <c r="R8" s="346"/>
      <c r="S8" s="347"/>
      <c r="T8" s="348"/>
      <c r="U8" s="349">
        <v>51200</v>
      </c>
      <c r="V8" s="326">
        <f t="shared" ref="V8:V71" si="1">S8+U8</f>
        <v>51200</v>
      </c>
      <c r="W8" s="350"/>
      <c r="X8" s="1"/>
      <c r="Y8" s="117">
        <f>F8+H8+I8+J8+K8+L8+M8+N8+O8+Q8+R8+T8-G8-S8-U8</f>
        <v>0</v>
      </c>
    </row>
    <row r="9" spans="1:25" ht="24.95" customHeight="1">
      <c r="A9" s="329">
        <v>45853</v>
      </c>
      <c r="B9" s="330">
        <v>50298</v>
      </c>
      <c r="C9" s="331" t="s">
        <v>32</v>
      </c>
      <c r="D9" s="351" t="s">
        <v>33</v>
      </c>
      <c r="E9" s="352" t="s">
        <v>34</v>
      </c>
      <c r="F9" s="353" t="s">
        <v>35</v>
      </c>
      <c r="G9" s="354" t="s">
        <v>35</v>
      </c>
      <c r="H9" s="323"/>
      <c r="I9" s="323"/>
      <c r="J9" s="323"/>
      <c r="K9" s="323"/>
      <c r="L9" s="345"/>
      <c r="M9" s="345">
        <v>21850</v>
      </c>
      <c r="N9" s="323"/>
      <c r="O9" s="323"/>
      <c r="P9" s="323"/>
      <c r="Q9" s="323"/>
      <c r="R9" s="355"/>
      <c r="S9" s="356">
        <v>21850</v>
      </c>
      <c r="T9" s="321"/>
      <c r="U9" s="349"/>
      <c r="V9" s="326">
        <f t="shared" si="1"/>
        <v>21850</v>
      </c>
      <c r="W9" s="350"/>
      <c r="X9" s="1"/>
      <c r="Y9" s="117" t="e">
        <f>F9+H9+I9+J9+K9+L9+M9+N9+O9+Q9+R9+T9-G9-S9-U9+P9</f>
        <v>#VALUE!</v>
      </c>
    </row>
    <row r="10" spans="1:25" ht="24.95" customHeight="1">
      <c r="A10" s="329">
        <v>45853</v>
      </c>
      <c r="B10" s="330">
        <v>50299</v>
      </c>
      <c r="C10" s="331" t="s">
        <v>32</v>
      </c>
      <c r="D10" s="351" t="s">
        <v>36</v>
      </c>
      <c r="E10" s="343" t="s">
        <v>37</v>
      </c>
      <c r="F10" s="357" t="s">
        <v>35</v>
      </c>
      <c r="G10" s="358" t="s">
        <v>35</v>
      </c>
      <c r="H10" s="323"/>
      <c r="I10" s="323"/>
      <c r="J10" s="323"/>
      <c r="K10" s="323"/>
      <c r="L10" s="323"/>
      <c r="M10" s="323">
        <v>200000</v>
      </c>
      <c r="N10" s="323"/>
      <c r="O10" s="323"/>
      <c r="P10" s="323"/>
      <c r="Q10" s="323"/>
      <c r="R10" s="355"/>
      <c r="S10" s="359">
        <v>200000</v>
      </c>
      <c r="T10" s="321"/>
      <c r="U10" s="325"/>
      <c r="V10" s="326">
        <f t="shared" si="1"/>
        <v>200000</v>
      </c>
      <c r="W10" s="360"/>
      <c r="X10" s="1"/>
      <c r="Y10" s="117" t="e">
        <f t="shared" ref="Y10:Y37" si="2">F10+H10+I10+J10+K10+L10+M10+N10+O10+Q10+R10+T10-G10-S10-U10</f>
        <v>#VALUE!</v>
      </c>
    </row>
    <row r="11" spans="1:25" ht="24.95" customHeight="1">
      <c r="A11" s="329">
        <v>45853</v>
      </c>
      <c r="B11" s="330">
        <v>50301</v>
      </c>
      <c r="C11" s="331" t="s">
        <v>38</v>
      </c>
      <c r="D11" s="332" t="s">
        <v>39</v>
      </c>
      <c r="E11" s="352" t="s">
        <v>40</v>
      </c>
      <c r="F11" s="361" t="s">
        <v>35</v>
      </c>
      <c r="G11" s="331" t="s">
        <v>35</v>
      </c>
      <c r="H11" s="323"/>
      <c r="I11" s="323"/>
      <c r="J11" s="323"/>
      <c r="K11" s="323"/>
      <c r="L11" s="323">
        <v>102300</v>
      </c>
      <c r="M11" s="323"/>
      <c r="N11" s="323"/>
      <c r="O11" s="323"/>
      <c r="P11" s="323"/>
      <c r="Q11" s="323"/>
      <c r="R11" s="355"/>
      <c r="S11" s="359">
        <v>102300</v>
      </c>
      <c r="T11" s="321"/>
      <c r="U11" s="325"/>
      <c r="V11" s="326">
        <f t="shared" si="1"/>
        <v>102300</v>
      </c>
      <c r="W11" s="362"/>
      <c r="X11" s="1"/>
      <c r="Y11" s="117" t="e">
        <f t="shared" si="2"/>
        <v>#VALUE!</v>
      </c>
    </row>
    <row r="12" spans="1:25" ht="24.95" customHeight="1">
      <c r="A12" s="329">
        <v>45853</v>
      </c>
      <c r="B12" s="330">
        <v>50302</v>
      </c>
      <c r="C12" s="331" t="s">
        <v>41</v>
      </c>
      <c r="D12" s="332" t="s">
        <v>39</v>
      </c>
      <c r="E12" s="352" t="s">
        <v>42</v>
      </c>
      <c r="F12" s="361" t="s">
        <v>35</v>
      </c>
      <c r="G12" s="331" t="s">
        <v>35</v>
      </c>
      <c r="H12" s="323"/>
      <c r="I12" s="323"/>
      <c r="J12" s="323"/>
      <c r="K12" s="323"/>
      <c r="L12" s="363">
        <v>102500</v>
      </c>
      <c r="M12" s="363"/>
      <c r="N12" s="323"/>
      <c r="O12" s="323"/>
      <c r="P12" s="323"/>
      <c r="Q12" s="323"/>
      <c r="R12" s="355"/>
      <c r="S12" s="359">
        <v>102500</v>
      </c>
      <c r="T12" s="321"/>
      <c r="U12" s="364"/>
      <c r="V12" s="326">
        <f t="shared" si="1"/>
        <v>102500</v>
      </c>
      <c r="W12" s="362"/>
      <c r="X12" s="1"/>
      <c r="Y12" s="117" t="e">
        <f t="shared" si="2"/>
        <v>#VALUE!</v>
      </c>
    </row>
    <row r="13" spans="1:25" ht="24.95" customHeight="1">
      <c r="A13" s="329">
        <v>45853</v>
      </c>
      <c r="B13" s="330">
        <v>50303</v>
      </c>
      <c r="C13" s="331" t="s">
        <v>43</v>
      </c>
      <c r="D13" s="332" t="s">
        <v>44</v>
      </c>
      <c r="E13" s="352" t="s">
        <v>45</v>
      </c>
      <c r="F13" s="361" t="s">
        <v>35</v>
      </c>
      <c r="G13" s="331" t="s">
        <v>35</v>
      </c>
      <c r="H13" s="323"/>
      <c r="I13" s="323">
        <v>51100</v>
      </c>
      <c r="J13" s="323"/>
      <c r="K13" s="323"/>
      <c r="L13" s="323"/>
      <c r="M13" s="323"/>
      <c r="N13" s="323"/>
      <c r="O13" s="323"/>
      <c r="P13" s="323"/>
      <c r="Q13" s="323"/>
      <c r="R13" s="355"/>
      <c r="S13" s="356"/>
      <c r="T13" s="321"/>
      <c r="U13" s="325">
        <v>51100</v>
      </c>
      <c r="V13" s="326">
        <f t="shared" si="1"/>
        <v>51100</v>
      </c>
      <c r="W13" s="362"/>
      <c r="X13" s="1"/>
      <c r="Y13" s="117" t="e">
        <f t="shared" si="2"/>
        <v>#VALUE!</v>
      </c>
    </row>
    <row r="14" spans="1:25" ht="24.95" customHeight="1">
      <c r="A14" s="329">
        <v>45853</v>
      </c>
      <c r="B14" s="330">
        <v>2895</v>
      </c>
      <c r="C14" s="331" t="s">
        <v>46</v>
      </c>
      <c r="D14" s="332" t="s">
        <v>28</v>
      </c>
      <c r="E14" s="352" t="s">
        <v>47</v>
      </c>
      <c r="F14" s="344">
        <v>51100</v>
      </c>
      <c r="G14" s="335">
        <v>51100</v>
      </c>
      <c r="H14" s="323"/>
      <c r="I14" s="323"/>
      <c r="J14" s="323"/>
      <c r="K14" s="323"/>
      <c r="L14" s="323">
        <v>51100</v>
      </c>
      <c r="M14" s="323"/>
      <c r="N14" s="323"/>
      <c r="O14" s="323"/>
      <c r="P14" s="323"/>
      <c r="Q14" s="323"/>
      <c r="R14" s="355"/>
      <c r="S14" s="359"/>
      <c r="T14" s="321"/>
      <c r="U14" s="325">
        <v>51100</v>
      </c>
      <c r="V14" s="326">
        <f t="shared" si="1"/>
        <v>51100</v>
      </c>
      <c r="W14" s="362"/>
      <c r="X14" s="1"/>
      <c r="Y14" s="117">
        <f t="shared" si="2"/>
        <v>0</v>
      </c>
    </row>
    <row r="15" spans="1:25" ht="24.95" customHeight="1">
      <c r="A15" s="329">
        <v>45853</v>
      </c>
      <c r="B15" s="330" t="s">
        <v>48</v>
      </c>
      <c r="C15" s="331" t="s">
        <v>49</v>
      </c>
      <c r="D15" s="332" t="s">
        <v>50</v>
      </c>
      <c r="E15" s="365" t="s">
        <v>35</v>
      </c>
      <c r="F15" s="361" t="s">
        <v>35</v>
      </c>
      <c r="G15" s="331" t="s">
        <v>35</v>
      </c>
      <c r="H15" s="363">
        <v>2280</v>
      </c>
      <c r="I15" s="323"/>
      <c r="J15" s="323"/>
      <c r="K15" s="323"/>
      <c r="L15" s="323"/>
      <c r="M15" s="323"/>
      <c r="N15" s="323"/>
      <c r="O15" s="323"/>
      <c r="P15" s="323"/>
      <c r="Q15" s="323"/>
      <c r="R15" s="355"/>
      <c r="S15" s="359"/>
      <c r="T15" s="321"/>
      <c r="U15" s="364">
        <v>2280</v>
      </c>
      <c r="V15" s="326">
        <f t="shared" si="1"/>
        <v>2280</v>
      </c>
      <c r="W15" s="362"/>
      <c r="X15" s="1"/>
      <c r="Y15" s="117" t="e">
        <f>F15+H15+I15+J15+K15+L15+M15+N15+O15+Q15+R15+T15-G15-S15-U15+P15</f>
        <v>#VALUE!</v>
      </c>
    </row>
    <row r="16" spans="1:25" ht="24.95" customHeight="1">
      <c r="A16" s="366">
        <v>45854</v>
      </c>
      <c r="B16" s="367" t="s">
        <v>64</v>
      </c>
      <c r="C16" s="318" t="s">
        <v>65</v>
      </c>
      <c r="D16" s="368" t="s">
        <v>66</v>
      </c>
      <c r="E16" s="369"/>
      <c r="F16" s="370">
        <v>2280</v>
      </c>
      <c r="G16" s="371">
        <v>2280</v>
      </c>
      <c r="H16" s="323"/>
      <c r="I16" s="323"/>
      <c r="J16" s="323"/>
      <c r="K16" s="323"/>
      <c r="L16" s="323"/>
      <c r="M16" s="323"/>
      <c r="N16" s="323"/>
      <c r="O16" s="323"/>
      <c r="P16" s="323">
        <v>2280</v>
      </c>
      <c r="Q16" s="372"/>
      <c r="R16" s="355"/>
      <c r="S16" s="373"/>
      <c r="T16" s="321"/>
      <c r="U16" s="374">
        <v>2280</v>
      </c>
      <c r="V16" s="326">
        <f t="shared" si="1"/>
        <v>2280</v>
      </c>
      <c r="W16" s="362"/>
      <c r="X16" s="1"/>
      <c r="Y16" s="117">
        <f>F16+H16+I16+J16+K16+L16+M16+N16+O16+Q16+R16+T16-G16-S16-U16+P16</f>
        <v>0</v>
      </c>
    </row>
    <row r="17" spans="1:25" ht="24.95" customHeight="1">
      <c r="A17" s="366">
        <v>45854</v>
      </c>
      <c r="B17" s="367" t="s">
        <v>67</v>
      </c>
      <c r="C17" s="318" t="s">
        <v>68</v>
      </c>
      <c r="D17" s="375" t="s">
        <v>69</v>
      </c>
      <c r="E17" s="369"/>
      <c r="F17" s="321"/>
      <c r="G17" s="322"/>
      <c r="H17" s="323">
        <v>3960</v>
      </c>
      <c r="I17" s="323"/>
      <c r="J17" s="323"/>
      <c r="K17" s="323"/>
      <c r="L17" s="363"/>
      <c r="M17" s="363"/>
      <c r="N17" s="323"/>
      <c r="O17" s="323"/>
      <c r="P17" s="323"/>
      <c r="Q17" s="372"/>
      <c r="R17" s="355"/>
      <c r="S17" s="373"/>
      <c r="T17" s="321"/>
      <c r="U17" s="376">
        <v>3960</v>
      </c>
      <c r="V17" s="326">
        <f>S17+U17</f>
        <v>3960</v>
      </c>
      <c r="W17" s="377"/>
      <c r="X17" s="1"/>
      <c r="Y17" s="117">
        <f t="shared" si="2"/>
        <v>0</v>
      </c>
    </row>
    <row r="18" spans="1:25" ht="24.95" customHeight="1">
      <c r="A18" s="366">
        <v>45854</v>
      </c>
      <c r="B18" s="367">
        <v>50305</v>
      </c>
      <c r="C18" s="318" t="s">
        <v>68</v>
      </c>
      <c r="D18" s="375" t="s">
        <v>70</v>
      </c>
      <c r="E18" s="369" t="s">
        <v>71</v>
      </c>
      <c r="F18" s="321"/>
      <c r="G18" s="322"/>
      <c r="H18" s="323">
        <v>152200</v>
      </c>
      <c r="I18" s="323"/>
      <c r="J18" s="323"/>
      <c r="K18" s="323"/>
      <c r="L18" s="323"/>
      <c r="M18" s="323"/>
      <c r="N18" s="323"/>
      <c r="O18" s="323"/>
      <c r="P18" s="323"/>
      <c r="Q18" s="372"/>
      <c r="R18" s="355"/>
      <c r="S18" s="373"/>
      <c r="T18" s="378"/>
      <c r="U18" s="379">
        <v>152200</v>
      </c>
      <c r="V18" s="326">
        <f t="shared" si="1"/>
        <v>152200</v>
      </c>
      <c r="W18" s="380"/>
      <c r="X18" s="1"/>
      <c r="Y18" s="117">
        <f t="shared" si="2"/>
        <v>0</v>
      </c>
    </row>
    <row r="19" spans="1:25" ht="24.95" customHeight="1">
      <c r="A19" s="366">
        <v>45854</v>
      </c>
      <c r="B19" s="367">
        <v>50306</v>
      </c>
      <c r="C19" s="318" t="s">
        <v>72</v>
      </c>
      <c r="D19" s="375" t="s">
        <v>73</v>
      </c>
      <c r="E19" s="369" t="s">
        <v>74</v>
      </c>
      <c r="F19" s="321"/>
      <c r="G19" s="322"/>
      <c r="H19" s="323">
        <v>50000</v>
      </c>
      <c r="I19" s="323"/>
      <c r="J19" s="323"/>
      <c r="K19" s="323"/>
      <c r="L19" s="323"/>
      <c r="M19" s="323"/>
      <c r="N19" s="323"/>
      <c r="O19" s="323"/>
      <c r="P19" s="323"/>
      <c r="Q19" s="372"/>
      <c r="R19" s="355"/>
      <c r="S19" s="322"/>
      <c r="T19" s="381"/>
      <c r="U19" s="379">
        <v>50000</v>
      </c>
      <c r="V19" s="326">
        <f t="shared" si="1"/>
        <v>50000</v>
      </c>
      <c r="W19" s="380"/>
      <c r="X19" s="1"/>
      <c r="Y19" s="117">
        <f t="shared" si="2"/>
        <v>0</v>
      </c>
    </row>
    <row r="20" spans="1:25" ht="24.95" customHeight="1">
      <c r="A20" s="366">
        <v>45854</v>
      </c>
      <c r="B20" s="367">
        <v>50306</v>
      </c>
      <c r="C20" s="318" t="s">
        <v>72</v>
      </c>
      <c r="D20" s="375" t="s">
        <v>73</v>
      </c>
      <c r="E20" s="369" t="s">
        <v>74</v>
      </c>
      <c r="F20" s="321"/>
      <c r="G20" s="322"/>
      <c r="H20" s="323"/>
      <c r="I20" s="323"/>
      <c r="J20" s="323"/>
      <c r="K20" s="323"/>
      <c r="L20" s="323"/>
      <c r="M20" s="323"/>
      <c r="N20" s="323"/>
      <c r="O20" s="323">
        <v>1150</v>
      </c>
      <c r="P20" s="323"/>
      <c r="Q20" s="372"/>
      <c r="R20" s="355"/>
      <c r="S20" s="324"/>
      <c r="T20" s="373"/>
      <c r="U20" s="379">
        <v>1150</v>
      </c>
      <c r="V20" s="326">
        <f t="shared" si="1"/>
        <v>1150</v>
      </c>
      <c r="W20" s="382"/>
      <c r="X20" s="1"/>
      <c r="Y20" s="117">
        <f t="shared" si="2"/>
        <v>0</v>
      </c>
    </row>
    <row r="21" spans="1:25" ht="24.95" customHeight="1">
      <c r="A21" s="366">
        <v>45854</v>
      </c>
      <c r="B21" s="367">
        <v>50307</v>
      </c>
      <c r="C21" s="318" t="s">
        <v>75</v>
      </c>
      <c r="D21" s="375" t="s">
        <v>73</v>
      </c>
      <c r="E21" s="369" t="s">
        <v>76</v>
      </c>
      <c r="F21" s="321"/>
      <c r="G21" s="322"/>
      <c r="H21" s="323">
        <v>50000</v>
      </c>
      <c r="I21" s="323"/>
      <c r="J21" s="323"/>
      <c r="K21" s="323"/>
      <c r="L21" s="323"/>
      <c r="M21" s="323"/>
      <c r="N21" s="323"/>
      <c r="O21" s="323"/>
      <c r="P21" s="323"/>
      <c r="Q21" s="372"/>
      <c r="R21" s="383"/>
      <c r="S21" s="384"/>
      <c r="T21" s="385"/>
      <c r="U21" s="379">
        <v>50000</v>
      </c>
      <c r="V21" s="326">
        <f t="shared" si="1"/>
        <v>50000</v>
      </c>
      <c r="W21" s="380"/>
      <c r="X21" s="1"/>
      <c r="Y21" s="117">
        <f t="shared" si="2"/>
        <v>0</v>
      </c>
    </row>
    <row r="22" spans="1:25" ht="24.95" customHeight="1">
      <c r="A22" s="366">
        <v>45854</v>
      </c>
      <c r="B22" s="367">
        <v>50307</v>
      </c>
      <c r="C22" s="318" t="s">
        <v>75</v>
      </c>
      <c r="D22" s="375" t="s">
        <v>73</v>
      </c>
      <c r="E22" s="369" t="s">
        <v>76</v>
      </c>
      <c r="F22" s="321"/>
      <c r="G22" s="322"/>
      <c r="H22" s="323"/>
      <c r="I22" s="323"/>
      <c r="J22" s="323"/>
      <c r="K22" s="323"/>
      <c r="L22" s="323"/>
      <c r="M22" s="323"/>
      <c r="N22" s="323"/>
      <c r="O22" s="323">
        <v>1150</v>
      </c>
      <c r="P22" s="323"/>
      <c r="Q22" s="372"/>
      <c r="R22" s="355"/>
      <c r="S22" s="322"/>
      <c r="T22" s="373"/>
      <c r="U22" s="379">
        <v>1150</v>
      </c>
      <c r="V22" s="326">
        <f t="shared" si="1"/>
        <v>1150</v>
      </c>
      <c r="W22" s="380"/>
      <c r="X22" s="1"/>
      <c r="Y22" s="117">
        <f t="shared" si="2"/>
        <v>0</v>
      </c>
    </row>
    <row r="23" spans="1:25" ht="24.95" customHeight="1">
      <c r="A23" s="366">
        <v>45854</v>
      </c>
      <c r="B23" s="367">
        <v>50308</v>
      </c>
      <c r="C23" s="318" t="s">
        <v>77</v>
      </c>
      <c r="D23" s="375" t="s">
        <v>73</v>
      </c>
      <c r="E23" s="369" t="s">
        <v>78</v>
      </c>
      <c r="F23" s="321"/>
      <c r="G23" s="322"/>
      <c r="H23" s="323">
        <v>51250</v>
      </c>
      <c r="I23" s="323"/>
      <c r="J23" s="323"/>
      <c r="K23" s="323"/>
      <c r="L23" s="323"/>
      <c r="M23" s="323"/>
      <c r="N23" s="323"/>
      <c r="O23" s="323"/>
      <c r="P23" s="323"/>
      <c r="Q23" s="372"/>
      <c r="R23" s="355"/>
      <c r="S23" s="322"/>
      <c r="T23" s="373"/>
      <c r="U23" s="379">
        <v>51250</v>
      </c>
      <c r="V23" s="326">
        <f t="shared" si="1"/>
        <v>51250</v>
      </c>
      <c r="W23" s="382"/>
      <c r="X23" s="1"/>
      <c r="Y23" s="117">
        <f t="shared" si="2"/>
        <v>0</v>
      </c>
    </row>
    <row r="24" spans="1:25" ht="24.95" customHeight="1">
      <c r="A24" s="366">
        <v>45854</v>
      </c>
      <c r="B24" s="367">
        <v>50309</v>
      </c>
      <c r="C24" s="318" t="s">
        <v>79</v>
      </c>
      <c r="D24" s="375" t="s">
        <v>73</v>
      </c>
      <c r="E24" s="369" t="s">
        <v>80</v>
      </c>
      <c r="F24" s="321">
        <v>51350</v>
      </c>
      <c r="G24" s="322">
        <v>51350</v>
      </c>
      <c r="H24" s="323"/>
      <c r="I24" s="323"/>
      <c r="J24" s="323"/>
      <c r="K24" s="323"/>
      <c r="L24" s="323">
        <v>51350</v>
      </c>
      <c r="M24" s="323"/>
      <c r="N24" s="323"/>
      <c r="O24" s="323"/>
      <c r="P24" s="323"/>
      <c r="Q24" s="372"/>
      <c r="R24" s="355"/>
      <c r="S24" s="322"/>
      <c r="T24" s="373"/>
      <c r="U24" s="379">
        <v>51350</v>
      </c>
      <c r="V24" s="326">
        <f t="shared" si="1"/>
        <v>51350</v>
      </c>
      <c r="W24" s="601" t="s">
        <v>81</v>
      </c>
      <c r="X24" s="1"/>
      <c r="Y24" s="117">
        <f t="shared" si="2"/>
        <v>0</v>
      </c>
    </row>
    <row r="25" spans="1:25" ht="24.95" customHeight="1">
      <c r="A25" s="366">
        <v>45854</v>
      </c>
      <c r="B25" s="367">
        <v>50310</v>
      </c>
      <c r="C25" s="318" t="s">
        <v>79</v>
      </c>
      <c r="D25" s="375" t="s">
        <v>52</v>
      </c>
      <c r="E25" s="369" t="s">
        <v>82</v>
      </c>
      <c r="F25" s="321">
        <v>50</v>
      </c>
      <c r="G25" s="322">
        <v>50</v>
      </c>
      <c r="H25" s="323"/>
      <c r="I25" s="323"/>
      <c r="J25" s="323"/>
      <c r="K25" s="323"/>
      <c r="L25" s="323">
        <v>50</v>
      </c>
      <c r="M25" s="323"/>
      <c r="N25" s="323"/>
      <c r="O25" s="323"/>
      <c r="P25" s="323"/>
      <c r="Q25" s="372"/>
      <c r="R25" s="355"/>
      <c r="S25" s="322"/>
      <c r="T25" s="373"/>
      <c r="U25" s="379">
        <v>50</v>
      </c>
      <c r="V25" s="326">
        <f t="shared" si="1"/>
        <v>50</v>
      </c>
      <c r="W25" s="602"/>
      <c r="X25" s="1"/>
      <c r="Y25" s="117">
        <f t="shared" si="2"/>
        <v>0</v>
      </c>
    </row>
    <row r="26" spans="1:25" ht="24.95" customHeight="1">
      <c r="A26" s="366">
        <v>45854</v>
      </c>
      <c r="B26" s="367">
        <v>50312</v>
      </c>
      <c r="C26" s="318" t="s">
        <v>83</v>
      </c>
      <c r="D26" s="375" t="s">
        <v>52</v>
      </c>
      <c r="E26" s="369" t="s">
        <v>84</v>
      </c>
      <c r="F26" s="321">
        <v>51200</v>
      </c>
      <c r="G26" s="322">
        <v>51200</v>
      </c>
      <c r="H26" s="323"/>
      <c r="I26" s="323"/>
      <c r="J26" s="323"/>
      <c r="K26" s="323"/>
      <c r="L26" s="323">
        <v>51200</v>
      </c>
      <c r="M26" s="363"/>
      <c r="N26" s="323"/>
      <c r="O26" s="323"/>
      <c r="P26" s="323"/>
      <c r="Q26" s="372"/>
      <c r="R26" s="355"/>
      <c r="S26" s="322">
        <v>51200</v>
      </c>
      <c r="T26" s="373"/>
      <c r="U26" s="379"/>
      <c r="V26" s="326">
        <f t="shared" si="1"/>
        <v>51200</v>
      </c>
      <c r="W26" s="382"/>
      <c r="X26" s="1"/>
      <c r="Y26" s="117">
        <f t="shared" si="2"/>
        <v>0</v>
      </c>
    </row>
    <row r="27" spans="1:25" ht="24.95" customHeight="1">
      <c r="A27" s="366">
        <v>45854</v>
      </c>
      <c r="B27" s="367">
        <v>50313</v>
      </c>
      <c r="C27" s="318" t="s">
        <v>83</v>
      </c>
      <c r="D27" s="375" t="s">
        <v>85</v>
      </c>
      <c r="E27" s="369" t="s">
        <v>86</v>
      </c>
      <c r="F27" s="321">
        <v>25350</v>
      </c>
      <c r="G27" s="322">
        <v>25350</v>
      </c>
      <c r="H27" s="323"/>
      <c r="I27" s="323"/>
      <c r="J27" s="323"/>
      <c r="K27" s="323"/>
      <c r="L27" s="323">
        <v>25350</v>
      </c>
      <c r="M27" s="363"/>
      <c r="N27" s="323"/>
      <c r="O27" s="323"/>
      <c r="P27" s="323"/>
      <c r="Q27" s="372"/>
      <c r="R27" s="355"/>
      <c r="S27" s="322">
        <v>25350</v>
      </c>
      <c r="T27" s="373"/>
      <c r="U27" s="379"/>
      <c r="V27" s="326">
        <f t="shared" si="1"/>
        <v>25350</v>
      </c>
      <c r="W27" s="377"/>
      <c r="X27" s="1"/>
      <c r="Y27" s="117">
        <f t="shared" si="2"/>
        <v>0</v>
      </c>
    </row>
    <row r="28" spans="1:25" ht="24.95" customHeight="1">
      <c r="A28" s="366">
        <v>45854</v>
      </c>
      <c r="B28" s="367">
        <v>308853</v>
      </c>
      <c r="C28" s="318" t="s">
        <v>87</v>
      </c>
      <c r="D28" s="375" t="s">
        <v>73</v>
      </c>
      <c r="E28" s="369" t="s">
        <v>88</v>
      </c>
      <c r="F28" s="321">
        <v>50950</v>
      </c>
      <c r="G28" s="322">
        <v>50950</v>
      </c>
      <c r="H28" s="323"/>
      <c r="I28" s="323"/>
      <c r="J28" s="323"/>
      <c r="K28" s="323"/>
      <c r="L28" s="323">
        <v>50950</v>
      </c>
      <c r="M28" s="363"/>
      <c r="N28" s="323"/>
      <c r="O28" s="323"/>
      <c r="P28" s="323"/>
      <c r="Q28" s="372"/>
      <c r="R28" s="355"/>
      <c r="S28" s="322"/>
      <c r="T28" s="373"/>
      <c r="U28" s="379">
        <v>50950</v>
      </c>
      <c r="V28" s="326">
        <f t="shared" si="1"/>
        <v>50950</v>
      </c>
      <c r="W28" s="377"/>
      <c r="X28" s="1"/>
      <c r="Y28" s="117">
        <f t="shared" si="2"/>
        <v>0</v>
      </c>
    </row>
    <row r="29" spans="1:25" ht="24.95" customHeight="1">
      <c r="A29" s="366">
        <v>45854</v>
      </c>
      <c r="B29" s="317">
        <v>50315</v>
      </c>
      <c r="C29" s="318" t="s">
        <v>89</v>
      </c>
      <c r="D29" s="375" t="s">
        <v>52</v>
      </c>
      <c r="E29" s="369" t="s">
        <v>90</v>
      </c>
      <c r="F29" s="370"/>
      <c r="G29" s="371"/>
      <c r="H29" s="363"/>
      <c r="I29" s="323"/>
      <c r="J29" s="323"/>
      <c r="K29" s="323"/>
      <c r="L29" s="323">
        <v>11650</v>
      </c>
      <c r="M29" s="363"/>
      <c r="N29" s="323"/>
      <c r="O29" s="323"/>
      <c r="P29" s="323"/>
      <c r="Q29" s="323"/>
      <c r="R29" s="355"/>
      <c r="S29" s="322"/>
      <c r="T29" s="373"/>
      <c r="U29" s="386">
        <v>11650</v>
      </c>
      <c r="V29" s="326">
        <f t="shared" si="1"/>
        <v>11650</v>
      </c>
      <c r="W29" s="377"/>
      <c r="X29" s="1"/>
      <c r="Y29" s="117">
        <f t="shared" si="2"/>
        <v>0</v>
      </c>
    </row>
    <row r="30" spans="1:25" ht="24.95" customHeight="1">
      <c r="A30" s="366">
        <v>45854</v>
      </c>
      <c r="B30" s="387">
        <v>50316</v>
      </c>
      <c r="C30" s="318" t="s">
        <v>89</v>
      </c>
      <c r="D30" s="375" t="s">
        <v>73</v>
      </c>
      <c r="E30" s="388" t="s">
        <v>91</v>
      </c>
      <c r="F30" s="389"/>
      <c r="G30" s="390"/>
      <c r="H30" s="391"/>
      <c r="I30" s="323"/>
      <c r="J30" s="323"/>
      <c r="K30" s="323"/>
      <c r="L30" s="392">
        <v>8350</v>
      </c>
      <c r="M30" s="363"/>
      <c r="N30" s="323"/>
      <c r="O30" s="323"/>
      <c r="P30" s="392"/>
      <c r="Q30" s="392"/>
      <c r="R30" s="355"/>
      <c r="S30" s="393"/>
      <c r="T30" s="373"/>
      <c r="U30" s="386">
        <v>8350</v>
      </c>
      <c r="V30" s="326">
        <f t="shared" si="1"/>
        <v>8350</v>
      </c>
      <c r="W30" s="377"/>
      <c r="X30" s="1"/>
      <c r="Y30" s="117">
        <f t="shared" si="2"/>
        <v>0</v>
      </c>
    </row>
    <row r="31" spans="1:25" ht="24.95" customHeight="1">
      <c r="A31" s="366">
        <v>45854</v>
      </c>
      <c r="B31" s="394">
        <v>50317</v>
      </c>
      <c r="C31" s="395" t="s">
        <v>92</v>
      </c>
      <c r="D31" s="375" t="s">
        <v>52</v>
      </c>
      <c r="E31" s="369" t="s">
        <v>93</v>
      </c>
      <c r="F31" s="370"/>
      <c r="G31" s="396"/>
      <c r="H31" s="397">
        <v>1100</v>
      </c>
      <c r="I31" s="323"/>
      <c r="J31" s="323"/>
      <c r="K31" s="398"/>
      <c r="L31" s="399"/>
      <c r="M31" s="400"/>
      <c r="N31" s="323"/>
      <c r="O31" s="323"/>
      <c r="P31" s="401"/>
      <c r="Q31" s="399"/>
      <c r="R31" s="355"/>
      <c r="S31" s="321">
        <v>1100</v>
      </c>
      <c r="T31" s="373"/>
      <c r="U31" s="386"/>
      <c r="V31" s="326">
        <f t="shared" si="1"/>
        <v>1100</v>
      </c>
      <c r="W31" s="380"/>
      <c r="X31" s="1"/>
      <c r="Y31" s="117">
        <f t="shared" si="2"/>
        <v>0</v>
      </c>
    </row>
    <row r="32" spans="1:25" ht="24.95" customHeight="1">
      <c r="A32" s="366">
        <v>45854</v>
      </c>
      <c r="B32" s="394">
        <v>50318</v>
      </c>
      <c r="C32" s="395" t="s">
        <v>92</v>
      </c>
      <c r="D32" s="375" t="s">
        <v>94</v>
      </c>
      <c r="E32" s="369" t="s">
        <v>93</v>
      </c>
      <c r="F32" s="370"/>
      <c r="G32" s="396"/>
      <c r="H32" s="397">
        <v>14400</v>
      </c>
      <c r="I32" s="323"/>
      <c r="J32" s="323"/>
      <c r="K32" s="323"/>
      <c r="L32" s="399"/>
      <c r="M32" s="363"/>
      <c r="N32" s="323"/>
      <c r="O32" s="323"/>
      <c r="P32" s="401"/>
      <c r="Q32" s="399"/>
      <c r="R32" s="355"/>
      <c r="S32" s="321">
        <v>14400</v>
      </c>
      <c r="T32" s="373"/>
      <c r="U32" s="402"/>
      <c r="V32" s="326">
        <f t="shared" si="1"/>
        <v>14400</v>
      </c>
      <c r="W32" s="403"/>
      <c r="X32" s="1"/>
      <c r="Y32" s="117">
        <f t="shared" si="2"/>
        <v>0</v>
      </c>
    </row>
    <row r="33" spans="1:25" ht="24.95" customHeight="1">
      <c r="A33" s="366">
        <v>45854</v>
      </c>
      <c r="B33" s="394">
        <v>50319</v>
      </c>
      <c r="C33" s="395" t="s">
        <v>95</v>
      </c>
      <c r="D33" s="375" t="s">
        <v>96</v>
      </c>
      <c r="E33" s="369" t="s">
        <v>97</v>
      </c>
      <c r="F33" s="370">
        <v>51350</v>
      </c>
      <c r="G33" s="396">
        <v>51350</v>
      </c>
      <c r="H33" s="397"/>
      <c r="I33" s="323"/>
      <c r="J33" s="323"/>
      <c r="K33" s="323"/>
      <c r="L33" s="399">
        <v>51350</v>
      </c>
      <c r="M33" s="363"/>
      <c r="N33" s="323"/>
      <c r="O33" s="323"/>
      <c r="P33" s="401"/>
      <c r="Q33" s="399"/>
      <c r="R33" s="355"/>
      <c r="S33" s="321"/>
      <c r="T33" s="373"/>
      <c r="U33" s="386">
        <v>51350</v>
      </c>
      <c r="V33" s="326">
        <f t="shared" si="1"/>
        <v>51350</v>
      </c>
      <c r="W33" s="404"/>
      <c r="X33" s="1"/>
      <c r="Y33" s="117">
        <f t="shared" si="2"/>
        <v>0</v>
      </c>
    </row>
    <row r="34" spans="1:25" ht="24.95" customHeight="1">
      <c r="A34" s="366">
        <v>45854</v>
      </c>
      <c r="B34" s="405">
        <v>50320</v>
      </c>
      <c r="C34" s="395" t="s">
        <v>95</v>
      </c>
      <c r="D34" s="375" t="s">
        <v>98</v>
      </c>
      <c r="E34" s="406"/>
      <c r="F34" s="407">
        <v>300</v>
      </c>
      <c r="G34" s="408">
        <v>300</v>
      </c>
      <c r="H34" s="409"/>
      <c r="I34" s="323"/>
      <c r="J34" s="323"/>
      <c r="K34" s="323"/>
      <c r="L34" s="410">
        <v>300</v>
      </c>
      <c r="M34" s="323"/>
      <c r="N34" s="323"/>
      <c r="O34" s="323"/>
      <c r="P34" s="401"/>
      <c r="Q34" s="410"/>
      <c r="R34" s="355"/>
      <c r="S34" s="411">
        <v>300</v>
      </c>
      <c r="T34" s="373"/>
      <c r="U34" s="412"/>
      <c r="V34" s="326">
        <f t="shared" si="1"/>
        <v>300</v>
      </c>
      <c r="W34" s="404"/>
      <c r="X34" s="1"/>
      <c r="Y34" s="117">
        <f t="shared" si="2"/>
        <v>0</v>
      </c>
    </row>
    <row r="35" spans="1:25" ht="24.95" customHeight="1">
      <c r="A35" s="366">
        <v>45854</v>
      </c>
      <c r="B35" s="405" t="s">
        <v>99</v>
      </c>
      <c r="C35" s="395" t="s">
        <v>95</v>
      </c>
      <c r="D35" s="375" t="s">
        <v>100</v>
      </c>
      <c r="E35" s="406"/>
      <c r="F35" s="407">
        <v>7000</v>
      </c>
      <c r="G35" s="408">
        <v>7000</v>
      </c>
      <c r="H35" s="409"/>
      <c r="I35" s="323"/>
      <c r="J35" s="323"/>
      <c r="K35" s="323"/>
      <c r="L35" s="323"/>
      <c r="M35" s="323"/>
      <c r="N35" s="323"/>
      <c r="O35" s="323"/>
      <c r="P35" s="401">
        <v>7000</v>
      </c>
      <c r="Q35" s="410"/>
      <c r="R35" s="355"/>
      <c r="S35" s="411"/>
      <c r="T35" s="373"/>
      <c r="U35" s="412">
        <v>7000</v>
      </c>
      <c r="V35" s="326">
        <f t="shared" si="1"/>
        <v>7000</v>
      </c>
      <c r="W35" s="382"/>
      <c r="X35" s="1"/>
      <c r="Y35" s="117">
        <f>F35+H35+I35+J35+K35+L35+M35+N35+O35+Q35+R35+T35-G35-S35-U35+P35</f>
        <v>0</v>
      </c>
    </row>
    <row r="36" spans="1:25" ht="24.95" customHeight="1">
      <c r="A36" s="366">
        <v>45854</v>
      </c>
      <c r="B36" s="413">
        <v>50357</v>
      </c>
      <c r="C36" s="395" t="s">
        <v>101</v>
      </c>
      <c r="D36" s="368" t="s">
        <v>102</v>
      </c>
      <c r="E36" s="414" t="s">
        <v>103</v>
      </c>
      <c r="F36" s="415"/>
      <c r="G36" s="416"/>
      <c r="H36" s="410">
        <v>40000</v>
      </c>
      <c r="I36" s="323"/>
      <c r="J36" s="323"/>
      <c r="K36" s="323"/>
      <c r="L36" s="323"/>
      <c r="M36" s="323"/>
      <c r="N36" s="323"/>
      <c r="O36" s="323"/>
      <c r="P36" s="323"/>
      <c r="Q36" s="372"/>
      <c r="R36" s="355"/>
      <c r="S36" s="410">
        <v>40000</v>
      </c>
      <c r="T36" s="373"/>
      <c r="U36" s="415"/>
      <c r="V36" s="326">
        <f t="shared" si="1"/>
        <v>40000</v>
      </c>
      <c r="W36" s="377"/>
      <c r="X36" s="1"/>
      <c r="Y36" s="117">
        <f t="shared" si="2"/>
        <v>0</v>
      </c>
    </row>
    <row r="37" spans="1:25" ht="24.95" customHeight="1">
      <c r="A37" s="417">
        <v>45855</v>
      </c>
      <c r="B37" s="418">
        <v>50321</v>
      </c>
      <c r="C37" s="318" t="s">
        <v>104</v>
      </c>
      <c r="D37" s="419" t="s">
        <v>105</v>
      </c>
      <c r="E37" s="420" t="s">
        <v>106</v>
      </c>
      <c r="F37" s="371">
        <v>102200</v>
      </c>
      <c r="G37" s="421">
        <v>102200</v>
      </c>
      <c r="H37" s="363"/>
      <c r="I37" s="323"/>
      <c r="J37" s="323"/>
      <c r="K37" s="323"/>
      <c r="L37" s="363">
        <v>102200</v>
      </c>
      <c r="M37" s="323"/>
      <c r="N37" s="323"/>
      <c r="O37" s="323"/>
      <c r="P37" s="323"/>
      <c r="Q37" s="323"/>
      <c r="R37" s="355"/>
      <c r="S37" s="322"/>
      <c r="T37" s="373"/>
      <c r="U37" s="422">
        <v>102200</v>
      </c>
      <c r="V37" s="326">
        <f t="shared" si="1"/>
        <v>102200</v>
      </c>
      <c r="W37" s="377"/>
      <c r="X37" s="1"/>
      <c r="Y37" s="117">
        <f t="shared" si="2"/>
        <v>0</v>
      </c>
    </row>
    <row r="38" spans="1:25" ht="24.95" customHeight="1">
      <c r="A38" s="417">
        <v>45855</v>
      </c>
      <c r="B38" s="418">
        <v>50322</v>
      </c>
      <c r="C38" s="423" t="s">
        <v>107</v>
      </c>
      <c r="D38" s="424" t="s">
        <v>73</v>
      </c>
      <c r="E38" s="425" t="s">
        <v>108</v>
      </c>
      <c r="F38" s="371">
        <v>50950</v>
      </c>
      <c r="G38" s="421">
        <v>50950</v>
      </c>
      <c r="H38" s="363"/>
      <c r="I38" s="323"/>
      <c r="J38" s="323"/>
      <c r="K38" s="323"/>
      <c r="L38" s="363">
        <v>50950</v>
      </c>
      <c r="M38" s="323"/>
      <c r="N38" s="323"/>
      <c r="O38" s="323"/>
      <c r="P38" s="323"/>
      <c r="Q38" s="323"/>
      <c r="R38" s="355"/>
      <c r="S38" s="322"/>
      <c r="T38" s="373"/>
      <c r="U38" s="422">
        <v>50950</v>
      </c>
      <c r="V38" s="326">
        <f t="shared" si="1"/>
        <v>50950</v>
      </c>
      <c r="W38" s="377"/>
      <c r="X38" s="1"/>
      <c r="Y38" s="57">
        <f t="shared" ref="Y38:Y47" si="3">F38+H38+I38+J38+K38+L38+M38+N38+O38+Q38+R38+T38-G38-S38-U38</f>
        <v>0</v>
      </c>
    </row>
    <row r="39" spans="1:25" ht="24.95" customHeight="1">
      <c r="A39" s="417">
        <v>45855</v>
      </c>
      <c r="B39" s="418">
        <v>50324</v>
      </c>
      <c r="C39" s="318" t="s">
        <v>109</v>
      </c>
      <c r="D39" s="424" t="s">
        <v>73</v>
      </c>
      <c r="E39" s="426" t="s">
        <v>110</v>
      </c>
      <c r="F39" s="421"/>
      <c r="G39" s="421"/>
      <c r="H39" s="363">
        <v>51050</v>
      </c>
      <c r="I39" s="323"/>
      <c r="J39" s="323"/>
      <c r="K39" s="323"/>
      <c r="L39" s="363"/>
      <c r="M39" s="323"/>
      <c r="N39" s="323"/>
      <c r="O39" s="323"/>
      <c r="P39" s="323"/>
      <c r="Q39" s="323"/>
      <c r="R39" s="355"/>
      <c r="S39" s="322"/>
      <c r="T39" s="373"/>
      <c r="U39" s="422">
        <v>51050</v>
      </c>
      <c r="V39" s="326">
        <f t="shared" si="1"/>
        <v>51050</v>
      </c>
      <c r="W39" s="377"/>
      <c r="X39" s="1"/>
      <c r="Y39" s="57">
        <f t="shared" si="3"/>
        <v>0</v>
      </c>
    </row>
    <row r="40" spans="1:25" ht="24.95" customHeight="1">
      <c r="A40" s="417">
        <v>45855</v>
      </c>
      <c r="B40" s="427">
        <v>50325</v>
      </c>
      <c r="C40" s="318" t="s">
        <v>111</v>
      </c>
      <c r="D40" s="424" t="s">
        <v>112</v>
      </c>
      <c r="E40" s="428" t="s">
        <v>113</v>
      </c>
      <c r="F40" s="421"/>
      <c r="G40" s="421"/>
      <c r="H40" s="363"/>
      <c r="I40" s="323">
        <v>102200</v>
      </c>
      <c r="J40" s="323"/>
      <c r="K40" s="323"/>
      <c r="L40" s="363"/>
      <c r="M40" s="323"/>
      <c r="N40" s="323"/>
      <c r="O40" s="323"/>
      <c r="P40" s="323"/>
      <c r="Q40" s="323"/>
      <c r="R40" s="355"/>
      <c r="S40" s="322"/>
      <c r="T40" s="373"/>
      <c r="U40" s="429">
        <v>102200</v>
      </c>
      <c r="V40" s="326">
        <f t="shared" si="1"/>
        <v>102200</v>
      </c>
      <c r="W40" s="377"/>
      <c r="X40" s="1"/>
      <c r="Y40" s="57">
        <f t="shared" si="3"/>
        <v>0</v>
      </c>
    </row>
    <row r="41" spans="1:25" ht="24.95" customHeight="1">
      <c r="A41" s="417">
        <v>45855</v>
      </c>
      <c r="B41" s="427">
        <v>50326</v>
      </c>
      <c r="C41" s="318" t="s">
        <v>114</v>
      </c>
      <c r="D41" s="424" t="s">
        <v>112</v>
      </c>
      <c r="E41" s="428" t="s">
        <v>268</v>
      </c>
      <c r="F41" s="421"/>
      <c r="G41" s="421"/>
      <c r="H41" s="363"/>
      <c r="I41" s="323"/>
      <c r="J41" s="323"/>
      <c r="K41" s="323"/>
      <c r="L41" s="363"/>
      <c r="M41" s="323"/>
      <c r="N41" s="323"/>
      <c r="O41" s="323"/>
      <c r="P41" s="323"/>
      <c r="Q41" s="372">
        <v>103100</v>
      </c>
      <c r="R41" s="323"/>
      <c r="S41" s="322"/>
      <c r="T41" s="373"/>
      <c r="U41" s="429">
        <v>103100</v>
      </c>
      <c r="V41" s="326">
        <f t="shared" si="1"/>
        <v>103100</v>
      </c>
      <c r="W41" s="598" t="s">
        <v>81</v>
      </c>
      <c r="X41" s="1"/>
      <c r="Y41" s="57">
        <f t="shared" si="3"/>
        <v>0</v>
      </c>
    </row>
    <row r="42" spans="1:25" ht="24.95" customHeight="1">
      <c r="A42" s="417">
        <v>45855</v>
      </c>
      <c r="B42" s="427">
        <v>50327</v>
      </c>
      <c r="C42" s="318" t="s">
        <v>114</v>
      </c>
      <c r="D42" s="424" t="s">
        <v>116</v>
      </c>
      <c r="E42" s="428" t="s">
        <v>117</v>
      </c>
      <c r="F42" s="421"/>
      <c r="G42" s="421"/>
      <c r="H42" s="363"/>
      <c r="I42" s="323"/>
      <c r="J42" s="323"/>
      <c r="K42" s="323"/>
      <c r="L42" s="363"/>
      <c r="M42" s="323"/>
      <c r="N42" s="323"/>
      <c r="O42" s="323"/>
      <c r="P42" s="323"/>
      <c r="Q42" s="323">
        <v>1300</v>
      </c>
      <c r="R42" s="355"/>
      <c r="S42" s="430">
        <v>1300</v>
      </c>
      <c r="T42" s="373"/>
      <c r="U42" s="429"/>
      <c r="V42" s="326">
        <f t="shared" si="1"/>
        <v>1300</v>
      </c>
      <c r="W42" s="599"/>
      <c r="X42" s="1"/>
      <c r="Y42" s="57">
        <f t="shared" si="3"/>
        <v>0</v>
      </c>
    </row>
    <row r="43" spans="1:25" ht="24.95" customHeight="1">
      <c r="A43" s="417">
        <v>45855</v>
      </c>
      <c r="B43" s="427">
        <v>50328</v>
      </c>
      <c r="C43" s="318" t="s">
        <v>114</v>
      </c>
      <c r="D43" s="424" t="s">
        <v>116</v>
      </c>
      <c r="E43" s="428" t="s">
        <v>118</v>
      </c>
      <c r="F43" s="421"/>
      <c r="G43" s="421"/>
      <c r="H43" s="363"/>
      <c r="I43" s="323"/>
      <c r="J43" s="323"/>
      <c r="K43" s="323"/>
      <c r="L43" s="363"/>
      <c r="M43" s="323"/>
      <c r="N43" s="323"/>
      <c r="O43" s="323"/>
      <c r="P43" s="323"/>
      <c r="Q43" s="323">
        <v>900</v>
      </c>
      <c r="R43" s="355"/>
      <c r="S43" s="430">
        <v>900</v>
      </c>
      <c r="T43" s="373"/>
      <c r="U43" s="429"/>
      <c r="V43" s="326">
        <f t="shared" si="1"/>
        <v>900</v>
      </c>
      <c r="W43" s="599"/>
      <c r="X43" s="1"/>
      <c r="Y43" s="57">
        <f t="shared" si="3"/>
        <v>0</v>
      </c>
    </row>
    <row r="44" spans="1:25" ht="24.95" customHeight="1">
      <c r="A44" s="417">
        <v>45855</v>
      </c>
      <c r="B44" s="427">
        <v>50329</v>
      </c>
      <c r="C44" s="318" t="s">
        <v>114</v>
      </c>
      <c r="D44" s="424" t="s">
        <v>119</v>
      </c>
      <c r="E44" s="428" t="s">
        <v>120</v>
      </c>
      <c r="F44" s="421"/>
      <c r="G44" s="421"/>
      <c r="H44" s="363"/>
      <c r="I44" s="323"/>
      <c r="J44" s="323"/>
      <c r="K44" s="323"/>
      <c r="L44" s="363"/>
      <c r="M44" s="323"/>
      <c r="N44" s="323"/>
      <c r="O44" s="323"/>
      <c r="P44" s="323"/>
      <c r="Q44" s="323">
        <v>900</v>
      </c>
      <c r="R44" s="355"/>
      <c r="S44" s="430">
        <v>900</v>
      </c>
      <c r="T44" s="373"/>
      <c r="U44" s="429"/>
      <c r="V44" s="326">
        <f t="shared" si="1"/>
        <v>900</v>
      </c>
      <c r="W44" s="599"/>
      <c r="X44" s="1"/>
      <c r="Y44" s="57">
        <f t="shared" si="3"/>
        <v>0</v>
      </c>
    </row>
    <row r="45" spans="1:25" ht="24.95" customHeight="1">
      <c r="A45" s="417">
        <v>45855</v>
      </c>
      <c r="B45" s="427">
        <v>50330</v>
      </c>
      <c r="C45" s="318" t="s">
        <v>114</v>
      </c>
      <c r="D45" s="424" t="s">
        <v>52</v>
      </c>
      <c r="E45" s="428" t="s">
        <v>121</v>
      </c>
      <c r="F45" s="421"/>
      <c r="G45" s="421"/>
      <c r="H45" s="363"/>
      <c r="I45" s="323"/>
      <c r="J45" s="323"/>
      <c r="K45" s="323"/>
      <c r="L45" s="363"/>
      <c r="M45" s="323"/>
      <c r="N45" s="323"/>
      <c r="O45" s="323"/>
      <c r="P45" s="323"/>
      <c r="Q45" s="323">
        <v>600</v>
      </c>
      <c r="R45" s="355"/>
      <c r="S45" s="430">
        <v>600</v>
      </c>
      <c r="T45" s="373"/>
      <c r="U45" s="429"/>
      <c r="V45" s="326">
        <f t="shared" si="1"/>
        <v>600</v>
      </c>
      <c r="W45" s="600"/>
      <c r="X45" s="1"/>
      <c r="Y45" s="57">
        <f t="shared" si="3"/>
        <v>0</v>
      </c>
    </row>
    <row r="46" spans="1:25" ht="24.95" customHeight="1">
      <c r="A46" s="417">
        <v>45855</v>
      </c>
      <c r="B46" s="427">
        <v>50331</v>
      </c>
      <c r="C46" s="318" t="s">
        <v>122</v>
      </c>
      <c r="D46" s="424" t="s">
        <v>73</v>
      </c>
      <c r="E46" s="431" t="s">
        <v>123</v>
      </c>
      <c r="F46" s="429"/>
      <c r="G46" s="429"/>
      <c r="H46" s="400">
        <v>51100</v>
      </c>
      <c r="I46" s="345"/>
      <c r="J46" s="345"/>
      <c r="K46" s="323"/>
      <c r="L46" s="400"/>
      <c r="M46" s="323"/>
      <c r="N46" s="323"/>
      <c r="O46" s="323"/>
      <c r="P46" s="323"/>
      <c r="Q46" s="345"/>
      <c r="R46" s="355"/>
      <c r="S46" s="322"/>
      <c r="T46" s="373"/>
      <c r="U46" s="429">
        <v>51100</v>
      </c>
      <c r="V46" s="326">
        <f t="shared" si="1"/>
        <v>51100</v>
      </c>
      <c r="W46" s="432"/>
      <c r="X46" s="1"/>
      <c r="Y46" s="57">
        <f t="shared" si="3"/>
        <v>0</v>
      </c>
    </row>
    <row r="47" spans="1:25" ht="24.95" customHeight="1">
      <c r="A47" s="417">
        <v>45855</v>
      </c>
      <c r="B47" s="427">
        <v>50332</v>
      </c>
      <c r="C47" s="433" t="s">
        <v>124</v>
      </c>
      <c r="D47" s="424" t="s">
        <v>125</v>
      </c>
      <c r="E47" s="434" t="s">
        <v>126</v>
      </c>
      <c r="F47" s="421"/>
      <c r="G47" s="421"/>
      <c r="H47" s="363"/>
      <c r="I47" s="323">
        <v>50950</v>
      </c>
      <c r="J47" s="323"/>
      <c r="K47" s="323"/>
      <c r="L47" s="363"/>
      <c r="M47" s="323"/>
      <c r="N47" s="323"/>
      <c r="O47" s="323"/>
      <c r="P47" s="323"/>
      <c r="Q47" s="323"/>
      <c r="R47" s="355"/>
      <c r="S47" s="322"/>
      <c r="T47" s="373"/>
      <c r="U47" s="422">
        <v>50950</v>
      </c>
      <c r="V47" s="326">
        <f t="shared" si="1"/>
        <v>50950</v>
      </c>
      <c r="W47" s="377"/>
      <c r="X47" s="1"/>
      <c r="Y47" s="57">
        <f t="shared" si="3"/>
        <v>0</v>
      </c>
    </row>
    <row r="48" spans="1:25" ht="24.95" customHeight="1">
      <c r="A48" s="417">
        <v>45855</v>
      </c>
      <c r="B48" s="427">
        <v>50333</v>
      </c>
      <c r="C48" s="433" t="s">
        <v>127</v>
      </c>
      <c r="D48" s="424" t="s">
        <v>128</v>
      </c>
      <c r="E48" s="434" t="s">
        <v>129</v>
      </c>
      <c r="F48" s="421"/>
      <c r="G48" s="421"/>
      <c r="H48" s="323">
        <v>25800</v>
      </c>
      <c r="I48" s="323"/>
      <c r="J48" s="323"/>
      <c r="K48" s="323"/>
      <c r="L48" s="363"/>
      <c r="M48" s="323"/>
      <c r="N48" s="323"/>
      <c r="O48" s="323"/>
      <c r="P48" s="323"/>
      <c r="Q48" s="323"/>
      <c r="R48" s="355"/>
      <c r="S48" s="322"/>
      <c r="T48" s="373"/>
      <c r="U48" s="422">
        <v>25800</v>
      </c>
      <c r="V48" s="326">
        <f t="shared" si="1"/>
        <v>25800</v>
      </c>
      <c r="W48" s="377"/>
      <c r="X48" s="1"/>
      <c r="Y48" s="57">
        <f t="shared" ref="Y48:Y79" si="4">F48+H48+I48+J48+K48+L48+M48+N48+O48+Q48+R48+T48-G48-S48-U48</f>
        <v>0</v>
      </c>
    </row>
    <row r="49" spans="1:25" ht="24.95" customHeight="1">
      <c r="A49" s="417">
        <v>45855</v>
      </c>
      <c r="B49" s="427">
        <v>50334</v>
      </c>
      <c r="C49" s="318" t="s">
        <v>130</v>
      </c>
      <c r="D49" s="424" t="s">
        <v>131</v>
      </c>
      <c r="E49" s="434" t="s">
        <v>132</v>
      </c>
      <c r="F49" s="324"/>
      <c r="G49" s="324"/>
      <c r="H49" s="323"/>
      <c r="I49" s="323"/>
      <c r="J49" s="323">
        <v>203150</v>
      </c>
      <c r="K49" s="323"/>
      <c r="L49" s="323"/>
      <c r="M49" s="323"/>
      <c r="N49" s="323"/>
      <c r="O49" s="323"/>
      <c r="P49" s="323"/>
      <c r="Q49" s="323"/>
      <c r="R49" s="355"/>
      <c r="S49" s="322"/>
      <c r="T49" s="373"/>
      <c r="U49" s="435">
        <v>203150</v>
      </c>
      <c r="V49" s="326">
        <f t="shared" si="1"/>
        <v>203150</v>
      </c>
      <c r="W49" s="377"/>
      <c r="X49" s="1"/>
      <c r="Y49" s="57">
        <f t="shared" si="4"/>
        <v>0</v>
      </c>
    </row>
    <row r="50" spans="1:25" ht="24.95" customHeight="1">
      <c r="A50" s="417">
        <v>45855</v>
      </c>
      <c r="B50" s="427">
        <v>50335</v>
      </c>
      <c r="C50" s="318" t="s">
        <v>133</v>
      </c>
      <c r="D50" s="424" t="s">
        <v>134</v>
      </c>
      <c r="E50" s="434" t="s">
        <v>135</v>
      </c>
      <c r="F50" s="324"/>
      <c r="G50" s="324"/>
      <c r="H50" s="323"/>
      <c r="I50" s="323"/>
      <c r="J50" s="323"/>
      <c r="K50" s="323"/>
      <c r="L50" s="323">
        <v>354050</v>
      </c>
      <c r="M50" s="323"/>
      <c r="N50" s="323"/>
      <c r="O50" s="323"/>
      <c r="P50" s="323"/>
      <c r="Q50" s="323"/>
      <c r="R50" s="355"/>
      <c r="S50" s="322"/>
      <c r="T50" s="373"/>
      <c r="U50" s="435">
        <v>354050</v>
      </c>
      <c r="V50" s="326">
        <f t="shared" si="1"/>
        <v>354050</v>
      </c>
      <c r="W50" s="377"/>
      <c r="X50" s="1"/>
      <c r="Y50" s="57">
        <f t="shared" si="4"/>
        <v>0</v>
      </c>
    </row>
    <row r="51" spans="1:25" ht="24.95" customHeight="1">
      <c r="A51" s="417">
        <v>45855</v>
      </c>
      <c r="B51" s="427">
        <v>50336</v>
      </c>
      <c r="C51" s="318" t="s">
        <v>136</v>
      </c>
      <c r="D51" s="436" t="s">
        <v>137</v>
      </c>
      <c r="E51" s="434" t="s">
        <v>138</v>
      </c>
      <c r="F51" s="324"/>
      <c r="G51" s="324"/>
      <c r="H51" s="323"/>
      <c r="I51" s="323"/>
      <c r="J51" s="323"/>
      <c r="K51" s="323"/>
      <c r="L51" s="323"/>
      <c r="M51" s="323"/>
      <c r="N51" s="437">
        <v>76150</v>
      </c>
      <c r="O51" s="323"/>
      <c r="P51" s="323"/>
      <c r="Q51" s="323"/>
      <c r="R51" s="355"/>
      <c r="S51" s="322"/>
      <c r="T51" s="373"/>
      <c r="U51" s="438">
        <v>76150</v>
      </c>
      <c r="V51" s="326">
        <f t="shared" si="1"/>
        <v>76150</v>
      </c>
      <c r="W51" s="377"/>
      <c r="X51" s="1"/>
      <c r="Y51" s="57">
        <f t="shared" si="4"/>
        <v>0</v>
      </c>
    </row>
    <row r="52" spans="1:25" ht="24.95" customHeight="1">
      <c r="A52" s="417">
        <v>45855</v>
      </c>
      <c r="B52" s="427">
        <v>50337</v>
      </c>
      <c r="C52" s="423" t="s">
        <v>139</v>
      </c>
      <c r="D52" s="436" t="s">
        <v>140</v>
      </c>
      <c r="E52" s="439" t="s">
        <v>141</v>
      </c>
      <c r="F52" s="324"/>
      <c r="G52" s="324"/>
      <c r="H52" s="323"/>
      <c r="I52" s="323"/>
      <c r="J52" s="323"/>
      <c r="K52" s="323"/>
      <c r="L52" s="323">
        <v>203700</v>
      </c>
      <c r="M52" s="323"/>
      <c r="N52" s="323"/>
      <c r="O52" s="323"/>
      <c r="P52" s="323"/>
      <c r="Q52" s="323"/>
      <c r="R52" s="355"/>
      <c r="S52" s="322"/>
      <c r="T52" s="373"/>
      <c r="U52" s="438">
        <v>203700</v>
      </c>
      <c r="V52" s="326">
        <f t="shared" si="1"/>
        <v>203700</v>
      </c>
      <c r="W52" s="377"/>
      <c r="X52" s="1"/>
      <c r="Y52" s="57">
        <f t="shared" si="4"/>
        <v>0</v>
      </c>
    </row>
    <row r="53" spans="1:25" ht="24.95" customHeight="1">
      <c r="A53" s="417">
        <v>45855</v>
      </c>
      <c r="B53" s="427">
        <v>50338</v>
      </c>
      <c r="C53" s="423" t="s">
        <v>142</v>
      </c>
      <c r="D53" s="436" t="s">
        <v>73</v>
      </c>
      <c r="E53" s="439" t="s">
        <v>143</v>
      </c>
      <c r="F53" s="324"/>
      <c r="G53" s="324"/>
      <c r="H53" s="323"/>
      <c r="I53" s="323"/>
      <c r="J53" s="323">
        <v>51200</v>
      </c>
      <c r="K53" s="323"/>
      <c r="L53" s="323"/>
      <c r="M53" s="323"/>
      <c r="N53" s="323"/>
      <c r="O53" s="323"/>
      <c r="P53" s="323"/>
      <c r="Q53" s="323"/>
      <c r="R53" s="355"/>
      <c r="S53" s="322"/>
      <c r="T53" s="373"/>
      <c r="U53" s="438">
        <v>51200</v>
      </c>
      <c r="V53" s="326">
        <f t="shared" si="1"/>
        <v>51200</v>
      </c>
      <c r="W53" s="377"/>
      <c r="X53" s="1"/>
      <c r="Y53" s="57">
        <f t="shared" si="4"/>
        <v>0</v>
      </c>
    </row>
    <row r="54" spans="1:25" ht="24.95" customHeight="1">
      <c r="A54" s="417">
        <v>45855</v>
      </c>
      <c r="B54" s="427">
        <v>50339</v>
      </c>
      <c r="C54" s="423" t="s">
        <v>144</v>
      </c>
      <c r="D54" s="436" t="s">
        <v>112</v>
      </c>
      <c r="E54" s="439" t="s">
        <v>145</v>
      </c>
      <c r="F54" s="324"/>
      <c r="G54" s="324"/>
      <c r="H54" s="323"/>
      <c r="I54" s="323"/>
      <c r="J54" s="323"/>
      <c r="K54" s="323"/>
      <c r="L54" s="323"/>
      <c r="M54" s="323"/>
      <c r="N54" s="323"/>
      <c r="O54" s="323"/>
      <c r="P54" s="323"/>
      <c r="Q54" s="323">
        <v>102500</v>
      </c>
      <c r="R54" s="355"/>
      <c r="S54" s="322"/>
      <c r="T54" s="373"/>
      <c r="U54" s="438">
        <v>102500</v>
      </c>
      <c r="V54" s="326">
        <f t="shared" si="1"/>
        <v>102500</v>
      </c>
      <c r="W54" s="404"/>
      <c r="X54" s="1"/>
      <c r="Y54" s="57">
        <f t="shared" si="4"/>
        <v>0</v>
      </c>
    </row>
    <row r="55" spans="1:25" ht="24.95" customHeight="1">
      <c r="A55" s="417">
        <v>45855</v>
      </c>
      <c r="B55" s="427">
        <v>50340</v>
      </c>
      <c r="C55" s="423" t="s">
        <v>146</v>
      </c>
      <c r="D55" s="436" t="s">
        <v>147</v>
      </c>
      <c r="E55" s="439" t="s">
        <v>37</v>
      </c>
      <c r="F55" s="324"/>
      <c r="G55" s="324"/>
      <c r="H55" s="323"/>
      <c r="I55" s="323"/>
      <c r="J55" s="323"/>
      <c r="K55" s="323"/>
      <c r="L55" s="323"/>
      <c r="M55" s="323">
        <v>100000</v>
      </c>
      <c r="N55" s="323"/>
      <c r="O55" s="323"/>
      <c r="P55" s="323"/>
      <c r="Q55" s="323"/>
      <c r="R55" s="355"/>
      <c r="S55" s="322"/>
      <c r="T55" s="373"/>
      <c r="U55" s="438">
        <v>100000</v>
      </c>
      <c r="V55" s="326">
        <f t="shared" si="1"/>
        <v>100000</v>
      </c>
      <c r="W55" s="404"/>
      <c r="X55" s="1"/>
      <c r="Y55" s="57">
        <f t="shared" si="4"/>
        <v>0</v>
      </c>
    </row>
    <row r="56" spans="1:25" ht="24.95" customHeight="1">
      <c r="A56" s="417">
        <v>45855</v>
      </c>
      <c r="B56" s="427">
        <v>50341</v>
      </c>
      <c r="C56" s="423" t="s">
        <v>148</v>
      </c>
      <c r="D56" s="436" t="s">
        <v>149</v>
      </c>
      <c r="E56" s="439" t="s">
        <v>150</v>
      </c>
      <c r="F56" s="324"/>
      <c r="G56" s="324"/>
      <c r="H56" s="323"/>
      <c r="I56" s="323"/>
      <c r="J56" s="323"/>
      <c r="K56" s="323"/>
      <c r="L56" s="323">
        <v>102200</v>
      </c>
      <c r="M56" s="323"/>
      <c r="N56" s="323"/>
      <c r="O56" s="323"/>
      <c r="P56" s="323"/>
      <c r="Q56" s="323"/>
      <c r="R56" s="355"/>
      <c r="S56" s="322"/>
      <c r="T56" s="373"/>
      <c r="U56" s="438">
        <v>102200</v>
      </c>
      <c r="V56" s="326">
        <f t="shared" si="1"/>
        <v>102200</v>
      </c>
      <c r="W56" s="382"/>
      <c r="X56" s="1"/>
      <c r="Y56" s="57">
        <f t="shared" si="4"/>
        <v>0</v>
      </c>
    </row>
    <row r="57" spans="1:25" ht="24.95" customHeight="1">
      <c r="A57" s="417">
        <v>45855</v>
      </c>
      <c r="B57" s="427">
        <v>50342</v>
      </c>
      <c r="C57" s="440" t="s">
        <v>151</v>
      </c>
      <c r="D57" s="436" t="s">
        <v>73</v>
      </c>
      <c r="E57" s="434" t="s">
        <v>152</v>
      </c>
      <c r="F57" s="324"/>
      <c r="G57" s="322"/>
      <c r="H57" s="323"/>
      <c r="I57" s="323">
        <v>51100</v>
      </c>
      <c r="J57" s="323"/>
      <c r="K57" s="323"/>
      <c r="L57" s="323"/>
      <c r="M57" s="323"/>
      <c r="N57" s="323"/>
      <c r="O57" s="323"/>
      <c r="P57" s="323"/>
      <c r="Q57" s="323"/>
      <c r="R57" s="355"/>
      <c r="S57" s="322"/>
      <c r="T57" s="373"/>
      <c r="U57" s="438">
        <v>51100</v>
      </c>
      <c r="V57" s="326">
        <f t="shared" si="1"/>
        <v>51100</v>
      </c>
      <c r="W57" s="377"/>
      <c r="X57" s="1"/>
      <c r="Y57" s="57">
        <f t="shared" si="4"/>
        <v>0</v>
      </c>
    </row>
    <row r="58" spans="1:25" ht="24.95" customHeight="1">
      <c r="A58" s="417">
        <v>45855</v>
      </c>
      <c r="B58" s="427">
        <v>50343</v>
      </c>
      <c r="C58" s="318" t="s">
        <v>153</v>
      </c>
      <c r="D58" s="436" t="s">
        <v>112</v>
      </c>
      <c r="E58" s="441" t="s">
        <v>154</v>
      </c>
      <c r="F58" s="324"/>
      <c r="G58" s="322"/>
      <c r="H58" s="323">
        <v>101800</v>
      </c>
      <c r="I58" s="323"/>
      <c r="J58" s="323"/>
      <c r="K58" s="323"/>
      <c r="L58" s="323"/>
      <c r="M58" s="323"/>
      <c r="N58" s="323"/>
      <c r="O58" s="323"/>
      <c r="P58" s="323"/>
      <c r="Q58" s="323"/>
      <c r="R58" s="355"/>
      <c r="S58" s="322"/>
      <c r="T58" s="373"/>
      <c r="U58" s="442">
        <v>101800</v>
      </c>
      <c r="V58" s="326">
        <f t="shared" si="1"/>
        <v>101800</v>
      </c>
      <c r="W58" s="362"/>
      <c r="X58" s="1"/>
      <c r="Y58" s="57">
        <f t="shared" si="4"/>
        <v>0</v>
      </c>
    </row>
    <row r="59" spans="1:25" ht="24.95" customHeight="1">
      <c r="A59" s="417">
        <v>45855</v>
      </c>
      <c r="B59" s="418">
        <v>50344</v>
      </c>
      <c r="C59" s="318" t="s">
        <v>155</v>
      </c>
      <c r="D59" s="436" t="s">
        <v>112</v>
      </c>
      <c r="E59" s="443" t="s">
        <v>156</v>
      </c>
      <c r="F59" s="444"/>
      <c r="G59" s="322"/>
      <c r="H59" s="323"/>
      <c r="I59" s="323"/>
      <c r="J59" s="323"/>
      <c r="K59" s="323"/>
      <c r="L59" s="323">
        <v>102100</v>
      </c>
      <c r="M59" s="323"/>
      <c r="N59" s="323"/>
      <c r="O59" s="323"/>
      <c r="P59" s="323"/>
      <c r="Q59" s="323"/>
      <c r="R59" s="323"/>
      <c r="S59" s="324"/>
      <c r="T59" s="445"/>
      <c r="U59" s="324">
        <v>102100</v>
      </c>
      <c r="V59" s="326">
        <f t="shared" si="1"/>
        <v>102100</v>
      </c>
      <c r="W59" s="362"/>
      <c r="X59" s="1"/>
      <c r="Y59" s="57">
        <f t="shared" si="4"/>
        <v>0</v>
      </c>
    </row>
    <row r="60" spans="1:25" ht="24.95" customHeight="1">
      <c r="A60" s="446">
        <v>45855</v>
      </c>
      <c r="B60" s="418">
        <v>50345</v>
      </c>
      <c r="C60" s="318" t="s">
        <v>157</v>
      </c>
      <c r="D60" s="447" t="s">
        <v>158</v>
      </c>
      <c r="E60" s="369" t="s">
        <v>159</v>
      </c>
      <c r="F60" s="321"/>
      <c r="G60" s="322"/>
      <c r="H60" s="323">
        <v>25675</v>
      </c>
      <c r="I60" s="323"/>
      <c r="J60" s="323"/>
      <c r="K60" s="323"/>
      <c r="L60" s="323"/>
      <c r="M60" s="323"/>
      <c r="N60" s="323"/>
      <c r="O60" s="323"/>
      <c r="P60" s="323"/>
      <c r="Q60" s="323"/>
      <c r="R60" s="323"/>
      <c r="S60" s="324"/>
      <c r="T60" s="445"/>
      <c r="U60" s="444">
        <v>25675</v>
      </c>
      <c r="V60" s="326">
        <f t="shared" si="1"/>
        <v>25675</v>
      </c>
      <c r="W60" s="362"/>
      <c r="X60" s="1"/>
      <c r="Y60" s="57">
        <f t="shared" si="4"/>
        <v>0</v>
      </c>
    </row>
    <row r="61" spans="1:25" ht="24.95" customHeight="1">
      <c r="A61" s="316">
        <v>45856</v>
      </c>
      <c r="B61" s="317">
        <v>50346</v>
      </c>
      <c r="C61" s="318" t="s">
        <v>157</v>
      </c>
      <c r="D61" s="448" t="s">
        <v>161</v>
      </c>
      <c r="E61" s="449" t="s">
        <v>162</v>
      </c>
      <c r="F61" s="321"/>
      <c r="G61" s="450"/>
      <c r="H61" s="323">
        <v>25675</v>
      </c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4"/>
      <c r="T61" s="445"/>
      <c r="U61" s="451">
        <v>25675</v>
      </c>
      <c r="V61" s="326">
        <f t="shared" si="1"/>
        <v>25675</v>
      </c>
      <c r="W61" s="362"/>
      <c r="X61" s="1"/>
      <c r="Y61" s="57">
        <f t="shared" si="4"/>
        <v>0</v>
      </c>
    </row>
    <row r="62" spans="1:25" ht="24.95" customHeight="1">
      <c r="A62" s="316">
        <v>45856</v>
      </c>
      <c r="B62" s="317">
        <v>50347</v>
      </c>
      <c r="C62" s="452" t="s">
        <v>163</v>
      </c>
      <c r="D62" s="448" t="s">
        <v>161</v>
      </c>
      <c r="E62" s="453" t="s">
        <v>164</v>
      </c>
      <c r="F62" s="454"/>
      <c r="G62" s="455"/>
      <c r="H62" s="323"/>
      <c r="I62" s="323"/>
      <c r="J62" s="323">
        <v>51100</v>
      </c>
      <c r="K62" s="323"/>
      <c r="L62" s="323"/>
      <c r="M62" s="323"/>
      <c r="N62" s="323"/>
      <c r="O62" s="323"/>
      <c r="P62" s="323"/>
      <c r="Q62" s="323"/>
      <c r="R62" s="323"/>
      <c r="S62" s="324"/>
      <c r="T62" s="445"/>
      <c r="U62" s="348">
        <v>51100</v>
      </c>
      <c r="V62" s="326">
        <f t="shared" si="1"/>
        <v>51100</v>
      </c>
      <c r="W62" s="362"/>
      <c r="X62" s="1"/>
      <c r="Y62" s="57">
        <f t="shared" si="4"/>
        <v>0</v>
      </c>
    </row>
    <row r="63" spans="1:25" ht="24.95" customHeight="1">
      <c r="A63" s="316">
        <v>45856</v>
      </c>
      <c r="B63" s="317">
        <v>2896</v>
      </c>
      <c r="C63" s="452" t="s">
        <v>165</v>
      </c>
      <c r="D63" s="448" t="s">
        <v>161</v>
      </c>
      <c r="E63" s="453" t="s">
        <v>166</v>
      </c>
      <c r="F63" s="454">
        <v>51500</v>
      </c>
      <c r="G63" s="455">
        <v>51500</v>
      </c>
      <c r="H63" s="323">
        <v>51500</v>
      </c>
      <c r="I63" s="323"/>
      <c r="J63" s="323"/>
      <c r="K63" s="323"/>
      <c r="L63" s="323"/>
      <c r="M63" s="323"/>
      <c r="N63" s="323"/>
      <c r="O63" s="323"/>
      <c r="P63" s="323"/>
      <c r="Q63" s="323"/>
      <c r="R63" s="323"/>
      <c r="S63" s="324"/>
      <c r="T63" s="445"/>
      <c r="U63" s="348">
        <v>51500</v>
      </c>
      <c r="V63" s="326">
        <f t="shared" si="1"/>
        <v>51500</v>
      </c>
      <c r="W63" s="362"/>
      <c r="X63" s="1"/>
      <c r="Y63" s="57">
        <f t="shared" si="4"/>
        <v>0</v>
      </c>
    </row>
    <row r="64" spans="1:25" ht="24.95" customHeight="1">
      <c r="A64" s="316">
        <v>45856</v>
      </c>
      <c r="B64" s="317">
        <v>50348</v>
      </c>
      <c r="C64" s="452" t="s">
        <v>167</v>
      </c>
      <c r="D64" s="448" t="s">
        <v>168</v>
      </c>
      <c r="E64" s="453" t="s">
        <v>169</v>
      </c>
      <c r="F64" s="454">
        <v>25625</v>
      </c>
      <c r="G64" s="455">
        <v>25625</v>
      </c>
      <c r="H64" s="323">
        <v>25625</v>
      </c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4"/>
      <c r="T64" s="445"/>
      <c r="U64" s="348">
        <v>25625</v>
      </c>
      <c r="V64" s="326">
        <f t="shared" si="1"/>
        <v>25625</v>
      </c>
      <c r="W64" s="362"/>
      <c r="X64" s="1"/>
      <c r="Y64" s="57">
        <f t="shared" si="4"/>
        <v>0</v>
      </c>
    </row>
    <row r="65" spans="1:25" ht="24.95" customHeight="1">
      <c r="A65" s="316">
        <v>45856</v>
      </c>
      <c r="B65" s="317">
        <v>50350</v>
      </c>
      <c r="C65" s="452" t="s">
        <v>170</v>
      </c>
      <c r="D65" s="448" t="s">
        <v>171</v>
      </c>
      <c r="E65" s="453" t="s">
        <v>172</v>
      </c>
      <c r="F65" s="454">
        <v>3600</v>
      </c>
      <c r="G65" s="455">
        <v>3600</v>
      </c>
      <c r="H65" s="323">
        <v>3600</v>
      </c>
      <c r="I65" s="323"/>
      <c r="J65" s="323"/>
      <c r="K65" s="323"/>
      <c r="L65" s="345"/>
      <c r="M65" s="345"/>
      <c r="N65" s="323"/>
      <c r="O65" s="323"/>
      <c r="P65" s="323"/>
      <c r="Q65" s="323"/>
      <c r="R65" s="323"/>
      <c r="S65" s="384">
        <v>3600</v>
      </c>
      <c r="T65" s="445"/>
      <c r="U65" s="348"/>
      <c r="V65" s="326">
        <f t="shared" si="1"/>
        <v>3600</v>
      </c>
      <c r="W65" s="362"/>
      <c r="X65" s="1"/>
      <c r="Y65" s="57">
        <f t="shared" si="4"/>
        <v>0</v>
      </c>
    </row>
    <row r="66" spans="1:25" ht="24.95" customHeight="1">
      <c r="A66" s="316">
        <v>45856</v>
      </c>
      <c r="B66" s="317">
        <v>50351</v>
      </c>
      <c r="C66" s="452" t="s">
        <v>170</v>
      </c>
      <c r="D66" s="448" t="s">
        <v>161</v>
      </c>
      <c r="E66" s="453" t="s">
        <v>173</v>
      </c>
      <c r="F66" s="454">
        <v>51300</v>
      </c>
      <c r="G66" s="455">
        <v>51300</v>
      </c>
      <c r="H66" s="323">
        <v>51300</v>
      </c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84"/>
      <c r="T66" s="445"/>
      <c r="U66" s="348">
        <v>51300</v>
      </c>
      <c r="V66" s="326">
        <f t="shared" si="1"/>
        <v>51300</v>
      </c>
      <c r="W66" s="362"/>
      <c r="X66" s="1"/>
      <c r="Y66" s="57">
        <f t="shared" si="4"/>
        <v>0</v>
      </c>
    </row>
    <row r="67" spans="1:25" ht="24.95" customHeight="1">
      <c r="A67" s="316">
        <v>45856</v>
      </c>
      <c r="B67" s="317">
        <v>50352</v>
      </c>
      <c r="C67" s="452" t="s">
        <v>87</v>
      </c>
      <c r="D67" s="448" t="s">
        <v>174</v>
      </c>
      <c r="E67" s="453" t="s">
        <v>175</v>
      </c>
      <c r="F67" s="454">
        <v>50450</v>
      </c>
      <c r="G67" s="455">
        <v>50450</v>
      </c>
      <c r="H67" s="323">
        <v>50450</v>
      </c>
      <c r="I67" s="323"/>
      <c r="J67" s="323"/>
      <c r="K67" s="323"/>
      <c r="L67" s="323"/>
      <c r="M67" s="323"/>
      <c r="N67" s="323"/>
      <c r="O67" s="323"/>
      <c r="P67" s="323"/>
      <c r="Q67" s="323"/>
      <c r="R67" s="323"/>
      <c r="S67" s="384"/>
      <c r="T67" s="445"/>
      <c r="U67" s="348">
        <v>50450</v>
      </c>
      <c r="V67" s="326">
        <f t="shared" si="1"/>
        <v>50450</v>
      </c>
      <c r="W67" s="362"/>
      <c r="X67" s="1"/>
      <c r="Y67" s="57">
        <f t="shared" si="4"/>
        <v>0</v>
      </c>
    </row>
    <row r="68" spans="1:25" ht="24.95" customHeight="1">
      <c r="A68" s="316">
        <v>45856</v>
      </c>
      <c r="B68" s="317">
        <v>50353</v>
      </c>
      <c r="C68" s="452" t="s">
        <v>176</v>
      </c>
      <c r="D68" s="448" t="s">
        <v>177</v>
      </c>
      <c r="E68" s="453" t="s">
        <v>178</v>
      </c>
      <c r="F68" s="454">
        <v>101300</v>
      </c>
      <c r="G68" s="455">
        <v>101300</v>
      </c>
      <c r="H68" s="323">
        <v>101300</v>
      </c>
      <c r="I68" s="323"/>
      <c r="J68" s="323"/>
      <c r="K68" s="323"/>
      <c r="L68" s="323"/>
      <c r="M68" s="323"/>
      <c r="N68" s="323"/>
      <c r="O68" s="323"/>
      <c r="P68" s="323"/>
      <c r="Q68" s="323"/>
      <c r="R68" s="323"/>
      <c r="S68" s="384"/>
      <c r="T68" s="445"/>
      <c r="U68" s="348">
        <v>101300</v>
      </c>
      <c r="V68" s="326">
        <f t="shared" si="1"/>
        <v>101300</v>
      </c>
      <c r="W68" s="362"/>
      <c r="X68" s="1"/>
      <c r="Y68" s="57">
        <f t="shared" si="4"/>
        <v>0</v>
      </c>
    </row>
    <row r="69" spans="1:25" ht="24.95" customHeight="1">
      <c r="A69" s="316">
        <v>45856</v>
      </c>
      <c r="B69" s="317">
        <v>50354</v>
      </c>
      <c r="C69" s="433" t="s">
        <v>32</v>
      </c>
      <c r="D69" s="319" t="s">
        <v>179</v>
      </c>
      <c r="E69" s="456" t="s">
        <v>37</v>
      </c>
      <c r="F69" s="348"/>
      <c r="G69" s="450"/>
      <c r="H69" s="345"/>
      <c r="I69" s="345"/>
      <c r="J69" s="345"/>
      <c r="K69" s="323"/>
      <c r="L69" s="323"/>
      <c r="M69" s="345">
        <v>72500</v>
      </c>
      <c r="N69" s="323"/>
      <c r="O69" s="323"/>
      <c r="P69" s="323"/>
      <c r="Q69" s="323"/>
      <c r="R69" s="323"/>
      <c r="S69" s="349">
        <v>72500</v>
      </c>
      <c r="T69" s="445"/>
      <c r="U69" s="348"/>
      <c r="V69" s="326">
        <f t="shared" si="1"/>
        <v>72500</v>
      </c>
      <c r="W69" s="594"/>
      <c r="X69" s="1"/>
      <c r="Y69" s="57">
        <f t="shared" si="4"/>
        <v>0</v>
      </c>
    </row>
    <row r="70" spans="1:25" ht="24.95" customHeight="1">
      <c r="A70" s="316">
        <v>45856</v>
      </c>
      <c r="B70" s="317">
        <v>50355</v>
      </c>
      <c r="C70" s="433" t="s">
        <v>32</v>
      </c>
      <c r="D70" s="319" t="s">
        <v>180</v>
      </c>
      <c r="E70" s="456" t="s">
        <v>181</v>
      </c>
      <c r="F70" s="348"/>
      <c r="G70" s="450"/>
      <c r="H70" s="345"/>
      <c r="I70" s="345"/>
      <c r="J70" s="345"/>
      <c r="K70" s="323"/>
      <c r="L70" s="323"/>
      <c r="M70" s="345">
        <v>27500</v>
      </c>
      <c r="N70" s="323"/>
      <c r="O70" s="323"/>
      <c r="P70" s="323"/>
      <c r="Q70" s="323"/>
      <c r="R70" s="323"/>
      <c r="S70" s="349"/>
      <c r="T70" s="445"/>
      <c r="U70" s="348">
        <v>27500</v>
      </c>
      <c r="V70" s="326">
        <f t="shared" si="1"/>
        <v>27500</v>
      </c>
      <c r="W70" s="595"/>
      <c r="X70" s="1"/>
      <c r="Y70" s="57">
        <f t="shared" si="4"/>
        <v>0</v>
      </c>
    </row>
    <row r="71" spans="1:25" ht="24.95" customHeight="1">
      <c r="A71" s="316">
        <v>45856</v>
      </c>
      <c r="B71" s="317">
        <v>50356</v>
      </c>
      <c r="C71" s="433" t="s">
        <v>182</v>
      </c>
      <c r="D71" s="448" t="s">
        <v>161</v>
      </c>
      <c r="E71" s="456" t="s">
        <v>115</v>
      </c>
      <c r="F71" s="348"/>
      <c r="G71" s="450"/>
      <c r="H71" s="345">
        <v>51200</v>
      </c>
      <c r="I71" s="345"/>
      <c r="J71" s="345"/>
      <c r="K71" s="323"/>
      <c r="L71" s="323"/>
      <c r="M71" s="323"/>
      <c r="N71" s="323"/>
      <c r="O71" s="323"/>
      <c r="P71" s="323"/>
      <c r="Q71" s="323"/>
      <c r="R71" s="323"/>
      <c r="S71" s="349"/>
      <c r="T71" s="445"/>
      <c r="U71" s="348">
        <v>51200</v>
      </c>
      <c r="V71" s="326">
        <f t="shared" si="1"/>
        <v>51200</v>
      </c>
      <c r="W71" s="362"/>
      <c r="X71" s="1"/>
      <c r="Y71" s="57">
        <f t="shared" si="4"/>
        <v>0</v>
      </c>
    </row>
    <row r="72" spans="1:25" ht="24.95" customHeight="1">
      <c r="A72" s="316">
        <v>45856</v>
      </c>
      <c r="B72" s="317">
        <v>50358</v>
      </c>
      <c r="C72" s="318" t="s">
        <v>183</v>
      </c>
      <c r="D72" s="448" t="s">
        <v>184</v>
      </c>
      <c r="E72" s="369" t="s">
        <v>185</v>
      </c>
      <c r="F72" s="321"/>
      <c r="G72" s="322"/>
      <c r="H72" s="323"/>
      <c r="I72" s="323"/>
      <c r="J72" s="323"/>
      <c r="K72" s="323"/>
      <c r="L72" s="323">
        <v>76575</v>
      </c>
      <c r="M72" s="323"/>
      <c r="N72" s="323"/>
      <c r="O72" s="323"/>
      <c r="P72" s="323"/>
      <c r="Q72" s="323"/>
      <c r="R72" s="323"/>
      <c r="S72" s="322"/>
      <c r="T72" s="445"/>
      <c r="U72" s="379">
        <v>76575</v>
      </c>
      <c r="V72" s="326">
        <f t="shared" ref="V72:V112" si="5">S72+U72</f>
        <v>76575</v>
      </c>
      <c r="W72" s="362"/>
      <c r="X72" s="1"/>
      <c r="Y72" s="57">
        <f t="shared" si="4"/>
        <v>0</v>
      </c>
    </row>
    <row r="73" spans="1:25" ht="24.95" customHeight="1">
      <c r="A73" s="316">
        <v>45856</v>
      </c>
      <c r="B73" s="317">
        <v>50359</v>
      </c>
      <c r="C73" s="318" t="s">
        <v>186</v>
      </c>
      <c r="D73" s="448" t="s">
        <v>161</v>
      </c>
      <c r="E73" s="369" t="s">
        <v>187</v>
      </c>
      <c r="F73" s="321"/>
      <c r="G73" s="322"/>
      <c r="H73" s="323">
        <v>50900</v>
      </c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2"/>
      <c r="T73" s="445"/>
      <c r="U73" s="451">
        <v>50900</v>
      </c>
      <c r="V73" s="326">
        <f t="shared" si="5"/>
        <v>50900</v>
      </c>
      <c r="W73" s="362"/>
      <c r="X73" s="1"/>
      <c r="Y73" s="57">
        <f t="shared" si="4"/>
        <v>0</v>
      </c>
    </row>
    <row r="74" spans="1:25" ht="24.95" customHeight="1">
      <c r="A74" s="316">
        <v>45856</v>
      </c>
      <c r="B74" s="317">
        <v>50360</v>
      </c>
      <c r="C74" s="318" t="s">
        <v>188</v>
      </c>
      <c r="D74" s="448" t="s">
        <v>189</v>
      </c>
      <c r="E74" s="369" t="s">
        <v>190</v>
      </c>
      <c r="F74" s="321"/>
      <c r="G74" s="322"/>
      <c r="H74" s="323"/>
      <c r="I74" s="323"/>
      <c r="J74" s="323"/>
      <c r="K74" s="323"/>
      <c r="L74" s="323">
        <v>152800</v>
      </c>
      <c r="M74" s="323"/>
      <c r="N74" s="323"/>
      <c r="O74" s="323"/>
      <c r="P74" s="323"/>
      <c r="Q74" s="323"/>
      <c r="R74" s="323"/>
      <c r="S74" s="322"/>
      <c r="T74" s="445"/>
      <c r="U74" s="451">
        <v>152800</v>
      </c>
      <c r="V74" s="326">
        <f t="shared" si="5"/>
        <v>152800</v>
      </c>
      <c r="W74" s="377"/>
      <c r="X74" s="1"/>
      <c r="Y74" s="57">
        <f t="shared" si="4"/>
        <v>0</v>
      </c>
    </row>
    <row r="75" spans="1:25" ht="24.95" customHeight="1">
      <c r="A75" s="316">
        <v>45856</v>
      </c>
      <c r="B75" s="317">
        <v>50361</v>
      </c>
      <c r="C75" s="318" t="s">
        <v>191</v>
      </c>
      <c r="D75" s="448" t="s">
        <v>192</v>
      </c>
      <c r="E75" s="388" t="s">
        <v>193</v>
      </c>
      <c r="F75" s="459"/>
      <c r="G75" s="322"/>
      <c r="H75" s="323"/>
      <c r="I75" s="323"/>
      <c r="J75" s="323">
        <v>204400</v>
      </c>
      <c r="K75" s="323"/>
      <c r="L75" s="323"/>
      <c r="M75" s="323"/>
      <c r="N75" s="323"/>
      <c r="O75" s="323"/>
      <c r="P75" s="323"/>
      <c r="Q75" s="323"/>
      <c r="R75" s="323"/>
      <c r="S75" s="322"/>
      <c r="T75" s="445"/>
      <c r="U75" s="451">
        <v>204400</v>
      </c>
      <c r="V75" s="326">
        <f t="shared" si="5"/>
        <v>204400</v>
      </c>
      <c r="W75" s="460"/>
      <c r="X75" s="1"/>
      <c r="Y75" s="57">
        <f t="shared" si="4"/>
        <v>0</v>
      </c>
    </row>
    <row r="76" spans="1:25" ht="24.95" customHeight="1">
      <c r="A76" s="316">
        <v>45856</v>
      </c>
      <c r="B76" s="317">
        <v>50362</v>
      </c>
      <c r="C76" s="318" t="s">
        <v>194</v>
      </c>
      <c r="D76" s="448" t="s">
        <v>195</v>
      </c>
      <c r="E76" s="369" t="s">
        <v>196</v>
      </c>
      <c r="F76" s="321"/>
      <c r="G76" s="322"/>
      <c r="H76" s="323">
        <v>50700</v>
      </c>
      <c r="I76" s="323"/>
      <c r="J76" s="323"/>
      <c r="K76" s="323"/>
      <c r="L76" s="323"/>
      <c r="M76" s="323"/>
      <c r="N76" s="323"/>
      <c r="O76" s="323"/>
      <c r="P76" s="323"/>
      <c r="Q76" s="323"/>
      <c r="R76" s="323"/>
      <c r="S76" s="322"/>
      <c r="T76" s="445"/>
      <c r="U76" s="451">
        <v>50700</v>
      </c>
      <c r="V76" s="326">
        <f t="shared" si="5"/>
        <v>50700</v>
      </c>
      <c r="W76" s="362"/>
      <c r="X76" s="1"/>
      <c r="Y76" s="57">
        <f t="shared" si="4"/>
        <v>0</v>
      </c>
    </row>
    <row r="77" spans="1:25" ht="24.95" customHeight="1">
      <c r="A77" s="316">
        <v>45856</v>
      </c>
      <c r="B77" s="317">
        <v>2897</v>
      </c>
      <c r="C77" s="318" t="s">
        <v>197</v>
      </c>
      <c r="D77" s="448" t="s">
        <v>161</v>
      </c>
      <c r="E77" s="369" t="s">
        <v>198</v>
      </c>
      <c r="F77" s="321">
        <v>51400</v>
      </c>
      <c r="G77" s="322">
        <v>51400</v>
      </c>
      <c r="H77" s="323"/>
      <c r="I77" s="323"/>
      <c r="J77" s="323"/>
      <c r="K77" s="323"/>
      <c r="L77" s="323"/>
      <c r="M77" s="323"/>
      <c r="N77" s="323"/>
      <c r="O77" s="323"/>
      <c r="P77" s="323"/>
      <c r="Q77" s="323">
        <v>51400</v>
      </c>
      <c r="R77" s="323"/>
      <c r="S77" s="322"/>
      <c r="T77" s="445"/>
      <c r="U77" s="451">
        <v>51400</v>
      </c>
      <c r="V77" s="326">
        <f t="shared" si="5"/>
        <v>51400</v>
      </c>
      <c r="W77" s="362"/>
      <c r="X77" s="1"/>
      <c r="Y77" s="57">
        <f t="shared" si="4"/>
        <v>0</v>
      </c>
    </row>
    <row r="78" spans="1:25" ht="24.95" customHeight="1">
      <c r="A78" s="316">
        <v>45856</v>
      </c>
      <c r="B78" s="317" t="s">
        <v>199</v>
      </c>
      <c r="C78" s="318" t="s">
        <v>200</v>
      </c>
      <c r="D78" s="448" t="s">
        <v>201</v>
      </c>
      <c r="E78" s="369"/>
      <c r="F78" s="321">
        <v>150</v>
      </c>
      <c r="G78" s="322">
        <v>150</v>
      </c>
      <c r="H78" s="323"/>
      <c r="I78" s="323"/>
      <c r="J78" s="323"/>
      <c r="K78" s="323"/>
      <c r="L78" s="323"/>
      <c r="M78" s="323"/>
      <c r="N78" s="323"/>
      <c r="O78" s="323"/>
      <c r="P78" s="323">
        <v>150</v>
      </c>
      <c r="Q78" s="323"/>
      <c r="R78" s="323"/>
      <c r="S78" s="322"/>
      <c r="T78" s="445"/>
      <c r="U78" s="451">
        <v>150</v>
      </c>
      <c r="V78" s="326">
        <f t="shared" si="5"/>
        <v>150</v>
      </c>
      <c r="W78" s="362"/>
      <c r="X78" s="1"/>
      <c r="Y78" s="57">
        <f>F78+H78+I78+J78+K78+L78+M78+N78+O78+Q78+R78+T78-G78-S78-U78+P78</f>
        <v>0</v>
      </c>
    </row>
    <row r="79" spans="1:25" ht="24.95" customHeight="1">
      <c r="A79" s="316">
        <v>45856</v>
      </c>
      <c r="B79" s="317">
        <v>50363</v>
      </c>
      <c r="C79" s="318" t="s">
        <v>202</v>
      </c>
      <c r="D79" s="448" t="s">
        <v>161</v>
      </c>
      <c r="E79" s="369" t="s">
        <v>203</v>
      </c>
      <c r="F79" s="321"/>
      <c r="G79" s="322"/>
      <c r="H79" s="323"/>
      <c r="I79" s="323"/>
      <c r="J79" s="323"/>
      <c r="K79" s="323"/>
      <c r="L79" s="323">
        <v>51300</v>
      </c>
      <c r="M79" s="323"/>
      <c r="N79" s="323"/>
      <c r="O79" s="323"/>
      <c r="P79" s="323"/>
      <c r="Q79" s="323"/>
      <c r="R79" s="323"/>
      <c r="S79" s="322"/>
      <c r="T79" s="445"/>
      <c r="U79" s="451">
        <v>51300</v>
      </c>
      <c r="V79" s="326">
        <f t="shared" si="5"/>
        <v>51300</v>
      </c>
      <c r="W79" s="362"/>
      <c r="X79" s="1"/>
      <c r="Y79" s="57">
        <f t="shared" si="4"/>
        <v>0</v>
      </c>
    </row>
    <row r="80" spans="1:25" ht="24.95" customHeight="1">
      <c r="A80" s="316">
        <v>45856</v>
      </c>
      <c r="B80" s="461">
        <v>50364</v>
      </c>
      <c r="C80" s="462" t="s">
        <v>101</v>
      </c>
      <c r="D80" s="448" t="s">
        <v>204</v>
      </c>
      <c r="E80" s="369" t="s">
        <v>205</v>
      </c>
      <c r="F80" s="321"/>
      <c r="G80" s="322"/>
      <c r="H80" s="323">
        <v>1200</v>
      </c>
      <c r="I80" s="323"/>
      <c r="J80" s="323"/>
      <c r="K80" s="323"/>
      <c r="L80" s="323"/>
      <c r="M80" s="463"/>
      <c r="N80" s="323"/>
      <c r="O80" s="323"/>
      <c r="P80" s="323"/>
      <c r="Q80" s="323"/>
      <c r="R80" s="323"/>
      <c r="S80" s="325">
        <v>1200</v>
      </c>
      <c r="T80" s="445"/>
      <c r="U80" s="451"/>
      <c r="V80" s="326">
        <f t="shared" si="5"/>
        <v>1200</v>
      </c>
      <c r="W80" s="464"/>
      <c r="X80" s="1"/>
      <c r="Y80" s="57">
        <f t="shared" ref="Y80:Y112" si="6">F80+H80+I80+J80+K80+L80+M80+N80+O80+Q80+R80+T80-G80-S80-U80</f>
        <v>0</v>
      </c>
    </row>
    <row r="81" spans="1:25" ht="24.95" customHeight="1">
      <c r="A81" s="316">
        <v>45856</v>
      </c>
      <c r="B81" s="317">
        <v>50365</v>
      </c>
      <c r="C81" s="462" t="s">
        <v>101</v>
      </c>
      <c r="D81" s="448" t="s">
        <v>204</v>
      </c>
      <c r="E81" s="369" t="s">
        <v>206</v>
      </c>
      <c r="F81" s="321"/>
      <c r="G81" s="322"/>
      <c r="H81" s="323">
        <v>2100</v>
      </c>
      <c r="I81" s="323"/>
      <c r="J81" s="323"/>
      <c r="K81" s="323"/>
      <c r="L81" s="323"/>
      <c r="M81" s="323"/>
      <c r="N81" s="323"/>
      <c r="O81" s="323"/>
      <c r="P81" s="323"/>
      <c r="Q81" s="323"/>
      <c r="R81" s="323"/>
      <c r="S81" s="325">
        <v>2100</v>
      </c>
      <c r="T81" s="445"/>
      <c r="U81" s="451"/>
      <c r="V81" s="326">
        <f t="shared" si="5"/>
        <v>2100</v>
      </c>
      <c r="W81" s="360"/>
      <c r="X81" s="1"/>
      <c r="Y81" s="57">
        <f t="shared" si="6"/>
        <v>0</v>
      </c>
    </row>
    <row r="82" spans="1:25" ht="24.95" customHeight="1">
      <c r="A82" s="316">
        <v>45856</v>
      </c>
      <c r="B82" s="317">
        <v>50366</v>
      </c>
      <c r="C82" s="462" t="s">
        <v>101</v>
      </c>
      <c r="D82" s="448" t="s">
        <v>204</v>
      </c>
      <c r="E82" s="369" t="s">
        <v>206</v>
      </c>
      <c r="F82" s="321"/>
      <c r="G82" s="322"/>
      <c r="H82" s="323">
        <v>49300</v>
      </c>
      <c r="I82" s="323"/>
      <c r="J82" s="323"/>
      <c r="K82" s="323"/>
      <c r="L82" s="323"/>
      <c r="M82" s="323"/>
      <c r="N82" s="323"/>
      <c r="O82" s="323"/>
      <c r="P82" s="323"/>
      <c r="Q82" s="323"/>
      <c r="R82" s="323"/>
      <c r="S82" s="325">
        <v>49300</v>
      </c>
      <c r="T82" s="445"/>
      <c r="U82" s="451"/>
      <c r="V82" s="326">
        <f t="shared" si="5"/>
        <v>49300</v>
      </c>
      <c r="W82" s="362"/>
      <c r="X82" s="1"/>
      <c r="Y82" s="57">
        <f t="shared" si="6"/>
        <v>0</v>
      </c>
    </row>
    <row r="83" spans="1:25" ht="24.95" customHeight="1">
      <c r="A83" s="316">
        <v>45856</v>
      </c>
      <c r="B83" s="317">
        <v>50367</v>
      </c>
      <c r="C83" s="440" t="s">
        <v>207</v>
      </c>
      <c r="D83" s="448" t="s">
        <v>161</v>
      </c>
      <c r="E83" s="369" t="s">
        <v>208</v>
      </c>
      <c r="F83" s="321"/>
      <c r="G83" s="322"/>
      <c r="H83" s="323"/>
      <c r="I83" s="323">
        <v>51300</v>
      </c>
      <c r="J83" s="323"/>
      <c r="K83" s="323"/>
      <c r="L83" s="323"/>
      <c r="M83" s="323"/>
      <c r="N83" s="323"/>
      <c r="O83" s="323"/>
      <c r="P83" s="323"/>
      <c r="Q83" s="323"/>
      <c r="R83" s="323"/>
      <c r="S83" s="324"/>
      <c r="T83" s="324"/>
      <c r="U83" s="340">
        <v>51300</v>
      </c>
      <c r="V83" s="326">
        <f t="shared" si="5"/>
        <v>51300</v>
      </c>
      <c r="W83" s="362"/>
      <c r="X83" s="1"/>
      <c r="Y83" s="57">
        <f t="shared" si="6"/>
        <v>0</v>
      </c>
    </row>
    <row r="84" spans="1:25" ht="24.95" customHeight="1">
      <c r="A84" s="316">
        <v>45856</v>
      </c>
      <c r="B84" s="317">
        <v>50372</v>
      </c>
      <c r="C84" s="318" t="s">
        <v>75</v>
      </c>
      <c r="D84" s="448" t="s">
        <v>161</v>
      </c>
      <c r="E84" s="369" t="s">
        <v>209</v>
      </c>
      <c r="F84" s="321"/>
      <c r="G84" s="322"/>
      <c r="H84" s="323">
        <v>50000</v>
      </c>
      <c r="I84" s="323"/>
      <c r="J84" s="323"/>
      <c r="K84" s="323"/>
      <c r="L84" s="323"/>
      <c r="M84" s="323"/>
      <c r="N84" s="323"/>
      <c r="O84" s="323"/>
      <c r="P84" s="323"/>
      <c r="Q84" s="323"/>
      <c r="R84" s="323"/>
      <c r="S84" s="324"/>
      <c r="T84" s="324"/>
      <c r="U84" s="325">
        <v>50000</v>
      </c>
      <c r="V84" s="326">
        <f t="shared" si="5"/>
        <v>50000</v>
      </c>
      <c r="X84" s="362"/>
      <c r="Y84" s="57">
        <f t="shared" si="6"/>
        <v>0</v>
      </c>
    </row>
    <row r="85" spans="1:25" ht="24.95" customHeight="1">
      <c r="A85" s="316">
        <v>45856</v>
      </c>
      <c r="B85" s="317">
        <v>50372</v>
      </c>
      <c r="C85" s="318" t="s">
        <v>75</v>
      </c>
      <c r="D85" s="448" t="s">
        <v>161</v>
      </c>
      <c r="E85" s="465" t="s">
        <v>209</v>
      </c>
      <c r="F85" s="321"/>
      <c r="G85" s="322"/>
      <c r="H85" s="323"/>
      <c r="I85" s="323"/>
      <c r="J85" s="323"/>
      <c r="K85" s="323"/>
      <c r="L85" s="463"/>
      <c r="M85" s="323"/>
      <c r="N85" s="345"/>
      <c r="O85" s="323">
        <v>1150</v>
      </c>
      <c r="P85" s="323"/>
      <c r="Q85" s="323"/>
      <c r="R85" s="323"/>
      <c r="S85" s="324"/>
      <c r="T85" s="324"/>
      <c r="U85" s="325">
        <v>1150</v>
      </c>
      <c r="V85" s="326">
        <f t="shared" si="5"/>
        <v>1150</v>
      </c>
      <c r="W85" s="362"/>
      <c r="X85" s="1"/>
      <c r="Y85" s="57">
        <f t="shared" si="6"/>
        <v>0</v>
      </c>
    </row>
    <row r="86" spans="1:25" ht="24.95" customHeight="1">
      <c r="A86" s="316">
        <v>45856</v>
      </c>
      <c r="B86" s="317">
        <v>50373</v>
      </c>
      <c r="C86" s="318" t="s">
        <v>210</v>
      </c>
      <c r="D86" s="448" t="s">
        <v>161</v>
      </c>
      <c r="E86" s="369" t="s">
        <v>211</v>
      </c>
      <c r="F86" s="321"/>
      <c r="G86" s="322"/>
      <c r="H86" s="323"/>
      <c r="I86" s="323"/>
      <c r="J86" s="323"/>
      <c r="K86" s="323"/>
      <c r="L86" s="323">
        <v>51250</v>
      </c>
      <c r="M86" s="323"/>
      <c r="N86" s="323"/>
      <c r="O86" s="323"/>
      <c r="P86" s="323"/>
      <c r="Q86" s="323"/>
      <c r="R86" s="323"/>
      <c r="S86" s="324"/>
      <c r="T86" s="324"/>
      <c r="U86" s="325">
        <v>51250</v>
      </c>
      <c r="V86" s="326">
        <f t="shared" si="5"/>
        <v>51250</v>
      </c>
      <c r="W86" s="362"/>
      <c r="X86" s="1"/>
      <c r="Y86" s="57">
        <f t="shared" si="6"/>
        <v>0</v>
      </c>
    </row>
    <row r="87" spans="1:25" ht="24.95" customHeight="1">
      <c r="A87" s="316">
        <v>45856</v>
      </c>
      <c r="B87" s="317" t="s">
        <v>212</v>
      </c>
      <c r="C87" s="440" t="s">
        <v>194</v>
      </c>
      <c r="D87" s="448" t="s">
        <v>213</v>
      </c>
      <c r="E87" s="369"/>
      <c r="F87" s="321"/>
      <c r="G87" s="322"/>
      <c r="H87" s="323">
        <v>150</v>
      </c>
      <c r="I87" s="323"/>
      <c r="J87" s="323"/>
      <c r="K87" s="323"/>
      <c r="L87" s="323"/>
      <c r="M87" s="323"/>
      <c r="N87" s="323"/>
      <c r="O87" s="323"/>
      <c r="P87" s="323"/>
      <c r="Q87" s="323"/>
      <c r="R87" s="323"/>
      <c r="S87" s="324"/>
      <c r="T87" s="324"/>
      <c r="U87" s="325">
        <v>150</v>
      </c>
      <c r="V87" s="326">
        <f t="shared" si="5"/>
        <v>150</v>
      </c>
      <c r="W87" s="362"/>
      <c r="X87" s="1"/>
      <c r="Y87" s="57">
        <f t="shared" si="6"/>
        <v>0</v>
      </c>
    </row>
    <row r="88" spans="1:25" ht="24.95" customHeight="1">
      <c r="A88" s="316">
        <v>45856</v>
      </c>
      <c r="B88" s="317">
        <v>50378</v>
      </c>
      <c r="C88" s="318" t="s">
        <v>214</v>
      </c>
      <c r="D88" s="448" t="s">
        <v>215</v>
      </c>
      <c r="E88" s="369" t="s">
        <v>216</v>
      </c>
      <c r="F88" s="321"/>
      <c r="G88" s="322"/>
      <c r="H88" s="323"/>
      <c r="I88" s="323"/>
      <c r="J88" s="323"/>
      <c r="K88" s="323"/>
      <c r="L88" s="323">
        <v>153250</v>
      </c>
      <c r="M88" s="323"/>
      <c r="N88" s="323"/>
      <c r="O88" s="323"/>
      <c r="P88" s="323"/>
      <c r="Q88" s="323"/>
      <c r="R88" s="323"/>
      <c r="S88" s="324"/>
      <c r="T88" s="324"/>
      <c r="U88" s="325">
        <v>153250</v>
      </c>
      <c r="V88" s="326">
        <f t="shared" si="5"/>
        <v>153250</v>
      </c>
      <c r="W88" s="362"/>
      <c r="X88" s="1"/>
      <c r="Y88" s="57">
        <f t="shared" si="6"/>
        <v>0</v>
      </c>
    </row>
    <row r="89" spans="1:25" ht="24.95" customHeight="1">
      <c r="A89" s="316">
        <v>45856</v>
      </c>
      <c r="B89" s="317">
        <v>50380</v>
      </c>
      <c r="C89" s="318" t="s">
        <v>155</v>
      </c>
      <c r="D89" s="448" t="s">
        <v>161</v>
      </c>
      <c r="E89" s="369" t="s">
        <v>217</v>
      </c>
      <c r="F89" s="321"/>
      <c r="G89" s="322"/>
      <c r="H89" s="323"/>
      <c r="I89" s="323"/>
      <c r="J89" s="323"/>
      <c r="K89" s="323"/>
      <c r="L89" s="323">
        <v>51050</v>
      </c>
      <c r="M89" s="323"/>
      <c r="N89" s="323"/>
      <c r="O89" s="323"/>
      <c r="P89" s="323"/>
      <c r="Q89" s="323"/>
      <c r="R89" s="323"/>
      <c r="S89" s="324"/>
      <c r="T89" s="324"/>
      <c r="U89" s="325">
        <v>51050</v>
      </c>
      <c r="V89" s="326">
        <f t="shared" si="5"/>
        <v>51050</v>
      </c>
      <c r="W89" s="362"/>
      <c r="X89" s="1"/>
      <c r="Y89" s="57">
        <f t="shared" si="6"/>
        <v>0</v>
      </c>
    </row>
    <row r="90" spans="1:25" ht="24.95" customHeight="1">
      <c r="A90" s="316">
        <v>45856</v>
      </c>
      <c r="B90" s="317">
        <v>50382</v>
      </c>
      <c r="C90" s="318" t="s">
        <v>220</v>
      </c>
      <c r="D90" s="448" t="s">
        <v>221</v>
      </c>
      <c r="E90" s="369" t="s">
        <v>222</v>
      </c>
      <c r="F90" s="321"/>
      <c r="G90" s="322"/>
      <c r="H90" s="323"/>
      <c r="I90" s="323"/>
      <c r="J90" s="323"/>
      <c r="K90" s="466"/>
      <c r="L90" s="323">
        <v>25525</v>
      </c>
      <c r="M90" s="466"/>
      <c r="N90" s="466"/>
      <c r="O90" s="466"/>
      <c r="P90" s="466"/>
      <c r="Q90" s="466"/>
      <c r="R90" s="466"/>
      <c r="S90" s="348"/>
      <c r="T90" s="348"/>
      <c r="U90" s="325">
        <v>25525</v>
      </c>
      <c r="V90" s="467">
        <f>S90+U90</f>
        <v>25525</v>
      </c>
      <c r="W90" s="350"/>
      <c r="X90" s="1"/>
      <c r="Y90" s="57">
        <f t="shared" si="6"/>
        <v>0</v>
      </c>
    </row>
    <row r="91" spans="1:25" ht="24.95" customHeight="1">
      <c r="A91" s="316">
        <v>45856</v>
      </c>
      <c r="B91" s="317">
        <v>50384</v>
      </c>
      <c r="C91" s="318" t="s">
        <v>153</v>
      </c>
      <c r="D91" s="448" t="s">
        <v>223</v>
      </c>
      <c r="E91" s="369" t="s">
        <v>224</v>
      </c>
      <c r="F91" s="321"/>
      <c r="G91" s="322"/>
      <c r="H91" s="323">
        <v>101600</v>
      </c>
      <c r="I91" s="323"/>
      <c r="J91" s="323"/>
      <c r="K91" s="336"/>
      <c r="L91" s="323"/>
      <c r="M91" s="336"/>
      <c r="N91" s="336"/>
      <c r="O91" s="336"/>
      <c r="P91" s="336"/>
      <c r="Q91" s="336"/>
      <c r="R91" s="336"/>
      <c r="S91" s="468"/>
      <c r="T91" s="468"/>
      <c r="U91" s="325">
        <v>101600</v>
      </c>
      <c r="V91" s="326">
        <f t="shared" si="5"/>
        <v>101600</v>
      </c>
      <c r="W91" s="360"/>
      <c r="X91" s="1"/>
      <c r="Y91" s="57">
        <f t="shared" si="6"/>
        <v>0</v>
      </c>
    </row>
    <row r="92" spans="1:25" ht="24.95" customHeight="1">
      <c r="A92" s="316">
        <v>45856</v>
      </c>
      <c r="B92" s="317">
        <v>50389</v>
      </c>
      <c r="C92" s="452" t="s">
        <v>225</v>
      </c>
      <c r="D92" s="448" t="s">
        <v>226</v>
      </c>
      <c r="E92" s="369" t="s">
        <v>227</v>
      </c>
      <c r="F92" s="321"/>
      <c r="G92" s="322"/>
      <c r="H92" s="323"/>
      <c r="I92" s="323"/>
      <c r="J92" s="323"/>
      <c r="K92" s="323"/>
      <c r="L92" s="323">
        <v>51350</v>
      </c>
      <c r="M92" s="323"/>
      <c r="N92" s="323"/>
      <c r="O92" s="323"/>
      <c r="P92" s="323"/>
      <c r="Q92" s="323"/>
      <c r="R92" s="323"/>
      <c r="S92" s="324"/>
      <c r="T92" s="324"/>
      <c r="U92" s="322">
        <v>51350</v>
      </c>
      <c r="V92" s="326">
        <f t="shared" si="5"/>
        <v>51350</v>
      </c>
      <c r="W92" s="362"/>
      <c r="X92" s="1"/>
      <c r="Y92" s="57">
        <f t="shared" si="6"/>
        <v>0</v>
      </c>
    </row>
    <row r="93" spans="1:25" ht="24.95" customHeight="1">
      <c r="A93" s="469" t="s">
        <v>229</v>
      </c>
      <c r="B93" s="470">
        <v>50368</v>
      </c>
      <c r="C93" s="471" t="s">
        <v>230</v>
      </c>
      <c r="D93" s="472" t="s">
        <v>231</v>
      </c>
      <c r="E93" s="473" t="s">
        <v>232</v>
      </c>
      <c r="F93" s="474">
        <v>76700</v>
      </c>
      <c r="G93" s="475">
        <v>76700</v>
      </c>
      <c r="H93" s="323"/>
      <c r="I93" s="323"/>
      <c r="J93" s="323"/>
      <c r="K93" s="323"/>
      <c r="L93" s="323"/>
      <c r="M93" s="323"/>
      <c r="N93" s="323"/>
      <c r="O93" s="323"/>
      <c r="P93" s="401"/>
      <c r="Q93" s="476">
        <v>76700</v>
      </c>
      <c r="R93" s="323"/>
      <c r="S93" s="324"/>
      <c r="T93" s="324"/>
      <c r="U93" s="477">
        <v>76700</v>
      </c>
      <c r="V93" s="326">
        <f t="shared" si="5"/>
        <v>76700</v>
      </c>
      <c r="W93" s="377"/>
      <c r="X93" s="1"/>
      <c r="Y93" s="57">
        <f t="shared" si="6"/>
        <v>0</v>
      </c>
    </row>
    <row r="94" spans="1:25" ht="24.95" customHeight="1">
      <c r="A94" s="316">
        <v>45857</v>
      </c>
      <c r="B94" s="478">
        <v>50369</v>
      </c>
      <c r="C94" s="479" t="s">
        <v>233</v>
      </c>
      <c r="D94" s="472" t="s">
        <v>73</v>
      </c>
      <c r="E94" s="480" t="s">
        <v>234</v>
      </c>
      <c r="F94" s="321">
        <v>51300</v>
      </c>
      <c r="G94" s="481">
        <v>51300</v>
      </c>
      <c r="H94" s="323"/>
      <c r="I94" s="323"/>
      <c r="J94" s="323"/>
      <c r="K94" s="323"/>
      <c r="L94" s="323"/>
      <c r="M94" s="323"/>
      <c r="N94" s="323"/>
      <c r="O94" s="323"/>
      <c r="P94" s="336"/>
      <c r="Q94" s="336">
        <v>51300</v>
      </c>
      <c r="R94" s="323"/>
      <c r="S94" s="324"/>
      <c r="T94" s="324"/>
      <c r="U94" s="482">
        <v>51300</v>
      </c>
      <c r="V94" s="326">
        <f t="shared" si="5"/>
        <v>51300</v>
      </c>
      <c r="W94" s="460"/>
      <c r="X94" s="1"/>
      <c r="Y94" s="57">
        <f t="shared" si="6"/>
        <v>0</v>
      </c>
    </row>
    <row r="95" spans="1:25" ht="24.95" customHeight="1">
      <c r="A95" s="316">
        <v>45857</v>
      </c>
      <c r="B95" s="470">
        <v>50370</v>
      </c>
      <c r="C95" s="471" t="s">
        <v>235</v>
      </c>
      <c r="D95" s="472" t="s">
        <v>73</v>
      </c>
      <c r="E95" s="483" t="s">
        <v>236</v>
      </c>
      <c r="F95" s="475">
        <v>51300</v>
      </c>
      <c r="G95" s="481">
        <v>51300</v>
      </c>
      <c r="H95" s="345"/>
      <c r="I95" s="323"/>
      <c r="J95" s="323"/>
      <c r="K95" s="345"/>
      <c r="L95" s="323"/>
      <c r="M95" s="323"/>
      <c r="N95" s="323"/>
      <c r="O95" s="323"/>
      <c r="P95" s="401"/>
      <c r="Q95" s="476">
        <v>51300</v>
      </c>
      <c r="R95" s="323"/>
      <c r="S95" s="324"/>
      <c r="T95" s="324"/>
      <c r="U95" s="477">
        <v>51300</v>
      </c>
      <c r="V95" s="326">
        <f t="shared" si="5"/>
        <v>51300</v>
      </c>
      <c r="W95" s="362"/>
      <c r="X95" s="1"/>
      <c r="Y95" s="57">
        <f t="shared" si="6"/>
        <v>0</v>
      </c>
    </row>
    <row r="96" spans="1:25" ht="24.95" customHeight="1">
      <c r="A96" s="316">
        <v>45857</v>
      </c>
      <c r="B96" s="317">
        <v>50394</v>
      </c>
      <c r="C96" s="318" t="s">
        <v>237</v>
      </c>
      <c r="D96" s="472" t="s">
        <v>238</v>
      </c>
      <c r="E96" s="484" t="s">
        <v>239</v>
      </c>
      <c r="F96" s="321"/>
      <c r="G96" s="322"/>
      <c r="H96" s="323"/>
      <c r="I96" s="323"/>
      <c r="J96" s="323"/>
      <c r="K96" s="323"/>
      <c r="L96" s="323"/>
      <c r="M96" s="323"/>
      <c r="N96" s="323"/>
      <c r="O96" s="323"/>
      <c r="P96" s="323"/>
      <c r="Q96" s="323">
        <v>37380</v>
      </c>
      <c r="R96" s="323"/>
      <c r="S96" s="324"/>
      <c r="T96" s="324"/>
      <c r="U96" s="485">
        <v>37380</v>
      </c>
      <c r="V96" s="326">
        <f t="shared" si="5"/>
        <v>37380</v>
      </c>
      <c r="W96" s="362"/>
      <c r="X96" s="1"/>
      <c r="Y96" s="57">
        <f t="shared" si="6"/>
        <v>0</v>
      </c>
    </row>
    <row r="97" spans="1:25" ht="24.95" customHeight="1">
      <c r="A97" s="316">
        <v>45857</v>
      </c>
      <c r="B97" s="486">
        <v>50395</v>
      </c>
      <c r="C97" s="452" t="s">
        <v>237</v>
      </c>
      <c r="D97" s="472" t="s">
        <v>238</v>
      </c>
      <c r="E97" s="487" t="s">
        <v>241</v>
      </c>
      <c r="F97" s="488"/>
      <c r="G97" s="489"/>
      <c r="H97" s="323"/>
      <c r="I97" s="323"/>
      <c r="J97" s="323"/>
      <c r="K97" s="323"/>
      <c r="L97" s="323"/>
      <c r="M97" s="323"/>
      <c r="N97" s="323"/>
      <c r="O97" s="323"/>
      <c r="P97" s="323"/>
      <c r="Q97" s="323">
        <v>42620</v>
      </c>
      <c r="R97" s="323"/>
      <c r="S97" s="324"/>
      <c r="T97" s="324"/>
      <c r="U97" s="490">
        <v>42620</v>
      </c>
      <c r="V97" s="326">
        <f t="shared" si="5"/>
        <v>42620</v>
      </c>
      <c r="W97" s="377"/>
      <c r="X97" s="1"/>
      <c r="Y97" s="57">
        <f t="shared" si="6"/>
        <v>0</v>
      </c>
    </row>
    <row r="98" spans="1:25" ht="24.95" customHeight="1">
      <c r="A98" s="316">
        <v>45859</v>
      </c>
      <c r="B98" s="317">
        <v>308854</v>
      </c>
      <c r="C98" s="440" t="s">
        <v>243</v>
      </c>
      <c r="D98" s="423" t="s">
        <v>161</v>
      </c>
      <c r="E98" s="449" t="s">
        <v>244</v>
      </c>
      <c r="F98" s="321">
        <v>50950</v>
      </c>
      <c r="G98" s="322">
        <v>50950</v>
      </c>
      <c r="H98" s="323"/>
      <c r="I98" s="323"/>
      <c r="J98" s="323"/>
      <c r="K98" s="323"/>
      <c r="L98" s="323">
        <v>50950</v>
      </c>
      <c r="M98" s="323"/>
      <c r="N98" s="323"/>
      <c r="O98" s="323"/>
      <c r="P98" s="323"/>
      <c r="Q98" s="323"/>
      <c r="R98" s="323"/>
      <c r="S98" s="324"/>
      <c r="T98" s="324"/>
      <c r="U98" s="325">
        <v>50950</v>
      </c>
      <c r="V98" s="326">
        <f t="shared" si="5"/>
        <v>50950</v>
      </c>
      <c r="W98" s="404"/>
      <c r="X98" s="1"/>
      <c r="Y98" s="57">
        <f t="shared" si="6"/>
        <v>0</v>
      </c>
    </row>
    <row r="99" spans="1:25" ht="24.95" customHeight="1">
      <c r="A99" s="316">
        <v>45859</v>
      </c>
      <c r="B99" s="486">
        <v>308855</v>
      </c>
      <c r="C99" s="452" t="s">
        <v>245</v>
      </c>
      <c r="D99" s="423" t="s">
        <v>246</v>
      </c>
      <c r="E99" s="453" t="s">
        <v>247</v>
      </c>
      <c r="F99" s="488">
        <v>51300</v>
      </c>
      <c r="G99" s="489">
        <v>51300</v>
      </c>
      <c r="H99" s="323"/>
      <c r="I99" s="323"/>
      <c r="J99" s="323"/>
      <c r="K99" s="323"/>
      <c r="L99" s="323">
        <v>51300</v>
      </c>
      <c r="M99" s="323"/>
      <c r="N99" s="323"/>
      <c r="O99" s="323"/>
      <c r="P99" s="323"/>
      <c r="Q99" s="323"/>
      <c r="R99" s="323"/>
      <c r="S99" s="324"/>
      <c r="T99" s="324"/>
      <c r="U99" s="325">
        <v>51300</v>
      </c>
      <c r="V99" s="326">
        <f t="shared" si="5"/>
        <v>51300</v>
      </c>
      <c r="W99" s="404"/>
      <c r="X99" s="1"/>
      <c r="Y99" s="57">
        <f t="shared" si="6"/>
        <v>0</v>
      </c>
    </row>
    <row r="100" spans="1:25" ht="24.95" customHeight="1">
      <c r="A100" s="316">
        <v>45859</v>
      </c>
      <c r="B100" s="486">
        <v>50374</v>
      </c>
      <c r="C100" s="452" t="s">
        <v>248</v>
      </c>
      <c r="D100" s="423" t="s">
        <v>246</v>
      </c>
      <c r="E100" s="491" t="s">
        <v>249</v>
      </c>
      <c r="F100" s="492">
        <v>50600</v>
      </c>
      <c r="G100" s="489">
        <v>50600</v>
      </c>
      <c r="H100" s="323"/>
      <c r="I100" s="323"/>
      <c r="J100" s="323"/>
      <c r="K100" s="323"/>
      <c r="L100" s="323">
        <v>50600</v>
      </c>
      <c r="M100" s="323"/>
      <c r="N100" s="323"/>
      <c r="O100" s="323"/>
      <c r="P100" s="323"/>
      <c r="Q100" s="323"/>
      <c r="R100" s="323"/>
      <c r="S100" s="324"/>
      <c r="T100" s="324"/>
      <c r="U100" s="325">
        <v>50600</v>
      </c>
      <c r="V100" s="326">
        <f t="shared" si="5"/>
        <v>50600</v>
      </c>
      <c r="W100" s="360"/>
      <c r="X100" s="1"/>
      <c r="Y100" s="57">
        <f t="shared" si="6"/>
        <v>0</v>
      </c>
    </row>
    <row r="101" spans="1:25" ht="24.95" customHeight="1">
      <c r="A101" s="316">
        <v>45859</v>
      </c>
      <c r="B101" s="486">
        <v>50375</v>
      </c>
      <c r="C101" s="493" t="s">
        <v>32</v>
      </c>
      <c r="D101" s="423" t="s">
        <v>250</v>
      </c>
      <c r="E101" s="491" t="s">
        <v>181</v>
      </c>
      <c r="F101" s="492"/>
      <c r="G101" s="489"/>
      <c r="H101" s="323"/>
      <c r="I101" s="323"/>
      <c r="J101" s="323"/>
      <c r="K101" s="323"/>
      <c r="L101" s="323"/>
      <c r="M101" s="372">
        <v>119300</v>
      </c>
      <c r="N101" s="323"/>
      <c r="O101" s="323"/>
      <c r="P101" s="323"/>
      <c r="Q101" s="323"/>
      <c r="R101" s="323"/>
      <c r="S101" s="324"/>
      <c r="T101" s="324"/>
      <c r="U101" s="325">
        <v>119300</v>
      </c>
      <c r="V101" s="326">
        <f t="shared" si="5"/>
        <v>119300</v>
      </c>
      <c r="W101" s="362"/>
      <c r="X101" s="1"/>
      <c r="Y101" s="57">
        <f t="shared" si="6"/>
        <v>0</v>
      </c>
    </row>
    <row r="102" spans="1:25" ht="24.95" customHeight="1">
      <c r="A102" s="316">
        <v>45859</v>
      </c>
      <c r="B102" s="486">
        <v>50376</v>
      </c>
      <c r="C102" s="493" t="s">
        <v>32</v>
      </c>
      <c r="D102" s="423" t="s">
        <v>251</v>
      </c>
      <c r="E102" s="491" t="s">
        <v>252</v>
      </c>
      <c r="F102" s="492"/>
      <c r="G102" s="489"/>
      <c r="H102" s="323"/>
      <c r="I102" s="323"/>
      <c r="J102" s="323"/>
      <c r="K102" s="323"/>
      <c r="L102" s="323"/>
      <c r="M102" s="323">
        <v>80700</v>
      </c>
      <c r="N102" s="323"/>
      <c r="O102" s="323"/>
      <c r="P102" s="323"/>
      <c r="Q102" s="323"/>
      <c r="R102" s="323"/>
      <c r="S102" s="324"/>
      <c r="T102" s="324"/>
      <c r="U102" s="325">
        <v>80700</v>
      </c>
      <c r="V102" s="326">
        <f t="shared" si="5"/>
        <v>80700</v>
      </c>
      <c r="W102" s="362"/>
      <c r="X102" s="1"/>
      <c r="Y102" s="57">
        <f t="shared" si="6"/>
        <v>0</v>
      </c>
    </row>
    <row r="103" spans="1:25" ht="24.95" customHeight="1">
      <c r="A103" s="316">
        <v>45859</v>
      </c>
      <c r="B103" s="317">
        <v>50379</v>
      </c>
      <c r="C103" s="318" t="s">
        <v>253</v>
      </c>
      <c r="D103" s="448" t="s">
        <v>254</v>
      </c>
      <c r="E103" s="369" t="s">
        <v>255</v>
      </c>
      <c r="F103" s="321"/>
      <c r="G103" s="322"/>
      <c r="H103" s="323">
        <v>152200</v>
      </c>
      <c r="I103" s="323"/>
      <c r="J103" s="323"/>
      <c r="K103" s="323"/>
      <c r="L103" s="323"/>
      <c r="M103" s="323"/>
      <c r="N103" s="323"/>
      <c r="O103" s="323"/>
      <c r="P103" s="323"/>
      <c r="Q103" s="323"/>
      <c r="R103" s="323"/>
      <c r="S103" s="324"/>
      <c r="T103" s="324"/>
      <c r="U103" s="485">
        <v>152200</v>
      </c>
      <c r="V103" s="326">
        <f t="shared" si="5"/>
        <v>152200</v>
      </c>
      <c r="W103" s="362"/>
      <c r="X103" s="1"/>
      <c r="Y103" s="57">
        <f t="shared" si="6"/>
        <v>0</v>
      </c>
    </row>
    <row r="104" spans="1:25" ht="24.95" customHeight="1">
      <c r="A104" s="316">
        <v>45859</v>
      </c>
      <c r="B104" s="317">
        <v>50381</v>
      </c>
      <c r="C104" s="318" t="s">
        <v>72</v>
      </c>
      <c r="D104" s="448" t="s">
        <v>246</v>
      </c>
      <c r="E104" s="369" t="s">
        <v>219</v>
      </c>
      <c r="F104" s="321"/>
      <c r="G104" s="322"/>
      <c r="H104" s="323">
        <v>50000</v>
      </c>
      <c r="I104" s="323"/>
      <c r="J104" s="323"/>
      <c r="K104" s="323"/>
      <c r="L104" s="323"/>
      <c r="M104" s="323"/>
      <c r="N104" s="323"/>
      <c r="O104" s="323"/>
      <c r="P104" s="323"/>
      <c r="Q104" s="323"/>
      <c r="R104" s="323"/>
      <c r="S104" s="322"/>
      <c r="T104" s="324"/>
      <c r="U104" s="325">
        <v>50000</v>
      </c>
      <c r="V104" s="326">
        <f t="shared" si="5"/>
        <v>50000</v>
      </c>
      <c r="W104" s="404"/>
      <c r="X104" s="1"/>
      <c r="Y104" s="57">
        <f t="shared" si="6"/>
        <v>0</v>
      </c>
    </row>
    <row r="105" spans="1:25" ht="24.95" customHeight="1">
      <c r="A105" s="316">
        <v>45859</v>
      </c>
      <c r="B105" s="317">
        <v>50386</v>
      </c>
      <c r="C105" s="452" t="s">
        <v>257</v>
      </c>
      <c r="D105" s="448" t="s">
        <v>174</v>
      </c>
      <c r="E105" s="369" t="s">
        <v>258</v>
      </c>
      <c r="F105" s="321"/>
      <c r="G105" s="322"/>
      <c r="H105" s="323">
        <v>50750</v>
      </c>
      <c r="I105" s="323"/>
      <c r="J105" s="323"/>
      <c r="K105" s="323"/>
      <c r="L105" s="323"/>
      <c r="M105" s="399"/>
      <c r="N105" s="355"/>
      <c r="O105" s="323"/>
      <c r="P105" s="323"/>
      <c r="Q105" s="323"/>
      <c r="R105" s="323"/>
      <c r="S105" s="324"/>
      <c r="T105" s="324"/>
      <c r="U105" s="322">
        <v>50750</v>
      </c>
      <c r="V105" s="467">
        <f t="shared" si="5"/>
        <v>50750</v>
      </c>
      <c r="W105" s="360"/>
      <c r="X105" s="1"/>
      <c r="Y105" s="57">
        <f t="shared" si="6"/>
        <v>0</v>
      </c>
    </row>
    <row r="106" spans="1:25" ht="24.95" customHeight="1">
      <c r="A106" s="316">
        <v>45859</v>
      </c>
      <c r="B106" s="317">
        <v>50387</v>
      </c>
      <c r="C106" s="452" t="s">
        <v>259</v>
      </c>
      <c r="D106" s="448" t="s">
        <v>260</v>
      </c>
      <c r="E106" s="369" t="s">
        <v>261</v>
      </c>
      <c r="F106" s="321"/>
      <c r="G106" s="322"/>
      <c r="H106" s="323"/>
      <c r="I106" s="323"/>
      <c r="J106" s="323"/>
      <c r="K106" s="323"/>
      <c r="L106" s="323"/>
      <c r="M106" s="399"/>
      <c r="N106" s="323">
        <v>53600</v>
      </c>
      <c r="O106" s="323"/>
      <c r="P106" s="323"/>
      <c r="Q106" s="323"/>
      <c r="R106" s="323"/>
      <c r="S106" s="324"/>
      <c r="T106" s="324"/>
      <c r="U106" s="322">
        <v>53600</v>
      </c>
      <c r="V106" s="467">
        <f t="shared" si="5"/>
        <v>53600</v>
      </c>
      <c r="W106" s="362"/>
      <c r="X106" s="1"/>
      <c r="Y106" s="57">
        <f t="shared" si="6"/>
        <v>0</v>
      </c>
    </row>
    <row r="107" spans="1:25" ht="24.95" customHeight="1">
      <c r="A107" s="316">
        <v>45859</v>
      </c>
      <c r="B107" s="317">
        <v>50388</v>
      </c>
      <c r="C107" s="452" t="s">
        <v>262</v>
      </c>
      <c r="D107" s="448" t="s">
        <v>226</v>
      </c>
      <c r="E107" s="369" t="s">
        <v>263</v>
      </c>
      <c r="F107" s="321"/>
      <c r="G107" s="322"/>
      <c r="H107" s="323"/>
      <c r="I107" s="323"/>
      <c r="J107" s="323"/>
      <c r="K107" s="323"/>
      <c r="L107" s="323">
        <v>51300</v>
      </c>
      <c r="M107" s="399"/>
      <c r="N107" s="355"/>
      <c r="O107" s="323"/>
      <c r="P107" s="323"/>
      <c r="Q107" s="323"/>
      <c r="R107" s="323"/>
      <c r="S107" s="324"/>
      <c r="T107" s="324"/>
      <c r="U107" s="322">
        <v>51300</v>
      </c>
      <c r="V107" s="467">
        <f t="shared" si="5"/>
        <v>51300</v>
      </c>
      <c r="W107" s="362"/>
      <c r="X107" s="1"/>
      <c r="Y107" s="57">
        <f t="shared" si="6"/>
        <v>0</v>
      </c>
    </row>
    <row r="108" spans="1:25" ht="24.95" customHeight="1">
      <c r="A108" s="316">
        <v>45859</v>
      </c>
      <c r="B108" s="486">
        <v>50390</v>
      </c>
      <c r="C108" s="452" t="s">
        <v>264</v>
      </c>
      <c r="D108" s="448" t="s">
        <v>226</v>
      </c>
      <c r="E108" s="456" t="s">
        <v>265</v>
      </c>
      <c r="F108" s="348"/>
      <c r="G108" s="322"/>
      <c r="H108" s="345">
        <v>51150</v>
      </c>
      <c r="I108" s="323"/>
      <c r="J108" s="323"/>
      <c r="K108" s="323"/>
      <c r="L108" s="494"/>
      <c r="M108" s="399"/>
      <c r="N108" s="355"/>
      <c r="O108" s="323"/>
      <c r="P108" s="323"/>
      <c r="Q108" s="323"/>
      <c r="R108" s="323"/>
      <c r="S108" s="324"/>
      <c r="T108" s="324"/>
      <c r="U108" s="349">
        <v>51150</v>
      </c>
      <c r="V108" s="467">
        <f t="shared" si="5"/>
        <v>51150</v>
      </c>
      <c r="W108" s="362"/>
      <c r="X108" s="1"/>
      <c r="Y108" s="57">
        <f t="shared" si="6"/>
        <v>0</v>
      </c>
    </row>
    <row r="109" spans="1:25" ht="24.95" customHeight="1">
      <c r="A109" s="316">
        <v>45859</v>
      </c>
      <c r="B109" s="394">
        <v>50400</v>
      </c>
      <c r="C109" s="395" t="s">
        <v>269</v>
      </c>
      <c r="D109" s="448" t="s">
        <v>270</v>
      </c>
      <c r="E109" s="369" t="s">
        <v>271</v>
      </c>
      <c r="F109" s="495"/>
      <c r="G109" s="495"/>
      <c r="H109" s="399"/>
      <c r="I109" s="323"/>
      <c r="J109" s="323">
        <v>40000</v>
      </c>
      <c r="K109" s="323"/>
      <c r="L109" s="494"/>
      <c r="M109" s="399"/>
      <c r="N109" s="355"/>
      <c r="O109" s="323"/>
      <c r="P109" s="323"/>
      <c r="Q109" s="323"/>
      <c r="R109" s="323"/>
      <c r="S109" s="324"/>
      <c r="T109" s="324"/>
      <c r="U109" s="496">
        <v>40000</v>
      </c>
      <c r="V109" s="467">
        <f t="shared" si="5"/>
        <v>40000</v>
      </c>
      <c r="W109" s="362"/>
      <c r="X109" s="1"/>
      <c r="Y109" s="57">
        <f t="shared" si="6"/>
        <v>0</v>
      </c>
    </row>
    <row r="110" spans="1:25" ht="24.95" customHeight="1">
      <c r="A110" s="316"/>
      <c r="B110" s="394"/>
      <c r="C110" s="395"/>
      <c r="D110" s="448"/>
      <c r="E110" s="369"/>
      <c r="F110" s="495"/>
      <c r="G110" s="495"/>
      <c r="H110" s="399"/>
      <c r="I110" s="323"/>
      <c r="J110" s="323"/>
      <c r="K110" s="323"/>
      <c r="L110" s="494"/>
      <c r="M110" s="399"/>
      <c r="N110" s="355"/>
      <c r="O110" s="323"/>
      <c r="P110" s="323"/>
      <c r="Q110" s="323"/>
      <c r="R110" s="323"/>
      <c r="S110" s="324"/>
      <c r="T110" s="324"/>
      <c r="U110" s="496"/>
      <c r="V110" s="467">
        <f>S110+U110</f>
        <v>0</v>
      </c>
      <c r="W110" s="464"/>
      <c r="X110" s="1"/>
      <c r="Y110" s="57">
        <f t="shared" si="6"/>
        <v>0</v>
      </c>
    </row>
    <row r="111" spans="1:25" ht="24.95" customHeight="1">
      <c r="A111" s="316"/>
      <c r="B111" s="317"/>
      <c r="C111" s="318"/>
      <c r="D111" s="448"/>
      <c r="E111" s="369"/>
      <c r="F111" s="495"/>
      <c r="G111" s="322"/>
      <c r="H111" s="323"/>
      <c r="I111" s="323"/>
      <c r="J111" s="323"/>
      <c r="K111" s="323"/>
      <c r="L111" s="323"/>
      <c r="M111" s="336"/>
      <c r="N111" s="323"/>
      <c r="O111" s="323"/>
      <c r="P111" s="323"/>
      <c r="Q111" s="323"/>
      <c r="R111" s="323"/>
      <c r="S111" s="324"/>
      <c r="T111" s="324"/>
      <c r="U111" s="325"/>
      <c r="V111" s="326"/>
      <c r="W111" s="360"/>
      <c r="X111" s="1"/>
      <c r="Y111" s="57">
        <f t="shared" si="6"/>
        <v>0</v>
      </c>
    </row>
    <row r="112" spans="1:25" ht="24.95" customHeight="1">
      <c r="A112" s="316"/>
      <c r="B112" s="317"/>
      <c r="C112" s="318"/>
      <c r="D112" s="448"/>
      <c r="E112" s="369"/>
      <c r="F112" s="495"/>
      <c r="G112" s="322"/>
      <c r="H112" s="323"/>
      <c r="I112" s="323"/>
      <c r="J112" s="323"/>
      <c r="K112" s="323"/>
      <c r="L112" s="323"/>
      <c r="M112" s="323"/>
      <c r="N112" s="323"/>
      <c r="O112" s="323"/>
      <c r="P112" s="323"/>
      <c r="Q112" s="323"/>
      <c r="R112" s="323"/>
      <c r="S112" s="324"/>
      <c r="T112" s="324"/>
      <c r="U112" s="435"/>
      <c r="V112" s="326">
        <f t="shared" si="5"/>
        <v>0</v>
      </c>
      <c r="W112" s="464"/>
      <c r="X112" s="1"/>
      <c r="Y112" s="57">
        <f t="shared" si="6"/>
        <v>0</v>
      </c>
    </row>
    <row r="113" spans="1:25" s="4" customFormat="1" ht="24.95" customHeight="1">
      <c r="A113" s="497"/>
      <c r="B113" s="498"/>
      <c r="C113" s="499" t="s">
        <v>54</v>
      </c>
      <c r="D113" s="500"/>
      <c r="E113" s="501"/>
      <c r="F113" s="502">
        <f>SUM(F7:F111)</f>
        <v>1214005</v>
      </c>
      <c r="G113" s="502">
        <f>SUM(G6:G110)</f>
        <v>1215405</v>
      </c>
      <c r="H113" s="503">
        <f>SUM(H7:H112)</f>
        <v>1591315</v>
      </c>
      <c r="I113" s="503">
        <f>SUM(I7:I109)</f>
        <v>306650</v>
      </c>
      <c r="J113" s="503">
        <f>SUM(J7:J111)</f>
        <v>549850</v>
      </c>
      <c r="K113" s="503">
        <f>SUM(K7:K112)</f>
        <v>0</v>
      </c>
      <c r="L113" s="503">
        <f>SUM(L7:L110)</f>
        <v>2341350</v>
      </c>
      <c r="M113" s="504">
        <f>SUM(M7:M112)</f>
        <v>621850</v>
      </c>
      <c r="N113" s="504">
        <f>SUM(N7:N107)</f>
        <v>129750</v>
      </c>
      <c r="O113" s="504">
        <f>SUM(O7:O111)</f>
        <v>3450</v>
      </c>
      <c r="P113" s="504">
        <f>SUM(P6:P100)</f>
        <v>10830</v>
      </c>
      <c r="Q113" s="503">
        <f>SUM(Q7:Q111)</f>
        <v>520000</v>
      </c>
      <c r="R113" s="503">
        <f>SUM(R7:R58)</f>
        <v>0</v>
      </c>
      <c r="S113" s="503">
        <f>SUM(S7:S112)</f>
        <v>691400</v>
      </c>
      <c r="T113" s="503">
        <f>SUM(T7:T58)</f>
        <v>0</v>
      </c>
      <c r="U113" s="505">
        <f>SUM(U7:U111)</f>
        <v>5382245</v>
      </c>
      <c r="V113" s="506">
        <f>SUM(V7:V112)</f>
        <v>6073645</v>
      </c>
      <c r="W113" s="507"/>
      <c r="X113" s="508"/>
      <c r="Y113" s="57">
        <f>F113+H113+I113+J113+K113+L113+M113+N113+O113+Q113+R113+T113-G113-S113-U113+P113</f>
        <v>0</v>
      </c>
    </row>
    <row r="114" spans="1:25" s="8" customFormat="1" ht="24.95" customHeight="1">
      <c r="A114" s="509"/>
      <c r="B114" s="510"/>
      <c r="C114" s="1"/>
      <c r="D114" s="511"/>
      <c r="E114" s="512"/>
      <c r="F114" s="513"/>
      <c r="G114" s="513"/>
      <c r="H114" s="513"/>
      <c r="I114" s="513"/>
      <c r="J114" s="513"/>
      <c r="K114" s="513"/>
      <c r="L114" s="513"/>
      <c r="M114" s="513"/>
      <c r="N114" s="513"/>
      <c r="O114" s="513"/>
      <c r="P114" s="513"/>
      <c r="Q114" s="513"/>
      <c r="R114" s="513"/>
      <c r="S114" s="513"/>
      <c r="T114" s="513"/>
      <c r="U114" s="514"/>
      <c r="V114" s="515"/>
      <c r="W114" s="1"/>
      <c r="X114" s="1"/>
      <c r="Y114" s="57">
        <f>F114+H114+I114+J114+K114+L114+N114+O114+Q114+R114+T114-G114-S114-U114</f>
        <v>0</v>
      </c>
    </row>
    <row r="115" spans="1:25" s="8" customFormat="1" ht="24.95" customHeight="1">
      <c r="A115" s="509"/>
      <c r="B115" s="510"/>
      <c r="C115" s="1"/>
      <c r="D115" s="516" t="s">
        <v>272</v>
      </c>
      <c r="E115" s="512"/>
      <c r="F115" s="513"/>
      <c r="G115" s="513"/>
      <c r="H115" s="513"/>
      <c r="I115" s="513"/>
      <c r="J115" s="513"/>
      <c r="K115" s="513"/>
      <c r="L115" s="513"/>
      <c r="M115" s="513"/>
      <c r="N115" s="513"/>
      <c r="O115" s="513"/>
      <c r="P115" s="513"/>
      <c r="Q115" s="513"/>
      <c r="R115" s="513"/>
      <c r="S115" s="513"/>
      <c r="T115" s="513"/>
      <c r="U115" s="514"/>
      <c r="V115" s="515"/>
      <c r="W115" s="1"/>
      <c r="X115" s="1"/>
      <c r="Y115" s="57"/>
    </row>
    <row r="116" spans="1:25" s="8" customFormat="1" ht="24.95" customHeight="1" thickBot="1">
      <c r="A116" s="509"/>
      <c r="B116" s="510"/>
      <c r="C116" s="1"/>
      <c r="D116" s="516" t="s">
        <v>273</v>
      </c>
      <c r="E116" s="512"/>
      <c r="F116" s="513"/>
      <c r="G116" s="513"/>
      <c r="H116" s="513">
        <v>1615315</v>
      </c>
      <c r="I116" s="513">
        <v>306650</v>
      </c>
      <c r="J116" s="513">
        <v>549850</v>
      </c>
      <c r="K116" s="513"/>
      <c r="L116" s="513">
        <v>2471100</v>
      </c>
      <c r="M116" s="513">
        <v>621850</v>
      </c>
      <c r="N116" s="513">
        <v>129750</v>
      </c>
      <c r="O116" s="513">
        <v>3450</v>
      </c>
      <c r="P116" s="513">
        <v>90830</v>
      </c>
      <c r="Q116" s="513">
        <v>520000</v>
      </c>
      <c r="R116" s="513"/>
      <c r="S116" s="513"/>
      <c r="T116" s="513"/>
      <c r="U116" s="514"/>
      <c r="V116" s="515"/>
      <c r="W116" s="1"/>
      <c r="X116" s="1"/>
      <c r="Y116" s="57"/>
    </row>
    <row r="117" spans="1:25" s="8" customFormat="1" ht="24.95" customHeight="1" thickBot="1">
      <c r="A117" s="509"/>
      <c r="B117" s="510"/>
      <c r="C117" s="1"/>
      <c r="D117" s="517" t="s">
        <v>59</v>
      </c>
      <c r="E117" s="518"/>
      <c r="F117" s="519"/>
      <c r="G117" s="519"/>
      <c r="H117" s="519">
        <f>H116-H113</f>
        <v>24000</v>
      </c>
      <c r="I117" s="519">
        <f t="shared" ref="I117:Q117" si="7">I116-I113</f>
        <v>0</v>
      </c>
      <c r="J117" s="519">
        <f t="shared" si="7"/>
        <v>0</v>
      </c>
      <c r="K117" s="519">
        <f t="shared" si="7"/>
        <v>0</v>
      </c>
      <c r="L117" s="519">
        <f t="shared" si="7"/>
        <v>129750</v>
      </c>
      <c r="M117" s="519">
        <f t="shared" si="7"/>
        <v>0</v>
      </c>
      <c r="N117" s="519">
        <f t="shared" si="7"/>
        <v>0</v>
      </c>
      <c r="O117" s="519">
        <f t="shared" si="7"/>
        <v>0</v>
      </c>
      <c r="P117" s="519">
        <f t="shared" si="7"/>
        <v>80000</v>
      </c>
      <c r="Q117" s="520">
        <f t="shared" si="7"/>
        <v>0</v>
      </c>
      <c r="R117" s="513"/>
      <c r="S117" s="513"/>
      <c r="T117" s="513"/>
      <c r="U117" s="514"/>
      <c r="V117" s="515"/>
      <c r="W117" s="1"/>
      <c r="X117" s="1"/>
      <c r="Y117" s="57"/>
    </row>
    <row r="118" spans="1:25" s="8" customFormat="1" ht="24.95" customHeight="1">
      <c r="A118" s="509"/>
      <c r="B118" s="510"/>
      <c r="C118" s="1"/>
      <c r="D118" s="516" t="s">
        <v>274</v>
      </c>
      <c r="E118" s="512"/>
      <c r="F118" s="513"/>
      <c r="G118" s="513"/>
      <c r="H118" s="513"/>
      <c r="I118" s="513"/>
      <c r="J118" s="513"/>
      <c r="K118" s="513"/>
      <c r="L118" s="513"/>
      <c r="M118" s="513"/>
      <c r="N118" s="513"/>
      <c r="O118" s="513"/>
      <c r="P118" s="513"/>
      <c r="Q118" s="513"/>
      <c r="R118" s="513"/>
      <c r="S118" s="513"/>
      <c r="T118" s="513"/>
      <c r="U118" s="514"/>
      <c r="V118" s="515"/>
      <c r="W118" s="1"/>
      <c r="X118" s="1"/>
      <c r="Y118" s="57"/>
    </row>
    <row r="119" spans="1:25" s="8" customFormat="1" ht="24.95" customHeight="1">
      <c r="A119" s="509"/>
      <c r="B119" s="510"/>
      <c r="C119" s="1"/>
      <c r="D119" s="516" t="s">
        <v>278</v>
      </c>
      <c r="E119" s="512"/>
      <c r="F119" s="513"/>
      <c r="G119" s="513"/>
      <c r="H119" s="513"/>
      <c r="I119" s="513"/>
      <c r="J119" s="513"/>
      <c r="K119" s="513"/>
      <c r="L119" s="513"/>
      <c r="M119" s="513"/>
      <c r="N119" s="513"/>
      <c r="O119" s="513"/>
      <c r="P119" s="513"/>
      <c r="Q119" s="513"/>
      <c r="R119" s="513"/>
      <c r="S119" s="513"/>
      <c r="T119" s="513"/>
      <c r="U119" s="514"/>
      <c r="V119" s="515"/>
      <c r="W119" s="1"/>
      <c r="X119" s="1"/>
      <c r="Y119" s="57"/>
    </row>
    <row r="120" spans="1:25" s="8" customFormat="1" ht="24.95" customHeight="1">
      <c r="A120" s="521" t="s">
        <v>55</v>
      </c>
      <c r="B120" s="510"/>
      <c r="C120" s="1"/>
      <c r="D120" s="516" t="s">
        <v>279</v>
      </c>
      <c r="E120" s="512"/>
      <c r="F120" s="1"/>
      <c r="G120" s="1"/>
      <c r="H120" s="1"/>
      <c r="I120" s="1"/>
      <c r="J120" s="513"/>
      <c r="K120" s="522" t="s">
        <v>56</v>
      </c>
      <c r="L120" s="513"/>
      <c r="M120" s="513"/>
      <c r="N120" s="513"/>
      <c r="O120" s="513"/>
      <c r="P120" s="513"/>
      <c r="Q120" s="1"/>
      <c r="R120" s="522"/>
      <c r="S120" s="1"/>
      <c r="T120" s="522" t="s">
        <v>57</v>
      </c>
      <c r="U120" s="523"/>
      <c r="V120" s="515">
        <f>F113+H113+I113+J113+K113+L113+M113+N113+O113+Q113+R113+T113+P113</f>
        <v>7289050</v>
      </c>
      <c r="W120" s="1"/>
      <c r="X120" s="1"/>
      <c r="Y120" s="57"/>
    </row>
    <row r="121" spans="1:25" s="8" customFormat="1" ht="24.95" customHeight="1">
      <c r="A121" s="521"/>
      <c r="B121" s="510"/>
      <c r="C121" s="1"/>
      <c r="D121" s="516" t="s">
        <v>275</v>
      </c>
      <c r="E121" s="512"/>
      <c r="F121" s="1"/>
      <c r="G121" s="1"/>
      <c r="H121" s="1"/>
      <c r="I121" s="1"/>
      <c r="J121" s="513"/>
      <c r="K121" s="522"/>
      <c r="L121" s="513"/>
      <c r="M121" s="513"/>
      <c r="N121" s="513"/>
      <c r="O121" s="513"/>
      <c r="P121" s="513"/>
      <c r="Q121" s="1"/>
      <c r="R121" s="522"/>
      <c r="S121" s="1"/>
      <c r="T121" s="522" t="s">
        <v>58</v>
      </c>
      <c r="U121" s="523"/>
      <c r="V121" s="515">
        <f>G113+S113+U113</f>
        <v>7289050</v>
      </c>
      <c r="W121" s="1"/>
      <c r="X121" s="1"/>
      <c r="Y121" s="57"/>
    </row>
    <row r="122" spans="1:25" s="8" customFormat="1" ht="24.95" customHeight="1">
      <c r="A122" s="521"/>
      <c r="B122" s="510"/>
      <c r="C122" s="1"/>
      <c r="D122" s="516" t="s">
        <v>280</v>
      </c>
      <c r="E122" s="512"/>
      <c r="F122" s="1"/>
      <c r="G122" s="1"/>
      <c r="H122" s="1"/>
      <c r="I122" s="1"/>
      <c r="J122" s="513"/>
      <c r="K122" s="522"/>
      <c r="L122" s="513"/>
      <c r="M122" s="513"/>
      <c r="N122" s="513"/>
      <c r="O122" s="513"/>
      <c r="P122" s="513"/>
      <c r="Q122" s="1"/>
      <c r="R122" s="522"/>
      <c r="S122" s="1"/>
      <c r="T122" s="524" t="s">
        <v>59</v>
      </c>
      <c r="U122" s="525"/>
      <c r="V122" s="526">
        <f>V120-V121</f>
        <v>0</v>
      </c>
      <c r="W122" s="1"/>
      <c r="X122" s="1"/>
    </row>
    <row r="123" spans="1:25" s="9" customFormat="1" ht="24.95" customHeight="1">
      <c r="A123" s="527" t="s">
        <v>60</v>
      </c>
      <c r="B123" s="528"/>
      <c r="C123" s="508"/>
      <c r="D123" s="516" t="s">
        <v>277</v>
      </c>
      <c r="E123" s="529"/>
      <c r="F123" s="508"/>
      <c r="G123" s="508"/>
      <c r="H123" s="508"/>
      <c r="I123" s="508"/>
      <c r="J123" s="515"/>
      <c r="K123" s="524" t="s">
        <v>61</v>
      </c>
      <c r="L123" s="515"/>
      <c r="M123" s="515"/>
      <c r="N123" s="515"/>
      <c r="O123" s="515"/>
      <c r="P123" s="515"/>
      <c r="Q123" s="508"/>
      <c r="R123" s="524"/>
      <c r="S123" s="524"/>
      <c r="T123" s="515"/>
      <c r="U123" s="525"/>
      <c r="V123" s="515"/>
      <c r="W123" s="508"/>
      <c r="X123" s="508"/>
    </row>
    <row r="124" spans="1:25" s="8" customFormat="1" ht="24.95" customHeight="1">
      <c r="A124" s="521" t="s">
        <v>62</v>
      </c>
      <c r="B124" s="510"/>
      <c r="C124" s="1"/>
      <c r="D124" s="516" t="s">
        <v>281</v>
      </c>
      <c r="E124" s="512"/>
      <c r="F124" s="1"/>
      <c r="G124" s="1"/>
      <c r="H124" s="1"/>
      <c r="I124" s="1"/>
      <c r="J124" s="513"/>
      <c r="K124" s="522" t="s">
        <v>63</v>
      </c>
      <c r="L124" s="513"/>
      <c r="M124" s="513"/>
      <c r="N124" s="513"/>
      <c r="O124" s="513"/>
      <c r="P124" s="513"/>
      <c r="Q124" s="1"/>
      <c r="R124" s="522"/>
      <c r="S124" s="513"/>
      <c r="T124" s="513"/>
      <c r="U124" s="523"/>
      <c r="V124" s="515"/>
      <c r="W124" s="1"/>
      <c r="X124" s="1"/>
    </row>
    <row r="125" spans="1:25" ht="15.75" customHeight="1">
      <c r="A125" s="509"/>
      <c r="B125" s="510"/>
      <c r="C125" s="1"/>
      <c r="D125" s="511"/>
      <c r="E125" s="512"/>
      <c r="F125" s="513"/>
      <c r="G125" s="513"/>
      <c r="H125" s="513"/>
      <c r="I125" s="513"/>
      <c r="J125" s="513"/>
      <c r="K125" s="513"/>
      <c r="L125" s="513"/>
      <c r="M125" s="513"/>
      <c r="N125" s="513"/>
      <c r="O125" s="513"/>
      <c r="P125" s="513"/>
      <c r="Q125" s="513"/>
      <c r="R125" s="513"/>
      <c r="S125" s="513"/>
      <c r="T125" s="513"/>
      <c r="U125" s="514"/>
      <c r="V125" s="515"/>
      <c r="W125" s="1"/>
      <c r="X125" s="1"/>
    </row>
    <row r="127" spans="1:25" ht="15.75" customHeight="1">
      <c r="H127" s="15">
        <v>2280</v>
      </c>
    </row>
    <row r="128" spans="1:25" ht="15.75" customHeight="1">
      <c r="H128" s="15">
        <v>152200</v>
      </c>
    </row>
    <row r="129" spans="8:22" ht="15.75" customHeight="1">
      <c r="H129" s="15">
        <v>3960</v>
      </c>
      <c r="R129" s="603"/>
      <c r="S129" s="603"/>
      <c r="T129" s="604"/>
      <c r="U129" s="605">
        <f>SUM(U132:U143)</f>
        <v>1520655</v>
      </c>
      <c r="V129" s="605">
        <f>SUM(V132:V143)</f>
        <v>0</v>
      </c>
    </row>
    <row r="130" spans="8:22" ht="15.75" customHeight="1">
      <c r="H130" s="15">
        <v>50000</v>
      </c>
      <c r="R130" s="603"/>
      <c r="S130" s="603"/>
      <c r="T130" s="604"/>
      <c r="U130" s="605"/>
      <c r="V130" s="605"/>
    </row>
    <row r="131" spans="8:22" ht="15.75" customHeight="1">
      <c r="H131" s="15">
        <v>50000</v>
      </c>
      <c r="R131" s="606"/>
      <c r="S131" s="606"/>
      <c r="T131" s="606"/>
      <c r="U131" s="606"/>
      <c r="V131" s="606"/>
    </row>
    <row r="132" spans="8:22" ht="15.75" customHeight="1">
      <c r="H132" s="15">
        <v>51250</v>
      </c>
      <c r="R132" s="607" t="s">
        <v>282</v>
      </c>
      <c r="S132" s="607"/>
      <c r="T132" s="607" t="s">
        <v>283</v>
      </c>
      <c r="U132" s="607">
        <f>F113</f>
        <v>1214005</v>
      </c>
      <c r="V132" s="607"/>
    </row>
    <row r="133" spans="8:22" ht="15.75" customHeight="1">
      <c r="H133" s="15">
        <v>15500</v>
      </c>
      <c r="R133" s="607" t="s">
        <v>282</v>
      </c>
      <c r="S133" s="607"/>
      <c r="T133" s="607" t="s">
        <v>13</v>
      </c>
      <c r="U133" s="607">
        <f>I113</f>
        <v>306650</v>
      </c>
      <c r="V133" s="607"/>
    </row>
    <row r="134" spans="8:22" ht="15.75" customHeight="1">
      <c r="H134" s="15">
        <v>40000</v>
      </c>
      <c r="R134" s="607" t="s">
        <v>282</v>
      </c>
      <c r="S134" s="607"/>
      <c r="T134" s="607" t="s">
        <v>14</v>
      </c>
      <c r="U134" s="607">
        <f>I124</f>
        <v>0</v>
      </c>
      <c r="V134" s="607"/>
    </row>
    <row r="135" spans="8:22" ht="15.75" customHeight="1">
      <c r="H135" s="15">
        <v>50000</v>
      </c>
      <c r="R135" s="607" t="s">
        <v>282</v>
      </c>
      <c r="S135" s="607"/>
      <c r="T135" s="607" t="s">
        <v>15</v>
      </c>
      <c r="U135" s="607">
        <f>K110</f>
        <v>0</v>
      </c>
      <c r="V135" s="607"/>
    </row>
    <row r="136" spans="8:22" ht="15.75" customHeight="1">
      <c r="H136" s="15">
        <v>1050</v>
      </c>
      <c r="R136" s="607" t="s">
        <v>282</v>
      </c>
      <c r="S136" s="607"/>
      <c r="T136" s="607" t="s">
        <v>284</v>
      </c>
      <c r="U136" s="607">
        <f>L110</f>
        <v>0</v>
      </c>
      <c r="V136" s="607"/>
    </row>
    <row r="137" spans="8:22" ht="15.75" customHeight="1">
      <c r="H137" s="15">
        <v>25800</v>
      </c>
      <c r="R137" s="607" t="s">
        <v>282</v>
      </c>
      <c r="S137" s="607"/>
      <c r="T137" s="607" t="s">
        <v>18</v>
      </c>
      <c r="U137" s="607">
        <f>M110</f>
        <v>0</v>
      </c>
      <c r="V137" s="607"/>
    </row>
    <row r="138" spans="8:22" ht="15.75" customHeight="1">
      <c r="H138" s="15">
        <v>51100</v>
      </c>
      <c r="R138" s="607" t="s">
        <v>282</v>
      </c>
      <c r="S138" s="607"/>
      <c r="T138" s="607" t="s">
        <v>19</v>
      </c>
      <c r="U138" s="607">
        <f>Q110</f>
        <v>0</v>
      </c>
      <c r="V138" s="607"/>
    </row>
    <row r="139" spans="8:22" ht="15.75" customHeight="1">
      <c r="H139" s="15">
        <v>101800</v>
      </c>
      <c r="R139" s="607" t="s">
        <v>282</v>
      </c>
      <c r="S139" s="607"/>
      <c r="T139" s="607" t="s">
        <v>21</v>
      </c>
      <c r="U139" s="607">
        <f>R110</f>
        <v>0</v>
      </c>
      <c r="V139" s="607"/>
    </row>
    <row r="140" spans="8:22" ht="15.75" customHeight="1">
      <c r="H140" s="15">
        <v>25675</v>
      </c>
      <c r="R140" s="607"/>
      <c r="S140" s="607"/>
      <c r="T140" s="607" t="s">
        <v>285</v>
      </c>
      <c r="U140" s="607">
        <f>N110</f>
        <v>0</v>
      </c>
      <c r="V140" s="607"/>
    </row>
    <row r="141" spans="8:22" ht="15.75" customHeight="1">
      <c r="H141" s="15">
        <v>25675</v>
      </c>
      <c r="R141" s="607" t="s">
        <v>286</v>
      </c>
      <c r="S141" s="607"/>
      <c r="T141" s="607" t="s">
        <v>287</v>
      </c>
      <c r="U141" s="607"/>
      <c r="V141" s="607">
        <f>H110</f>
        <v>0</v>
      </c>
    </row>
    <row r="142" spans="8:22" ht="15.75" customHeight="1">
      <c r="H142" s="15">
        <v>51200</v>
      </c>
      <c r="R142" s="607"/>
      <c r="S142" s="607"/>
      <c r="T142" s="607" t="s">
        <v>288</v>
      </c>
      <c r="U142" s="607"/>
      <c r="V142" s="607">
        <f>U110</f>
        <v>0</v>
      </c>
    </row>
    <row r="143" spans="8:22" ht="15.75" customHeight="1">
      <c r="H143" s="15">
        <v>49300</v>
      </c>
      <c r="R143" s="607"/>
      <c r="S143" s="607"/>
      <c r="T143" s="607" t="s">
        <v>289</v>
      </c>
      <c r="U143" s="607"/>
      <c r="V143" s="607">
        <f>W110-O110-P110</f>
        <v>0</v>
      </c>
    </row>
    <row r="144" spans="8:22" ht="15.75" customHeight="1">
      <c r="H144" s="15">
        <v>2100</v>
      </c>
      <c r="R144" s="607"/>
      <c r="S144" s="607"/>
      <c r="T144" s="607"/>
      <c r="U144" s="607"/>
      <c r="V144" s="607"/>
    </row>
    <row r="145" spans="8:22" ht="15.75" customHeight="1">
      <c r="H145" s="15">
        <v>1200</v>
      </c>
      <c r="R145" s="605"/>
      <c r="S145" s="605"/>
      <c r="T145" s="605"/>
      <c r="U145" s="605"/>
      <c r="V145" s="605"/>
    </row>
    <row r="146" spans="8:22" ht="15.75" customHeight="1">
      <c r="H146" s="15">
        <v>50000</v>
      </c>
    </row>
    <row r="147" spans="8:22" ht="15.75" customHeight="1">
      <c r="H147" s="15">
        <v>24000</v>
      </c>
    </row>
    <row r="148" spans="8:22" ht="15.75" customHeight="1">
      <c r="H148" s="15">
        <v>50900</v>
      </c>
    </row>
    <row r="149" spans="8:22" ht="15.75" customHeight="1">
      <c r="H149" s="15">
        <v>50700</v>
      </c>
    </row>
    <row r="150" spans="8:22" ht="15.75" customHeight="1">
      <c r="H150" s="15">
        <v>51500</v>
      </c>
    </row>
    <row r="151" spans="8:22" ht="15.75" customHeight="1">
      <c r="H151" s="15">
        <v>3600</v>
      </c>
    </row>
    <row r="152" spans="8:22" ht="15.75" customHeight="1">
      <c r="H152" s="15">
        <v>25625</v>
      </c>
    </row>
    <row r="153" spans="8:22" ht="15.75" customHeight="1">
      <c r="H153" s="15">
        <v>51300</v>
      </c>
    </row>
    <row r="154" spans="8:22" ht="15.75" customHeight="1">
      <c r="H154" s="15">
        <v>50450</v>
      </c>
    </row>
    <row r="155" spans="8:22" ht="15.75" customHeight="1">
      <c r="H155" s="15">
        <v>101300</v>
      </c>
    </row>
    <row r="156" spans="8:22" ht="15.75" customHeight="1">
      <c r="H156" s="15">
        <v>150</v>
      </c>
    </row>
    <row r="157" spans="8:22" ht="15.75" customHeight="1">
      <c r="H157" s="15">
        <v>152200</v>
      </c>
    </row>
    <row r="158" spans="8:22" ht="15.75" customHeight="1">
      <c r="H158" s="15">
        <v>50000</v>
      </c>
    </row>
    <row r="159" spans="8:22" ht="15.75" customHeight="1">
      <c r="H159" s="15">
        <v>101600</v>
      </c>
    </row>
    <row r="160" spans="8:22" ht="15.75" customHeight="1">
      <c r="H160" s="15">
        <v>51150</v>
      </c>
    </row>
    <row r="161" spans="8:8" ht="15.75" customHeight="1">
      <c r="H161" s="15">
        <v>50750</v>
      </c>
    </row>
    <row r="162" spans="8:8" ht="15.75" customHeight="1">
      <c r="H162" s="15">
        <f>SUM(H127:H161)</f>
        <v>1615315</v>
      </c>
    </row>
  </sheetData>
  <autoFilter ref="A4:W127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9" showButton="0"/>
  </autoFilter>
  <mergeCells count="17">
    <mergeCell ref="W69:W70"/>
    <mergeCell ref="W4:W5"/>
    <mergeCell ref="W41:W45"/>
    <mergeCell ref="W24:W25"/>
    <mergeCell ref="A1:V1"/>
    <mergeCell ref="A2:V2"/>
    <mergeCell ref="H4:Q4"/>
    <mergeCell ref="R4:S4"/>
    <mergeCell ref="T4:U4"/>
    <mergeCell ref="A4:A5"/>
    <mergeCell ref="B4:B5"/>
    <mergeCell ref="C4:C5"/>
    <mergeCell ref="D4:D5"/>
    <mergeCell ref="E4:E5"/>
    <mergeCell ref="F4:F5"/>
    <mergeCell ref="G4:G5"/>
    <mergeCell ref="V4:V5"/>
  </mergeCells>
  <pageMargins left="0.25" right="0.25" top="0.5" bottom="0.25" header="0.3" footer="0.3"/>
  <pageSetup paperSize="14" scale="32" orientation="landscape" r:id="rId1"/>
  <rowBreaks count="1" manualBreakCount="1">
    <brk id="67" max="2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9"/>
  <sheetViews>
    <sheetView tabSelected="1" zoomScale="84" zoomScaleNormal="84" workbookViewId="0">
      <pane xSplit="2" ySplit="5" topLeftCell="R121" activePane="bottomRight" state="frozen"/>
      <selection pane="topRight"/>
      <selection pane="bottomLeft"/>
      <selection pane="bottomRight" activeCell="V141" sqref="V141"/>
    </sheetView>
  </sheetViews>
  <sheetFormatPr defaultColWidth="9.140625" defaultRowHeight="15.75" customHeight="1"/>
  <cols>
    <col min="1" max="1" width="12.5703125" style="10" customWidth="1"/>
    <col min="2" max="2" width="21.42578125" style="11" customWidth="1"/>
    <col min="3" max="3" width="34.140625" style="12" customWidth="1"/>
    <col min="4" max="4" width="54.85546875" style="13" customWidth="1"/>
    <col min="5" max="5" width="11.5703125" style="14" customWidth="1"/>
    <col min="6" max="6" width="20.5703125" style="15" customWidth="1"/>
    <col min="7" max="7" width="20.42578125" style="15" customWidth="1"/>
    <col min="8" max="8" width="20" style="15" customWidth="1"/>
    <col min="9" max="9" width="18.7109375" style="15" customWidth="1"/>
    <col min="10" max="10" width="20.85546875" style="15" customWidth="1"/>
    <col min="11" max="11" width="15.28515625" style="15" customWidth="1"/>
    <col min="12" max="12" width="20.85546875" style="15" customWidth="1"/>
    <col min="13" max="13" width="19.42578125" style="15" customWidth="1"/>
    <col min="14" max="14" width="18.5703125" style="15" customWidth="1"/>
    <col min="15" max="15" width="17.42578125" style="15" customWidth="1"/>
    <col min="16" max="16" width="18.85546875" style="15" customWidth="1"/>
    <col min="17" max="17" width="19.7109375" style="15" customWidth="1"/>
    <col min="18" max="18" width="12.5703125" style="15" customWidth="1"/>
    <col min="19" max="19" width="19.7109375" style="15" customWidth="1"/>
    <col min="20" max="20" width="8.7109375" style="15" customWidth="1"/>
    <col min="21" max="21" width="22.140625" style="16" customWidth="1"/>
    <col min="22" max="22" width="23.140625" style="17" customWidth="1"/>
    <col min="23" max="23" width="19.7109375" style="12" customWidth="1"/>
    <col min="24" max="24" width="9.140625" style="12"/>
    <col min="25" max="25" width="15.42578125" style="12" customWidth="1"/>
    <col min="26" max="16384" width="9.140625" style="12"/>
  </cols>
  <sheetData>
    <row r="1" spans="1:25" s="1" customFormat="1" ht="15.75" customHeight="1">
      <c r="A1" s="532" t="s">
        <v>0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532"/>
      <c r="P1" s="532"/>
      <c r="Q1" s="532"/>
      <c r="R1" s="532"/>
      <c r="S1" s="532"/>
      <c r="T1" s="532"/>
      <c r="U1" s="532"/>
      <c r="V1" s="532"/>
    </row>
    <row r="2" spans="1:25" s="2" customFormat="1" ht="15.75" customHeight="1">
      <c r="A2" s="533" t="s">
        <v>266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  <c r="T2" s="533"/>
      <c r="U2" s="533"/>
      <c r="V2" s="533"/>
    </row>
    <row r="3" spans="1:25" s="3" customFormat="1" ht="15.75" customHeight="1" thickBot="1">
      <c r="A3" s="18"/>
      <c r="B3" s="11"/>
      <c r="D3" s="19"/>
      <c r="E3" s="12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51"/>
      <c r="V3" s="52"/>
    </row>
    <row r="4" spans="1:25" s="4" customFormat="1" ht="26.25" customHeight="1">
      <c r="A4" s="541" t="s">
        <v>1</v>
      </c>
      <c r="B4" s="543" t="s">
        <v>2</v>
      </c>
      <c r="C4" s="545" t="s">
        <v>3</v>
      </c>
      <c r="D4" s="569" t="s">
        <v>4</v>
      </c>
      <c r="E4" s="586" t="s">
        <v>5</v>
      </c>
      <c r="F4" s="588" t="s">
        <v>6</v>
      </c>
      <c r="G4" s="590" t="s">
        <v>7</v>
      </c>
      <c r="H4" s="534" t="s">
        <v>8</v>
      </c>
      <c r="I4" s="535"/>
      <c r="J4" s="535"/>
      <c r="K4" s="535"/>
      <c r="L4" s="535"/>
      <c r="M4" s="535"/>
      <c r="N4" s="535"/>
      <c r="O4" s="535"/>
      <c r="P4" s="535"/>
      <c r="Q4" s="536"/>
      <c r="R4" s="537" t="s">
        <v>9</v>
      </c>
      <c r="S4" s="538"/>
      <c r="T4" s="539" t="s">
        <v>10</v>
      </c>
      <c r="U4" s="540"/>
      <c r="V4" s="592" t="s">
        <v>267</v>
      </c>
      <c r="W4" s="596" t="s">
        <v>12</v>
      </c>
    </row>
    <row r="5" spans="1:25" s="5" customFormat="1" ht="26.25" customHeight="1" thickBot="1">
      <c r="A5" s="542"/>
      <c r="B5" s="544"/>
      <c r="C5" s="546"/>
      <c r="D5" s="585"/>
      <c r="E5" s="587"/>
      <c r="F5" s="589"/>
      <c r="G5" s="591"/>
      <c r="H5" s="111" t="s">
        <v>13</v>
      </c>
      <c r="I5" s="111" t="s">
        <v>14</v>
      </c>
      <c r="J5" s="111" t="s">
        <v>15</v>
      </c>
      <c r="K5" s="111" t="s">
        <v>16</v>
      </c>
      <c r="L5" s="111" t="s">
        <v>18</v>
      </c>
      <c r="M5" s="111" t="s">
        <v>17</v>
      </c>
      <c r="N5" s="111" t="s">
        <v>19</v>
      </c>
      <c r="O5" s="111" t="s">
        <v>20</v>
      </c>
      <c r="P5" s="111" t="s">
        <v>276</v>
      </c>
      <c r="Q5" s="111" t="s">
        <v>21</v>
      </c>
      <c r="R5" s="113" t="s">
        <v>22</v>
      </c>
      <c r="S5" s="113" t="s">
        <v>23</v>
      </c>
      <c r="T5" s="113" t="s">
        <v>22</v>
      </c>
      <c r="U5" s="115" t="s">
        <v>23</v>
      </c>
      <c r="V5" s="593"/>
      <c r="W5" s="597"/>
    </row>
    <row r="6" spans="1:25" s="7" customFormat="1" ht="24.95" customHeight="1">
      <c r="A6" s="329">
        <v>45853</v>
      </c>
      <c r="B6" s="330">
        <v>50296</v>
      </c>
      <c r="C6" s="331" t="s">
        <v>27</v>
      </c>
      <c r="D6" s="332" t="s">
        <v>28</v>
      </c>
      <c r="E6" s="333" t="s">
        <v>29</v>
      </c>
      <c r="F6" s="334">
        <v>51250</v>
      </c>
      <c r="G6" s="335">
        <v>51250</v>
      </c>
      <c r="H6" s="336"/>
      <c r="I6" s="336"/>
      <c r="J6" s="336"/>
      <c r="K6" s="336"/>
      <c r="L6" s="336">
        <v>51250</v>
      </c>
      <c r="M6" s="336"/>
      <c r="N6" s="336"/>
      <c r="O6" s="336"/>
      <c r="P6" s="336"/>
      <c r="Q6" s="336"/>
      <c r="R6" s="337"/>
      <c r="S6" s="338"/>
      <c r="T6" s="339"/>
      <c r="U6" s="340">
        <v>51250</v>
      </c>
      <c r="V6" s="326">
        <f>S6+U6</f>
        <v>51250</v>
      </c>
      <c r="W6" s="341"/>
      <c r="X6" s="342"/>
      <c r="Y6" s="117">
        <f t="shared" ref="Y6" si="0">F6+H6+I6+J6+K6+L6+M6+N6+O6+Q6+R6+T6-G6-S6-U6</f>
        <v>0</v>
      </c>
    </row>
    <row r="7" spans="1:25" ht="24.95" customHeight="1">
      <c r="A7" s="329">
        <v>45853</v>
      </c>
      <c r="B7" s="330">
        <v>50297</v>
      </c>
      <c r="C7" s="331" t="s">
        <v>30</v>
      </c>
      <c r="D7" s="332" t="s">
        <v>28</v>
      </c>
      <c r="E7" s="343" t="s">
        <v>31</v>
      </c>
      <c r="F7" s="344">
        <v>51200</v>
      </c>
      <c r="G7" s="335">
        <v>51200</v>
      </c>
      <c r="H7" s="345"/>
      <c r="I7" s="345"/>
      <c r="J7" s="345"/>
      <c r="K7" s="345"/>
      <c r="L7" s="323">
        <v>51200</v>
      </c>
      <c r="M7" s="323"/>
      <c r="N7" s="345"/>
      <c r="O7" s="323"/>
      <c r="P7" s="323"/>
      <c r="Q7" s="345"/>
      <c r="R7" s="346"/>
      <c r="S7" s="347"/>
      <c r="T7" s="348"/>
      <c r="U7" s="349">
        <v>51200</v>
      </c>
      <c r="V7" s="326">
        <f t="shared" ref="V7:V69" si="1">S7+U7</f>
        <v>51200</v>
      </c>
      <c r="W7" s="350"/>
      <c r="X7" s="1"/>
      <c r="Y7" s="117">
        <f>F7+H7+I7+J7+K7+L7+M7+N7+O7+Q7+R7+T7-G7-S7-U7</f>
        <v>0</v>
      </c>
    </row>
    <row r="8" spans="1:25" ht="24.95" customHeight="1">
      <c r="A8" s="329">
        <v>45853</v>
      </c>
      <c r="B8" s="330">
        <v>50298</v>
      </c>
      <c r="C8" s="331" t="s">
        <v>32</v>
      </c>
      <c r="D8" s="351" t="s">
        <v>33</v>
      </c>
      <c r="E8" s="352" t="s">
        <v>34</v>
      </c>
      <c r="F8" s="353" t="s">
        <v>35</v>
      </c>
      <c r="G8" s="354" t="s">
        <v>35</v>
      </c>
      <c r="H8" s="323"/>
      <c r="I8" s="323"/>
      <c r="J8" s="323"/>
      <c r="K8" s="323"/>
      <c r="L8" s="345"/>
      <c r="M8" s="345">
        <v>21850</v>
      </c>
      <c r="N8" s="323"/>
      <c r="O8" s="323"/>
      <c r="P8" s="323"/>
      <c r="Q8" s="323"/>
      <c r="R8" s="355"/>
      <c r="S8" s="356">
        <v>21850</v>
      </c>
      <c r="T8" s="321"/>
      <c r="U8" s="349"/>
      <c r="V8" s="326">
        <f t="shared" si="1"/>
        <v>21850</v>
      </c>
      <c r="W8" s="350"/>
      <c r="X8" s="1"/>
      <c r="Y8" s="117" t="e">
        <f>F8+H8+I8+J8+K8+L8+M8+N8+O8+Q8+R8+T8-G8-S8-U8+P8</f>
        <v>#VALUE!</v>
      </c>
    </row>
    <row r="9" spans="1:25" ht="24.95" customHeight="1">
      <c r="A9" s="329">
        <v>45853</v>
      </c>
      <c r="B9" s="330">
        <v>50299</v>
      </c>
      <c r="C9" s="331" t="s">
        <v>32</v>
      </c>
      <c r="D9" s="351" t="s">
        <v>36</v>
      </c>
      <c r="E9" s="343" t="s">
        <v>37</v>
      </c>
      <c r="F9" s="357" t="s">
        <v>35</v>
      </c>
      <c r="G9" s="358" t="s">
        <v>35</v>
      </c>
      <c r="H9" s="323"/>
      <c r="I9" s="323"/>
      <c r="J9" s="323"/>
      <c r="K9" s="323"/>
      <c r="L9" s="323"/>
      <c r="M9" s="323">
        <v>200000</v>
      </c>
      <c r="N9" s="323"/>
      <c r="O9" s="323"/>
      <c r="P9" s="323"/>
      <c r="Q9" s="323"/>
      <c r="R9" s="355"/>
      <c r="S9" s="359">
        <v>200000</v>
      </c>
      <c r="T9" s="321"/>
      <c r="U9" s="325"/>
      <c r="V9" s="326">
        <f t="shared" si="1"/>
        <v>200000</v>
      </c>
      <c r="W9" s="458"/>
      <c r="X9" s="1"/>
      <c r="Y9" s="117" t="e">
        <f t="shared" ref="Y9:Y71" si="2">F9+H9+I9+J9+K9+L9+M9+N9+O9+Q9+R9+T9-G9-S9-U9</f>
        <v>#VALUE!</v>
      </c>
    </row>
    <row r="10" spans="1:25" ht="24.95" customHeight="1">
      <c r="A10" s="329">
        <v>45853</v>
      </c>
      <c r="B10" s="330">
        <v>50301</v>
      </c>
      <c r="C10" s="331" t="s">
        <v>38</v>
      </c>
      <c r="D10" s="332" t="s">
        <v>39</v>
      </c>
      <c r="E10" s="352" t="s">
        <v>40</v>
      </c>
      <c r="F10" s="361" t="s">
        <v>35</v>
      </c>
      <c r="G10" s="331" t="s">
        <v>35</v>
      </c>
      <c r="H10" s="323"/>
      <c r="I10" s="323"/>
      <c r="J10" s="323"/>
      <c r="K10" s="323"/>
      <c r="L10" s="323">
        <v>102300</v>
      </c>
      <c r="M10" s="323"/>
      <c r="N10" s="323"/>
      <c r="O10" s="323"/>
      <c r="P10" s="323"/>
      <c r="Q10" s="323"/>
      <c r="R10" s="355"/>
      <c r="S10" s="359">
        <v>102300</v>
      </c>
      <c r="T10" s="321"/>
      <c r="U10" s="325"/>
      <c r="V10" s="326">
        <f t="shared" si="1"/>
        <v>102300</v>
      </c>
      <c r="W10" s="362"/>
      <c r="X10" s="1"/>
      <c r="Y10" s="117" t="e">
        <f t="shared" si="2"/>
        <v>#VALUE!</v>
      </c>
    </row>
    <row r="11" spans="1:25" ht="24.95" customHeight="1">
      <c r="A11" s="329">
        <v>45853</v>
      </c>
      <c r="B11" s="330">
        <v>50302</v>
      </c>
      <c r="C11" s="331" t="s">
        <v>41</v>
      </c>
      <c r="D11" s="332" t="s">
        <v>39</v>
      </c>
      <c r="E11" s="352" t="s">
        <v>42</v>
      </c>
      <c r="F11" s="361" t="s">
        <v>35</v>
      </c>
      <c r="G11" s="331" t="s">
        <v>35</v>
      </c>
      <c r="H11" s="323"/>
      <c r="I11" s="323"/>
      <c r="J11" s="323"/>
      <c r="K11" s="323"/>
      <c r="L11" s="363">
        <v>102500</v>
      </c>
      <c r="M11" s="363"/>
      <c r="N11" s="323"/>
      <c r="O11" s="323"/>
      <c r="P11" s="323"/>
      <c r="Q11" s="323"/>
      <c r="R11" s="355"/>
      <c r="S11" s="359">
        <v>102500</v>
      </c>
      <c r="T11" s="321"/>
      <c r="U11" s="364"/>
      <c r="V11" s="326">
        <f t="shared" si="1"/>
        <v>102500</v>
      </c>
      <c r="W11" s="362"/>
      <c r="X11" s="1"/>
      <c r="Y11" s="117" t="e">
        <f t="shared" si="2"/>
        <v>#VALUE!</v>
      </c>
    </row>
    <row r="12" spans="1:25" ht="24.95" customHeight="1">
      <c r="A12" s="329">
        <v>45853</v>
      </c>
      <c r="B12" s="330">
        <v>50303</v>
      </c>
      <c r="C12" s="331" t="s">
        <v>43</v>
      </c>
      <c r="D12" s="332" t="s">
        <v>44</v>
      </c>
      <c r="E12" s="352" t="s">
        <v>45</v>
      </c>
      <c r="F12" s="361" t="s">
        <v>35</v>
      </c>
      <c r="G12" s="331" t="s">
        <v>35</v>
      </c>
      <c r="H12" s="323"/>
      <c r="I12" s="323">
        <v>51100</v>
      </c>
      <c r="J12" s="323"/>
      <c r="K12" s="323"/>
      <c r="L12" s="323"/>
      <c r="M12" s="323"/>
      <c r="N12" s="323"/>
      <c r="O12" s="323"/>
      <c r="P12" s="323"/>
      <c r="Q12" s="323"/>
      <c r="R12" s="355"/>
      <c r="S12" s="356"/>
      <c r="T12" s="321"/>
      <c r="U12" s="325">
        <v>51100</v>
      </c>
      <c r="V12" s="326">
        <f t="shared" si="1"/>
        <v>51100</v>
      </c>
      <c r="W12" s="362"/>
      <c r="X12" s="1"/>
      <c r="Y12" s="117" t="e">
        <f t="shared" si="2"/>
        <v>#VALUE!</v>
      </c>
    </row>
    <row r="13" spans="1:25" ht="24.95" customHeight="1">
      <c r="A13" s="329">
        <v>45853</v>
      </c>
      <c r="B13" s="330">
        <v>2895</v>
      </c>
      <c r="C13" s="331" t="s">
        <v>46</v>
      </c>
      <c r="D13" s="332" t="s">
        <v>28</v>
      </c>
      <c r="E13" s="352" t="s">
        <v>47</v>
      </c>
      <c r="F13" s="344">
        <v>51100</v>
      </c>
      <c r="G13" s="335">
        <v>51100</v>
      </c>
      <c r="H13" s="323"/>
      <c r="I13" s="323"/>
      <c r="J13" s="323"/>
      <c r="K13" s="323"/>
      <c r="L13" s="323">
        <v>51100</v>
      </c>
      <c r="M13" s="323"/>
      <c r="N13" s="323"/>
      <c r="O13" s="323"/>
      <c r="P13" s="323"/>
      <c r="Q13" s="323"/>
      <c r="R13" s="355"/>
      <c r="S13" s="359"/>
      <c r="T13" s="321"/>
      <c r="U13" s="325">
        <v>51100</v>
      </c>
      <c r="V13" s="326">
        <f t="shared" si="1"/>
        <v>51100</v>
      </c>
      <c r="W13" s="362"/>
      <c r="X13" s="1"/>
      <c r="Y13" s="117">
        <f t="shared" si="2"/>
        <v>0</v>
      </c>
    </row>
    <row r="14" spans="1:25" ht="24.95" customHeight="1">
      <c r="A14" s="366">
        <v>45854</v>
      </c>
      <c r="B14" s="367" t="s">
        <v>64</v>
      </c>
      <c r="C14" s="318" t="s">
        <v>65</v>
      </c>
      <c r="D14" s="368" t="s">
        <v>66</v>
      </c>
      <c r="E14" s="369"/>
      <c r="F14" s="370">
        <v>2280</v>
      </c>
      <c r="G14" s="371">
        <v>2280</v>
      </c>
      <c r="H14" s="323"/>
      <c r="I14" s="323"/>
      <c r="J14" s="323"/>
      <c r="K14" s="323"/>
      <c r="L14" s="323"/>
      <c r="M14" s="323"/>
      <c r="N14" s="323"/>
      <c r="O14" s="323"/>
      <c r="P14" s="323">
        <v>2280</v>
      </c>
      <c r="Q14" s="372"/>
      <c r="R14" s="355"/>
      <c r="S14" s="373"/>
      <c r="T14" s="321"/>
      <c r="U14" s="374">
        <v>2280</v>
      </c>
      <c r="V14" s="326">
        <f t="shared" si="1"/>
        <v>2280</v>
      </c>
      <c r="W14" s="362"/>
      <c r="X14" s="1"/>
      <c r="Y14" s="117">
        <f>F14+H14+I14+J14+K14+L14+M14+N14+O14+Q14+R14+T14-G14-S14-U14+P14</f>
        <v>0</v>
      </c>
    </row>
    <row r="15" spans="1:25" ht="24.95" customHeight="1">
      <c r="A15" s="366">
        <v>45854</v>
      </c>
      <c r="B15" s="367" t="s">
        <v>67</v>
      </c>
      <c r="C15" s="318" t="s">
        <v>68</v>
      </c>
      <c r="D15" s="375" t="s">
        <v>69</v>
      </c>
      <c r="E15" s="369"/>
      <c r="F15" s="321"/>
      <c r="G15" s="322"/>
      <c r="H15" s="323">
        <v>3960</v>
      </c>
      <c r="I15" s="323"/>
      <c r="J15" s="323"/>
      <c r="K15" s="323"/>
      <c r="L15" s="363"/>
      <c r="M15" s="363"/>
      <c r="N15" s="323"/>
      <c r="O15" s="323"/>
      <c r="P15" s="323"/>
      <c r="Q15" s="372"/>
      <c r="R15" s="355"/>
      <c r="S15" s="373"/>
      <c r="T15" s="321"/>
      <c r="U15" s="376">
        <v>3960</v>
      </c>
      <c r="V15" s="326">
        <f>S15+U15</f>
        <v>3960</v>
      </c>
      <c r="W15" s="457"/>
      <c r="X15" s="1"/>
      <c r="Y15" s="117">
        <f t="shared" si="2"/>
        <v>0</v>
      </c>
    </row>
    <row r="16" spans="1:25" ht="24.95" customHeight="1">
      <c r="A16" s="366">
        <v>45854</v>
      </c>
      <c r="B16" s="367">
        <v>50305</v>
      </c>
      <c r="C16" s="318" t="s">
        <v>68</v>
      </c>
      <c r="D16" s="375" t="s">
        <v>70</v>
      </c>
      <c r="E16" s="369" t="s">
        <v>71</v>
      </c>
      <c r="F16" s="321"/>
      <c r="G16" s="322"/>
      <c r="H16" s="323">
        <v>152200</v>
      </c>
      <c r="I16" s="323"/>
      <c r="J16" s="323"/>
      <c r="K16" s="323"/>
      <c r="L16" s="323"/>
      <c r="M16" s="323"/>
      <c r="N16" s="323"/>
      <c r="O16" s="323"/>
      <c r="P16" s="323"/>
      <c r="Q16" s="372"/>
      <c r="R16" s="355"/>
      <c r="S16" s="373"/>
      <c r="T16" s="378"/>
      <c r="U16" s="379">
        <v>152200</v>
      </c>
      <c r="V16" s="326">
        <f t="shared" si="1"/>
        <v>152200</v>
      </c>
      <c r="W16" s="380"/>
      <c r="X16" s="1"/>
      <c r="Y16" s="117">
        <f t="shared" si="2"/>
        <v>0</v>
      </c>
    </row>
    <row r="17" spans="1:25" ht="24.95" customHeight="1">
      <c r="A17" s="366">
        <v>45854</v>
      </c>
      <c r="B17" s="367">
        <v>50306</v>
      </c>
      <c r="C17" s="318" t="s">
        <v>72</v>
      </c>
      <c r="D17" s="375" t="s">
        <v>73</v>
      </c>
      <c r="E17" s="369" t="s">
        <v>74</v>
      </c>
      <c r="F17" s="321"/>
      <c r="G17" s="322"/>
      <c r="H17" s="323">
        <v>50000</v>
      </c>
      <c r="I17" s="323"/>
      <c r="J17" s="323"/>
      <c r="K17" s="323"/>
      <c r="L17" s="323"/>
      <c r="M17" s="323"/>
      <c r="N17" s="323"/>
      <c r="O17" s="323"/>
      <c r="P17" s="323"/>
      <c r="Q17" s="372"/>
      <c r="R17" s="355"/>
      <c r="S17" s="322"/>
      <c r="T17" s="381"/>
      <c r="U17" s="379">
        <v>50000</v>
      </c>
      <c r="V17" s="326">
        <f t="shared" si="1"/>
        <v>50000</v>
      </c>
      <c r="W17" s="380"/>
      <c r="X17" s="1"/>
      <c r="Y17" s="117">
        <f t="shared" si="2"/>
        <v>0</v>
      </c>
    </row>
    <row r="18" spans="1:25" ht="24.95" customHeight="1">
      <c r="A18" s="366">
        <v>45854</v>
      </c>
      <c r="B18" s="367">
        <v>50306</v>
      </c>
      <c r="C18" s="318" t="s">
        <v>72</v>
      </c>
      <c r="D18" s="375" t="s">
        <v>73</v>
      </c>
      <c r="E18" s="369" t="s">
        <v>74</v>
      </c>
      <c r="F18" s="321"/>
      <c r="G18" s="322"/>
      <c r="H18" s="323"/>
      <c r="I18" s="323"/>
      <c r="J18" s="323"/>
      <c r="K18" s="323"/>
      <c r="L18" s="323"/>
      <c r="M18" s="323"/>
      <c r="N18" s="323"/>
      <c r="O18" s="323">
        <v>1150</v>
      </c>
      <c r="P18" s="323"/>
      <c r="Q18" s="372"/>
      <c r="R18" s="355"/>
      <c r="S18" s="324"/>
      <c r="T18" s="373"/>
      <c r="U18" s="379">
        <v>1150</v>
      </c>
      <c r="V18" s="326">
        <f t="shared" si="1"/>
        <v>1150</v>
      </c>
      <c r="W18" s="382"/>
      <c r="X18" s="1"/>
      <c r="Y18" s="117">
        <f t="shared" si="2"/>
        <v>0</v>
      </c>
    </row>
    <row r="19" spans="1:25" ht="24.95" customHeight="1">
      <c r="A19" s="366">
        <v>45854</v>
      </c>
      <c r="B19" s="367">
        <v>50307</v>
      </c>
      <c r="C19" s="318" t="s">
        <v>75</v>
      </c>
      <c r="D19" s="375" t="s">
        <v>73</v>
      </c>
      <c r="E19" s="369" t="s">
        <v>76</v>
      </c>
      <c r="F19" s="321"/>
      <c r="G19" s="322"/>
      <c r="H19" s="323">
        <v>50000</v>
      </c>
      <c r="I19" s="323"/>
      <c r="J19" s="323"/>
      <c r="K19" s="323"/>
      <c r="L19" s="323"/>
      <c r="M19" s="323"/>
      <c r="N19" s="323"/>
      <c r="O19" s="323"/>
      <c r="P19" s="323"/>
      <c r="Q19" s="372"/>
      <c r="R19" s="383"/>
      <c r="S19" s="384"/>
      <c r="T19" s="385"/>
      <c r="U19" s="379">
        <v>50000</v>
      </c>
      <c r="V19" s="326">
        <f t="shared" si="1"/>
        <v>50000</v>
      </c>
      <c r="W19" s="380"/>
      <c r="X19" s="1"/>
      <c r="Y19" s="117">
        <f t="shared" si="2"/>
        <v>0</v>
      </c>
    </row>
    <row r="20" spans="1:25" ht="24.95" customHeight="1">
      <c r="A20" s="366">
        <v>45854</v>
      </c>
      <c r="B20" s="367">
        <v>50307</v>
      </c>
      <c r="C20" s="318" t="s">
        <v>75</v>
      </c>
      <c r="D20" s="375" t="s">
        <v>73</v>
      </c>
      <c r="E20" s="369" t="s">
        <v>76</v>
      </c>
      <c r="F20" s="321"/>
      <c r="G20" s="322"/>
      <c r="H20" s="323"/>
      <c r="I20" s="323"/>
      <c r="J20" s="323"/>
      <c r="K20" s="323"/>
      <c r="L20" s="323"/>
      <c r="M20" s="323"/>
      <c r="N20" s="323"/>
      <c r="O20" s="323">
        <v>1150</v>
      </c>
      <c r="P20" s="323"/>
      <c r="Q20" s="372"/>
      <c r="R20" s="355"/>
      <c r="S20" s="322"/>
      <c r="T20" s="373"/>
      <c r="U20" s="379">
        <v>1150</v>
      </c>
      <c r="V20" s="326">
        <f t="shared" si="1"/>
        <v>1150</v>
      </c>
      <c r="W20" s="380"/>
      <c r="X20" s="1"/>
      <c r="Y20" s="117">
        <f t="shared" si="2"/>
        <v>0</v>
      </c>
    </row>
    <row r="21" spans="1:25" ht="24.95" customHeight="1">
      <c r="A21" s="366">
        <v>45854</v>
      </c>
      <c r="B21" s="367">
        <v>50308</v>
      </c>
      <c r="C21" s="318" t="s">
        <v>77</v>
      </c>
      <c r="D21" s="375" t="s">
        <v>73</v>
      </c>
      <c r="E21" s="369" t="s">
        <v>78</v>
      </c>
      <c r="F21" s="321"/>
      <c r="G21" s="322"/>
      <c r="H21" s="323">
        <v>51250</v>
      </c>
      <c r="I21" s="323"/>
      <c r="J21" s="323"/>
      <c r="K21" s="323"/>
      <c r="L21" s="323"/>
      <c r="M21" s="323"/>
      <c r="N21" s="323"/>
      <c r="O21" s="323"/>
      <c r="P21" s="323"/>
      <c r="Q21" s="372"/>
      <c r="R21" s="355"/>
      <c r="S21" s="322"/>
      <c r="T21" s="373"/>
      <c r="U21" s="379">
        <v>51250</v>
      </c>
      <c r="V21" s="326">
        <f t="shared" si="1"/>
        <v>51250</v>
      </c>
      <c r="W21" s="382"/>
      <c r="X21" s="1"/>
      <c r="Y21" s="117">
        <f t="shared" si="2"/>
        <v>0</v>
      </c>
    </row>
    <row r="22" spans="1:25" ht="24.95" customHeight="1">
      <c r="A22" s="366">
        <v>45854</v>
      </c>
      <c r="B22" s="367">
        <v>50309</v>
      </c>
      <c r="C22" s="318" t="s">
        <v>79</v>
      </c>
      <c r="D22" s="375" t="s">
        <v>73</v>
      </c>
      <c r="E22" s="369" t="s">
        <v>80</v>
      </c>
      <c r="F22" s="321">
        <v>51350</v>
      </c>
      <c r="G22" s="322">
        <v>51350</v>
      </c>
      <c r="H22" s="323"/>
      <c r="I22" s="323"/>
      <c r="J22" s="323"/>
      <c r="K22" s="323"/>
      <c r="L22" s="323">
        <v>51350</v>
      </c>
      <c r="M22" s="323"/>
      <c r="N22" s="323"/>
      <c r="O22" s="323"/>
      <c r="P22" s="323"/>
      <c r="Q22" s="372"/>
      <c r="R22" s="355"/>
      <c r="S22" s="322"/>
      <c r="T22" s="373"/>
      <c r="U22" s="379">
        <v>51350</v>
      </c>
      <c r="V22" s="326">
        <f t="shared" si="1"/>
        <v>51350</v>
      </c>
      <c r="W22" s="601" t="s">
        <v>81</v>
      </c>
      <c r="X22" s="1"/>
      <c r="Y22" s="117">
        <f t="shared" si="2"/>
        <v>0</v>
      </c>
    </row>
    <row r="23" spans="1:25" ht="24.95" customHeight="1">
      <c r="A23" s="366">
        <v>45854</v>
      </c>
      <c r="B23" s="367">
        <v>50310</v>
      </c>
      <c r="C23" s="318" t="s">
        <v>79</v>
      </c>
      <c r="D23" s="375" t="s">
        <v>52</v>
      </c>
      <c r="E23" s="369" t="s">
        <v>82</v>
      </c>
      <c r="F23" s="321">
        <v>50</v>
      </c>
      <c r="G23" s="322">
        <v>50</v>
      </c>
      <c r="H23" s="323"/>
      <c r="I23" s="323"/>
      <c r="J23" s="323"/>
      <c r="K23" s="323"/>
      <c r="L23" s="323">
        <v>50</v>
      </c>
      <c r="M23" s="323"/>
      <c r="N23" s="323"/>
      <c r="O23" s="323"/>
      <c r="P23" s="323"/>
      <c r="Q23" s="372"/>
      <c r="R23" s="355"/>
      <c r="S23" s="322"/>
      <c r="T23" s="373"/>
      <c r="U23" s="379">
        <v>50</v>
      </c>
      <c r="V23" s="326">
        <f t="shared" si="1"/>
        <v>50</v>
      </c>
      <c r="W23" s="602"/>
      <c r="X23" s="1"/>
      <c r="Y23" s="117">
        <f t="shared" si="2"/>
        <v>0</v>
      </c>
    </row>
    <row r="24" spans="1:25" ht="24.95" customHeight="1">
      <c r="A24" s="366">
        <v>45854</v>
      </c>
      <c r="B24" s="367">
        <v>50312</v>
      </c>
      <c r="C24" s="318" t="s">
        <v>83</v>
      </c>
      <c r="D24" s="375" t="s">
        <v>52</v>
      </c>
      <c r="E24" s="369" t="s">
        <v>84</v>
      </c>
      <c r="F24" s="321">
        <v>51200</v>
      </c>
      <c r="G24" s="322">
        <v>51200</v>
      </c>
      <c r="H24" s="323"/>
      <c r="I24" s="323"/>
      <c r="J24" s="323"/>
      <c r="K24" s="323"/>
      <c r="L24" s="323">
        <v>51200</v>
      </c>
      <c r="M24" s="363"/>
      <c r="N24" s="323"/>
      <c r="O24" s="323"/>
      <c r="P24" s="323"/>
      <c r="Q24" s="372"/>
      <c r="R24" s="355"/>
      <c r="S24" s="322">
        <v>51200</v>
      </c>
      <c r="T24" s="373"/>
      <c r="U24" s="379"/>
      <c r="V24" s="326">
        <f t="shared" si="1"/>
        <v>51200</v>
      </c>
      <c r="W24" s="382"/>
      <c r="X24" s="1"/>
      <c r="Y24" s="117">
        <f t="shared" si="2"/>
        <v>0</v>
      </c>
    </row>
    <row r="25" spans="1:25" ht="24.95" customHeight="1">
      <c r="A25" s="366">
        <v>45854</v>
      </c>
      <c r="B25" s="367">
        <v>50313</v>
      </c>
      <c r="C25" s="318" t="s">
        <v>83</v>
      </c>
      <c r="D25" s="375" t="s">
        <v>85</v>
      </c>
      <c r="E25" s="369" t="s">
        <v>86</v>
      </c>
      <c r="F25" s="321">
        <v>25350</v>
      </c>
      <c r="G25" s="322">
        <v>25350</v>
      </c>
      <c r="H25" s="323"/>
      <c r="I25" s="323"/>
      <c r="J25" s="323"/>
      <c r="K25" s="323"/>
      <c r="L25" s="323">
        <v>25350</v>
      </c>
      <c r="M25" s="363"/>
      <c r="N25" s="323"/>
      <c r="O25" s="323"/>
      <c r="P25" s="323"/>
      <c r="Q25" s="372"/>
      <c r="R25" s="355"/>
      <c r="S25" s="322">
        <v>25350</v>
      </c>
      <c r="T25" s="373"/>
      <c r="U25" s="379"/>
      <c r="V25" s="326">
        <f t="shared" si="1"/>
        <v>25350</v>
      </c>
      <c r="W25" s="457"/>
      <c r="X25" s="1"/>
      <c r="Y25" s="117">
        <f t="shared" si="2"/>
        <v>0</v>
      </c>
    </row>
    <row r="26" spans="1:25" ht="24.95" customHeight="1">
      <c r="A26" s="366">
        <v>45854</v>
      </c>
      <c r="B26" s="367">
        <v>308853</v>
      </c>
      <c r="C26" s="318" t="s">
        <v>87</v>
      </c>
      <c r="D26" s="375" t="s">
        <v>73</v>
      </c>
      <c r="E26" s="369" t="s">
        <v>88</v>
      </c>
      <c r="F26" s="321">
        <v>50950</v>
      </c>
      <c r="G26" s="322">
        <v>50950</v>
      </c>
      <c r="H26" s="323"/>
      <c r="I26" s="323"/>
      <c r="J26" s="323"/>
      <c r="K26" s="323"/>
      <c r="L26" s="323">
        <v>50950</v>
      </c>
      <c r="M26" s="363"/>
      <c r="N26" s="323"/>
      <c r="O26" s="323"/>
      <c r="P26" s="323"/>
      <c r="Q26" s="372"/>
      <c r="R26" s="355"/>
      <c r="S26" s="322"/>
      <c r="T26" s="373"/>
      <c r="U26" s="379">
        <v>50950</v>
      </c>
      <c r="V26" s="326">
        <f t="shared" si="1"/>
        <v>50950</v>
      </c>
      <c r="W26" s="457"/>
      <c r="X26" s="1"/>
      <c r="Y26" s="117">
        <f t="shared" si="2"/>
        <v>0</v>
      </c>
    </row>
    <row r="27" spans="1:25" ht="24.95" customHeight="1">
      <c r="A27" s="366">
        <v>45854</v>
      </c>
      <c r="B27" s="317">
        <v>50315</v>
      </c>
      <c r="C27" s="318" t="s">
        <v>89</v>
      </c>
      <c r="D27" s="375" t="s">
        <v>52</v>
      </c>
      <c r="E27" s="369" t="s">
        <v>90</v>
      </c>
      <c r="F27" s="370"/>
      <c r="G27" s="371"/>
      <c r="H27" s="363"/>
      <c r="I27" s="323"/>
      <c r="J27" s="323"/>
      <c r="K27" s="323"/>
      <c r="L27" s="323">
        <v>11650</v>
      </c>
      <c r="M27" s="363"/>
      <c r="N27" s="323"/>
      <c r="O27" s="323"/>
      <c r="P27" s="323"/>
      <c r="Q27" s="323"/>
      <c r="R27" s="355"/>
      <c r="S27" s="322"/>
      <c r="T27" s="373"/>
      <c r="U27" s="386">
        <v>11650</v>
      </c>
      <c r="V27" s="326">
        <f t="shared" si="1"/>
        <v>11650</v>
      </c>
      <c r="W27" s="457"/>
      <c r="X27" s="1"/>
      <c r="Y27" s="117">
        <f t="shared" si="2"/>
        <v>0</v>
      </c>
    </row>
    <row r="28" spans="1:25" ht="24.95" customHeight="1">
      <c r="A28" s="366">
        <v>45854</v>
      </c>
      <c r="B28" s="387">
        <v>50316</v>
      </c>
      <c r="C28" s="318" t="s">
        <v>89</v>
      </c>
      <c r="D28" s="375" t="s">
        <v>73</v>
      </c>
      <c r="E28" s="388" t="s">
        <v>91</v>
      </c>
      <c r="F28" s="389"/>
      <c r="G28" s="390"/>
      <c r="H28" s="391"/>
      <c r="I28" s="323"/>
      <c r="J28" s="323"/>
      <c r="K28" s="323"/>
      <c r="L28" s="392">
        <v>8350</v>
      </c>
      <c r="M28" s="363"/>
      <c r="N28" s="323"/>
      <c r="O28" s="323"/>
      <c r="P28" s="392"/>
      <c r="Q28" s="392"/>
      <c r="R28" s="355"/>
      <c r="S28" s="393"/>
      <c r="T28" s="373"/>
      <c r="U28" s="386">
        <v>8350</v>
      </c>
      <c r="V28" s="326">
        <f t="shared" si="1"/>
        <v>8350</v>
      </c>
      <c r="W28" s="457"/>
      <c r="X28" s="1"/>
      <c r="Y28" s="117">
        <f t="shared" si="2"/>
        <v>0</v>
      </c>
    </row>
    <row r="29" spans="1:25" ht="24.95" customHeight="1">
      <c r="A29" s="366">
        <v>45854</v>
      </c>
      <c r="B29" s="394">
        <v>50317</v>
      </c>
      <c r="C29" s="395" t="s">
        <v>92</v>
      </c>
      <c r="D29" s="375" t="s">
        <v>52</v>
      </c>
      <c r="E29" s="369" t="s">
        <v>93</v>
      </c>
      <c r="F29" s="370"/>
      <c r="G29" s="396"/>
      <c r="H29" s="397">
        <v>1100</v>
      </c>
      <c r="I29" s="323"/>
      <c r="J29" s="323"/>
      <c r="K29" s="398"/>
      <c r="L29" s="399"/>
      <c r="M29" s="400"/>
      <c r="N29" s="323"/>
      <c r="O29" s="323"/>
      <c r="P29" s="401"/>
      <c r="Q29" s="399"/>
      <c r="R29" s="355"/>
      <c r="S29" s="321">
        <v>1100</v>
      </c>
      <c r="T29" s="373"/>
      <c r="U29" s="386"/>
      <c r="V29" s="326">
        <f t="shared" si="1"/>
        <v>1100</v>
      </c>
      <c r="W29" s="380"/>
      <c r="X29" s="1"/>
      <c r="Y29" s="117">
        <f t="shared" si="2"/>
        <v>0</v>
      </c>
    </row>
    <row r="30" spans="1:25" ht="24.95" customHeight="1">
      <c r="A30" s="366">
        <v>45854</v>
      </c>
      <c r="B30" s="394">
        <v>50318</v>
      </c>
      <c r="C30" s="395" t="s">
        <v>92</v>
      </c>
      <c r="D30" s="375" t="s">
        <v>94</v>
      </c>
      <c r="E30" s="369" t="s">
        <v>93</v>
      </c>
      <c r="F30" s="370"/>
      <c r="G30" s="396"/>
      <c r="H30" s="397">
        <v>14400</v>
      </c>
      <c r="I30" s="323"/>
      <c r="J30" s="323"/>
      <c r="K30" s="323"/>
      <c r="L30" s="399"/>
      <c r="M30" s="363"/>
      <c r="N30" s="323"/>
      <c r="O30" s="323"/>
      <c r="P30" s="401"/>
      <c r="Q30" s="399"/>
      <c r="R30" s="355"/>
      <c r="S30" s="321">
        <v>14400</v>
      </c>
      <c r="T30" s="373"/>
      <c r="U30" s="402"/>
      <c r="V30" s="326">
        <f t="shared" si="1"/>
        <v>14400</v>
      </c>
      <c r="W30" s="403"/>
      <c r="X30" s="1"/>
      <c r="Y30" s="117">
        <f t="shared" si="2"/>
        <v>0</v>
      </c>
    </row>
    <row r="31" spans="1:25" ht="24.95" customHeight="1">
      <c r="A31" s="366">
        <v>45854</v>
      </c>
      <c r="B31" s="394">
        <v>50319</v>
      </c>
      <c r="C31" s="395" t="s">
        <v>95</v>
      </c>
      <c r="D31" s="375" t="s">
        <v>96</v>
      </c>
      <c r="E31" s="369" t="s">
        <v>97</v>
      </c>
      <c r="F31" s="370">
        <v>51350</v>
      </c>
      <c r="G31" s="396">
        <v>51350</v>
      </c>
      <c r="H31" s="397"/>
      <c r="I31" s="323"/>
      <c r="J31" s="323"/>
      <c r="K31" s="323"/>
      <c r="L31" s="399">
        <v>51350</v>
      </c>
      <c r="M31" s="363"/>
      <c r="N31" s="323"/>
      <c r="O31" s="323"/>
      <c r="P31" s="401"/>
      <c r="Q31" s="399"/>
      <c r="R31" s="355"/>
      <c r="S31" s="321"/>
      <c r="T31" s="373"/>
      <c r="U31" s="386">
        <v>51350</v>
      </c>
      <c r="V31" s="326">
        <f t="shared" si="1"/>
        <v>51350</v>
      </c>
      <c r="W31" s="404"/>
      <c r="X31" s="1"/>
      <c r="Y31" s="117">
        <f t="shared" si="2"/>
        <v>0</v>
      </c>
    </row>
    <row r="32" spans="1:25" ht="24.95" customHeight="1">
      <c r="A32" s="366">
        <v>45854</v>
      </c>
      <c r="B32" s="405">
        <v>50320</v>
      </c>
      <c r="C32" s="395" t="s">
        <v>95</v>
      </c>
      <c r="D32" s="375" t="s">
        <v>98</v>
      </c>
      <c r="E32" s="406"/>
      <c r="F32" s="407">
        <v>300</v>
      </c>
      <c r="G32" s="408">
        <v>300</v>
      </c>
      <c r="H32" s="409"/>
      <c r="I32" s="323"/>
      <c r="J32" s="323"/>
      <c r="K32" s="323"/>
      <c r="L32" s="410">
        <v>300</v>
      </c>
      <c r="M32" s="323"/>
      <c r="N32" s="323"/>
      <c r="O32" s="323"/>
      <c r="P32" s="401"/>
      <c r="Q32" s="410"/>
      <c r="R32" s="355"/>
      <c r="S32" s="411">
        <v>300</v>
      </c>
      <c r="T32" s="373"/>
      <c r="U32" s="412"/>
      <c r="V32" s="326">
        <f t="shared" si="1"/>
        <v>300</v>
      </c>
      <c r="W32" s="404"/>
      <c r="X32" s="1"/>
      <c r="Y32" s="117">
        <f t="shared" si="2"/>
        <v>0</v>
      </c>
    </row>
    <row r="33" spans="1:25" ht="24.95" customHeight="1">
      <c r="A33" s="366">
        <v>45854</v>
      </c>
      <c r="B33" s="405" t="s">
        <v>99</v>
      </c>
      <c r="C33" s="395" t="s">
        <v>95</v>
      </c>
      <c r="D33" s="375" t="s">
        <v>100</v>
      </c>
      <c r="E33" s="406"/>
      <c r="F33" s="407">
        <v>7000</v>
      </c>
      <c r="G33" s="408">
        <v>7000</v>
      </c>
      <c r="H33" s="409"/>
      <c r="I33" s="323"/>
      <c r="J33" s="323"/>
      <c r="K33" s="323"/>
      <c r="L33" s="323"/>
      <c r="M33" s="323"/>
      <c r="N33" s="323"/>
      <c r="O33" s="323"/>
      <c r="P33" s="401">
        <v>7000</v>
      </c>
      <c r="Q33" s="410"/>
      <c r="R33" s="355"/>
      <c r="S33" s="411"/>
      <c r="T33" s="373"/>
      <c r="U33" s="412">
        <v>7000</v>
      </c>
      <c r="V33" s="326">
        <f t="shared" si="1"/>
        <v>7000</v>
      </c>
      <c r="W33" s="382"/>
      <c r="X33" s="1"/>
      <c r="Y33" s="117">
        <f>F33+H33+I33+J33+K33+L33+M33+N33+O33+Q33+R33+T33-G33-S33-U33+P33</f>
        <v>0</v>
      </c>
    </row>
    <row r="34" spans="1:25" ht="24.95" customHeight="1">
      <c r="A34" s="366">
        <v>45854</v>
      </c>
      <c r="B34" s="413">
        <v>50357</v>
      </c>
      <c r="C34" s="395" t="s">
        <v>101</v>
      </c>
      <c r="D34" s="368" t="s">
        <v>102</v>
      </c>
      <c r="E34" s="414" t="s">
        <v>103</v>
      </c>
      <c r="F34" s="415"/>
      <c r="G34" s="416"/>
      <c r="H34" s="410">
        <v>40000</v>
      </c>
      <c r="I34" s="323"/>
      <c r="J34" s="323"/>
      <c r="K34" s="323"/>
      <c r="L34" s="323"/>
      <c r="M34" s="323"/>
      <c r="N34" s="323"/>
      <c r="O34" s="323"/>
      <c r="P34" s="323"/>
      <c r="Q34" s="372"/>
      <c r="R34" s="355"/>
      <c r="S34" s="410">
        <v>40000</v>
      </c>
      <c r="T34" s="373"/>
      <c r="U34" s="415"/>
      <c r="V34" s="326">
        <f t="shared" si="1"/>
        <v>40000</v>
      </c>
      <c r="W34" s="457"/>
      <c r="X34" s="1"/>
      <c r="Y34" s="117">
        <f t="shared" si="2"/>
        <v>0</v>
      </c>
    </row>
    <row r="35" spans="1:25" ht="24.95" customHeight="1">
      <c r="A35" s="417">
        <v>45855</v>
      </c>
      <c r="B35" s="418">
        <v>50321</v>
      </c>
      <c r="C35" s="318" t="s">
        <v>104</v>
      </c>
      <c r="D35" s="419" t="s">
        <v>105</v>
      </c>
      <c r="E35" s="420" t="s">
        <v>106</v>
      </c>
      <c r="F35" s="371">
        <v>102200</v>
      </c>
      <c r="G35" s="421">
        <v>102200</v>
      </c>
      <c r="H35" s="363"/>
      <c r="I35" s="323"/>
      <c r="J35" s="323"/>
      <c r="K35" s="323"/>
      <c r="L35" s="363">
        <v>102200</v>
      </c>
      <c r="M35" s="323"/>
      <c r="N35" s="323"/>
      <c r="O35" s="323"/>
      <c r="P35" s="323"/>
      <c r="Q35" s="323"/>
      <c r="R35" s="355"/>
      <c r="S35" s="322"/>
      <c r="T35" s="373"/>
      <c r="U35" s="422">
        <v>102200</v>
      </c>
      <c r="V35" s="326">
        <f t="shared" si="1"/>
        <v>102200</v>
      </c>
      <c r="W35" s="457"/>
      <c r="X35" s="1"/>
      <c r="Y35" s="117">
        <f t="shared" si="2"/>
        <v>0</v>
      </c>
    </row>
    <row r="36" spans="1:25" ht="24.95" customHeight="1">
      <c r="A36" s="417">
        <v>45855</v>
      </c>
      <c r="B36" s="418">
        <v>50322</v>
      </c>
      <c r="C36" s="423" t="s">
        <v>107</v>
      </c>
      <c r="D36" s="424" t="s">
        <v>73</v>
      </c>
      <c r="E36" s="425" t="s">
        <v>108</v>
      </c>
      <c r="F36" s="371">
        <v>50950</v>
      </c>
      <c r="G36" s="421">
        <v>50950</v>
      </c>
      <c r="H36" s="363"/>
      <c r="I36" s="323"/>
      <c r="J36" s="323"/>
      <c r="K36" s="323"/>
      <c r="L36" s="363">
        <v>50950</v>
      </c>
      <c r="M36" s="323"/>
      <c r="N36" s="323"/>
      <c r="O36" s="323"/>
      <c r="P36" s="323"/>
      <c r="Q36" s="323"/>
      <c r="R36" s="355"/>
      <c r="S36" s="322"/>
      <c r="T36" s="373"/>
      <c r="U36" s="422">
        <v>50950</v>
      </c>
      <c r="V36" s="326">
        <f t="shared" si="1"/>
        <v>50950</v>
      </c>
      <c r="W36" s="457"/>
      <c r="X36" s="1"/>
      <c r="Y36" s="57">
        <f t="shared" si="2"/>
        <v>0</v>
      </c>
    </row>
    <row r="37" spans="1:25" ht="24.95" customHeight="1">
      <c r="A37" s="417">
        <v>45855</v>
      </c>
      <c r="B37" s="418">
        <v>50324</v>
      </c>
      <c r="C37" s="318" t="s">
        <v>109</v>
      </c>
      <c r="D37" s="424" t="s">
        <v>73</v>
      </c>
      <c r="E37" s="426" t="s">
        <v>110</v>
      </c>
      <c r="F37" s="421"/>
      <c r="G37" s="421"/>
      <c r="H37" s="363">
        <v>51050</v>
      </c>
      <c r="I37" s="323"/>
      <c r="J37" s="323"/>
      <c r="K37" s="323"/>
      <c r="L37" s="363"/>
      <c r="M37" s="323"/>
      <c r="N37" s="323"/>
      <c r="O37" s="323"/>
      <c r="P37" s="323"/>
      <c r="Q37" s="323"/>
      <c r="R37" s="355"/>
      <c r="S37" s="322"/>
      <c r="T37" s="373"/>
      <c r="U37" s="422">
        <v>51050</v>
      </c>
      <c r="V37" s="326">
        <f t="shared" si="1"/>
        <v>51050</v>
      </c>
      <c r="W37" s="457"/>
      <c r="X37" s="1"/>
      <c r="Y37" s="57">
        <f t="shared" si="2"/>
        <v>0</v>
      </c>
    </row>
    <row r="38" spans="1:25" ht="24.95" customHeight="1">
      <c r="A38" s="417">
        <v>45855</v>
      </c>
      <c r="B38" s="427">
        <v>50325</v>
      </c>
      <c r="C38" s="318" t="s">
        <v>111</v>
      </c>
      <c r="D38" s="424" t="s">
        <v>112</v>
      </c>
      <c r="E38" s="428" t="s">
        <v>113</v>
      </c>
      <c r="F38" s="421"/>
      <c r="G38" s="421"/>
      <c r="H38" s="363"/>
      <c r="I38" s="323">
        <v>102200</v>
      </c>
      <c r="J38" s="323"/>
      <c r="K38" s="323"/>
      <c r="L38" s="363"/>
      <c r="M38" s="323"/>
      <c r="N38" s="323"/>
      <c r="O38" s="323"/>
      <c r="P38" s="323"/>
      <c r="Q38" s="323"/>
      <c r="R38" s="355"/>
      <c r="S38" s="322"/>
      <c r="T38" s="373"/>
      <c r="U38" s="429">
        <v>102200</v>
      </c>
      <c r="V38" s="326">
        <f t="shared" si="1"/>
        <v>102200</v>
      </c>
      <c r="W38" s="457"/>
      <c r="X38" s="1"/>
      <c r="Y38" s="57">
        <f t="shared" si="2"/>
        <v>0</v>
      </c>
    </row>
    <row r="39" spans="1:25" ht="24.95" customHeight="1">
      <c r="A39" s="417">
        <v>45855</v>
      </c>
      <c r="B39" s="427">
        <v>50326</v>
      </c>
      <c r="C39" s="318" t="s">
        <v>114</v>
      </c>
      <c r="D39" s="424" t="s">
        <v>112</v>
      </c>
      <c r="E39" s="428" t="s">
        <v>268</v>
      </c>
      <c r="F39" s="421"/>
      <c r="G39" s="421"/>
      <c r="H39" s="363"/>
      <c r="I39" s="323"/>
      <c r="J39" s="323"/>
      <c r="K39" s="323"/>
      <c r="L39" s="363"/>
      <c r="M39" s="323"/>
      <c r="N39" s="323"/>
      <c r="O39" s="323"/>
      <c r="P39" s="323"/>
      <c r="Q39" s="372">
        <v>103100</v>
      </c>
      <c r="R39" s="323"/>
      <c r="S39" s="322"/>
      <c r="T39" s="373"/>
      <c r="U39" s="429">
        <v>103100</v>
      </c>
      <c r="V39" s="326">
        <f t="shared" si="1"/>
        <v>103100</v>
      </c>
      <c r="W39" s="598" t="s">
        <v>81</v>
      </c>
      <c r="X39" s="1"/>
      <c r="Y39" s="57">
        <f t="shared" si="2"/>
        <v>0</v>
      </c>
    </row>
    <row r="40" spans="1:25" ht="24.95" customHeight="1">
      <c r="A40" s="417">
        <v>45855</v>
      </c>
      <c r="B40" s="427">
        <v>50327</v>
      </c>
      <c r="C40" s="318" t="s">
        <v>114</v>
      </c>
      <c r="D40" s="424" t="s">
        <v>116</v>
      </c>
      <c r="E40" s="428" t="s">
        <v>117</v>
      </c>
      <c r="F40" s="421"/>
      <c r="G40" s="421"/>
      <c r="H40" s="363"/>
      <c r="I40" s="323"/>
      <c r="J40" s="323"/>
      <c r="K40" s="323"/>
      <c r="L40" s="363"/>
      <c r="M40" s="323"/>
      <c r="N40" s="323"/>
      <c r="O40" s="323"/>
      <c r="P40" s="323"/>
      <c r="Q40" s="323">
        <v>1300</v>
      </c>
      <c r="R40" s="355"/>
      <c r="S40" s="430">
        <v>1300</v>
      </c>
      <c r="T40" s="373"/>
      <c r="U40" s="429"/>
      <c r="V40" s="326">
        <f t="shared" si="1"/>
        <v>1300</v>
      </c>
      <c r="W40" s="599"/>
      <c r="X40" s="1"/>
      <c r="Y40" s="57">
        <f t="shared" si="2"/>
        <v>0</v>
      </c>
    </row>
    <row r="41" spans="1:25" ht="24.95" customHeight="1">
      <c r="A41" s="417">
        <v>45855</v>
      </c>
      <c r="B41" s="427">
        <v>50328</v>
      </c>
      <c r="C41" s="318" t="s">
        <v>114</v>
      </c>
      <c r="D41" s="424" t="s">
        <v>116</v>
      </c>
      <c r="E41" s="428" t="s">
        <v>118</v>
      </c>
      <c r="F41" s="421"/>
      <c r="G41" s="421"/>
      <c r="H41" s="363"/>
      <c r="I41" s="323"/>
      <c r="J41" s="323"/>
      <c r="K41" s="323"/>
      <c r="L41" s="363"/>
      <c r="M41" s="323"/>
      <c r="N41" s="323"/>
      <c r="O41" s="323"/>
      <c r="P41" s="323"/>
      <c r="Q41" s="323">
        <v>900</v>
      </c>
      <c r="R41" s="355"/>
      <c r="S41" s="430">
        <v>900</v>
      </c>
      <c r="T41" s="373"/>
      <c r="U41" s="429"/>
      <c r="V41" s="326">
        <f t="shared" si="1"/>
        <v>900</v>
      </c>
      <c r="W41" s="599"/>
      <c r="X41" s="1"/>
      <c r="Y41" s="57">
        <f t="shared" si="2"/>
        <v>0</v>
      </c>
    </row>
    <row r="42" spans="1:25" ht="24.95" customHeight="1">
      <c r="A42" s="417">
        <v>45855</v>
      </c>
      <c r="B42" s="427">
        <v>50329</v>
      </c>
      <c r="C42" s="318" t="s">
        <v>114</v>
      </c>
      <c r="D42" s="424" t="s">
        <v>119</v>
      </c>
      <c r="E42" s="428" t="s">
        <v>120</v>
      </c>
      <c r="F42" s="421"/>
      <c r="G42" s="421"/>
      <c r="H42" s="363"/>
      <c r="I42" s="323"/>
      <c r="J42" s="323"/>
      <c r="K42" s="323"/>
      <c r="L42" s="363"/>
      <c r="M42" s="323"/>
      <c r="N42" s="323"/>
      <c r="O42" s="323"/>
      <c r="P42" s="323"/>
      <c r="Q42" s="323">
        <v>900</v>
      </c>
      <c r="R42" s="355"/>
      <c r="S42" s="430">
        <v>900</v>
      </c>
      <c r="T42" s="373"/>
      <c r="U42" s="429"/>
      <c r="V42" s="326">
        <f t="shared" si="1"/>
        <v>900</v>
      </c>
      <c r="W42" s="599"/>
      <c r="X42" s="1"/>
      <c r="Y42" s="57">
        <f t="shared" si="2"/>
        <v>0</v>
      </c>
    </row>
    <row r="43" spans="1:25" ht="24.95" customHeight="1">
      <c r="A43" s="417">
        <v>45855</v>
      </c>
      <c r="B43" s="427">
        <v>50330</v>
      </c>
      <c r="C43" s="318" t="s">
        <v>114</v>
      </c>
      <c r="D43" s="424" t="s">
        <v>52</v>
      </c>
      <c r="E43" s="428" t="s">
        <v>121</v>
      </c>
      <c r="F43" s="421"/>
      <c r="G43" s="421"/>
      <c r="H43" s="363"/>
      <c r="I43" s="323"/>
      <c r="J43" s="323"/>
      <c r="K43" s="323"/>
      <c r="L43" s="363"/>
      <c r="M43" s="323"/>
      <c r="N43" s="323"/>
      <c r="O43" s="323"/>
      <c r="P43" s="323"/>
      <c r="Q43" s="323">
        <v>600</v>
      </c>
      <c r="R43" s="355"/>
      <c r="S43" s="430">
        <v>600</v>
      </c>
      <c r="T43" s="373"/>
      <c r="U43" s="429"/>
      <c r="V43" s="326">
        <f t="shared" si="1"/>
        <v>600</v>
      </c>
      <c r="W43" s="600"/>
      <c r="X43" s="1"/>
      <c r="Y43" s="57">
        <f t="shared" si="2"/>
        <v>0</v>
      </c>
    </row>
    <row r="44" spans="1:25" ht="24.95" customHeight="1">
      <c r="A44" s="417">
        <v>45855</v>
      </c>
      <c r="B44" s="427">
        <v>50331</v>
      </c>
      <c r="C44" s="318" t="s">
        <v>122</v>
      </c>
      <c r="D44" s="424" t="s">
        <v>73</v>
      </c>
      <c r="E44" s="431" t="s">
        <v>123</v>
      </c>
      <c r="F44" s="429"/>
      <c r="G44" s="429"/>
      <c r="H44" s="400">
        <v>51100</v>
      </c>
      <c r="I44" s="345"/>
      <c r="J44" s="345"/>
      <c r="K44" s="323"/>
      <c r="L44" s="400"/>
      <c r="M44" s="323"/>
      <c r="N44" s="323"/>
      <c r="O44" s="323"/>
      <c r="P44" s="323"/>
      <c r="Q44" s="345"/>
      <c r="R44" s="355"/>
      <c r="S44" s="322"/>
      <c r="T44" s="373"/>
      <c r="U44" s="429">
        <v>51100</v>
      </c>
      <c r="V44" s="326">
        <f t="shared" si="1"/>
        <v>51100</v>
      </c>
      <c r="W44" s="432"/>
      <c r="X44" s="1"/>
      <c r="Y44" s="57">
        <f t="shared" si="2"/>
        <v>0</v>
      </c>
    </row>
    <row r="45" spans="1:25" ht="24.95" customHeight="1">
      <c r="A45" s="417">
        <v>45855</v>
      </c>
      <c r="B45" s="427">
        <v>50332</v>
      </c>
      <c r="C45" s="433" t="s">
        <v>124</v>
      </c>
      <c r="D45" s="424" t="s">
        <v>125</v>
      </c>
      <c r="E45" s="434" t="s">
        <v>126</v>
      </c>
      <c r="F45" s="421"/>
      <c r="G45" s="421"/>
      <c r="H45" s="363"/>
      <c r="I45" s="323">
        <v>50950</v>
      </c>
      <c r="J45" s="323"/>
      <c r="K45" s="323"/>
      <c r="L45" s="363"/>
      <c r="M45" s="323"/>
      <c r="N45" s="323"/>
      <c r="O45" s="323"/>
      <c r="P45" s="323"/>
      <c r="Q45" s="323"/>
      <c r="R45" s="355"/>
      <c r="S45" s="322"/>
      <c r="T45" s="373"/>
      <c r="U45" s="422">
        <v>50950</v>
      </c>
      <c r="V45" s="326">
        <f t="shared" si="1"/>
        <v>50950</v>
      </c>
      <c r="W45" s="457"/>
      <c r="X45" s="1"/>
      <c r="Y45" s="57">
        <f t="shared" si="2"/>
        <v>0</v>
      </c>
    </row>
    <row r="46" spans="1:25" ht="24.95" customHeight="1">
      <c r="A46" s="417">
        <v>45855</v>
      </c>
      <c r="B46" s="427">
        <v>50333</v>
      </c>
      <c r="C46" s="433" t="s">
        <v>127</v>
      </c>
      <c r="D46" s="424" t="s">
        <v>128</v>
      </c>
      <c r="E46" s="434" t="s">
        <v>129</v>
      </c>
      <c r="F46" s="421"/>
      <c r="G46" s="421"/>
      <c r="H46" s="323">
        <v>25800</v>
      </c>
      <c r="I46" s="323"/>
      <c r="J46" s="323"/>
      <c r="K46" s="323"/>
      <c r="L46" s="363"/>
      <c r="M46" s="323"/>
      <c r="N46" s="323"/>
      <c r="O46" s="323"/>
      <c r="P46" s="323"/>
      <c r="Q46" s="323"/>
      <c r="R46" s="355"/>
      <c r="S46" s="322"/>
      <c r="T46" s="373"/>
      <c r="U46" s="422">
        <v>25800</v>
      </c>
      <c r="V46" s="326">
        <f t="shared" si="1"/>
        <v>25800</v>
      </c>
      <c r="W46" s="457"/>
      <c r="X46" s="1"/>
      <c r="Y46" s="57">
        <f t="shared" si="2"/>
        <v>0</v>
      </c>
    </row>
    <row r="47" spans="1:25" ht="24.95" customHeight="1">
      <c r="A47" s="417">
        <v>45855</v>
      </c>
      <c r="B47" s="427">
        <v>50334</v>
      </c>
      <c r="C47" s="318" t="s">
        <v>130</v>
      </c>
      <c r="D47" s="424" t="s">
        <v>131</v>
      </c>
      <c r="E47" s="434" t="s">
        <v>132</v>
      </c>
      <c r="F47" s="324"/>
      <c r="G47" s="324"/>
      <c r="H47" s="323"/>
      <c r="I47" s="323"/>
      <c r="J47" s="323">
        <v>203150</v>
      </c>
      <c r="K47" s="323"/>
      <c r="L47" s="323"/>
      <c r="M47" s="323"/>
      <c r="N47" s="323"/>
      <c r="O47" s="323"/>
      <c r="P47" s="323"/>
      <c r="Q47" s="323"/>
      <c r="R47" s="355"/>
      <c r="S47" s="322"/>
      <c r="T47" s="373"/>
      <c r="U47" s="435">
        <v>203150</v>
      </c>
      <c r="V47" s="326">
        <f t="shared" si="1"/>
        <v>203150</v>
      </c>
      <c r="W47" s="457"/>
      <c r="X47" s="1"/>
      <c r="Y47" s="57">
        <f t="shared" si="2"/>
        <v>0</v>
      </c>
    </row>
    <row r="48" spans="1:25" ht="24.95" customHeight="1">
      <c r="A48" s="417">
        <v>45855</v>
      </c>
      <c r="B48" s="427">
        <v>50335</v>
      </c>
      <c r="C48" s="318" t="s">
        <v>133</v>
      </c>
      <c r="D48" s="424" t="s">
        <v>134</v>
      </c>
      <c r="E48" s="434" t="s">
        <v>135</v>
      </c>
      <c r="F48" s="324"/>
      <c r="G48" s="324"/>
      <c r="H48" s="323"/>
      <c r="I48" s="323"/>
      <c r="J48" s="323"/>
      <c r="K48" s="323"/>
      <c r="L48" s="323">
        <v>354050</v>
      </c>
      <c r="M48" s="323"/>
      <c r="N48" s="323"/>
      <c r="O48" s="323"/>
      <c r="P48" s="323"/>
      <c r="Q48" s="323"/>
      <c r="R48" s="355"/>
      <c r="S48" s="322"/>
      <c r="T48" s="373"/>
      <c r="U48" s="435">
        <v>354050</v>
      </c>
      <c r="V48" s="326">
        <f t="shared" si="1"/>
        <v>354050</v>
      </c>
      <c r="W48" s="457"/>
      <c r="X48" s="1"/>
      <c r="Y48" s="57">
        <f t="shared" si="2"/>
        <v>0</v>
      </c>
    </row>
    <row r="49" spans="1:25" ht="24.95" customHeight="1">
      <c r="A49" s="417">
        <v>45855</v>
      </c>
      <c r="B49" s="427">
        <v>50336</v>
      </c>
      <c r="C49" s="318" t="s">
        <v>136</v>
      </c>
      <c r="D49" s="436" t="s">
        <v>137</v>
      </c>
      <c r="E49" s="434" t="s">
        <v>138</v>
      </c>
      <c r="F49" s="324"/>
      <c r="G49" s="324"/>
      <c r="H49" s="323"/>
      <c r="I49" s="323"/>
      <c r="J49" s="323"/>
      <c r="K49" s="323"/>
      <c r="L49" s="323"/>
      <c r="M49" s="323"/>
      <c r="N49" s="437">
        <v>76150</v>
      </c>
      <c r="O49" s="323"/>
      <c r="P49" s="323"/>
      <c r="Q49" s="323"/>
      <c r="R49" s="355"/>
      <c r="S49" s="322"/>
      <c r="T49" s="373"/>
      <c r="U49" s="438">
        <v>76150</v>
      </c>
      <c r="V49" s="326">
        <f t="shared" si="1"/>
        <v>76150</v>
      </c>
      <c r="W49" s="457"/>
      <c r="X49" s="1"/>
      <c r="Y49" s="57">
        <f t="shared" si="2"/>
        <v>0</v>
      </c>
    </row>
    <row r="50" spans="1:25" ht="24.95" customHeight="1">
      <c r="A50" s="417">
        <v>45855</v>
      </c>
      <c r="B50" s="427">
        <v>50337</v>
      </c>
      <c r="C50" s="423" t="s">
        <v>139</v>
      </c>
      <c r="D50" s="436" t="s">
        <v>140</v>
      </c>
      <c r="E50" s="439" t="s">
        <v>141</v>
      </c>
      <c r="F50" s="324"/>
      <c r="G50" s="324"/>
      <c r="H50" s="323"/>
      <c r="I50" s="323"/>
      <c r="J50" s="323"/>
      <c r="K50" s="323"/>
      <c r="L50" s="323">
        <v>203700</v>
      </c>
      <c r="M50" s="323"/>
      <c r="N50" s="323"/>
      <c r="O50" s="323"/>
      <c r="P50" s="323"/>
      <c r="Q50" s="323"/>
      <c r="R50" s="355"/>
      <c r="S50" s="322"/>
      <c r="T50" s="373"/>
      <c r="U50" s="438">
        <v>203700</v>
      </c>
      <c r="V50" s="326">
        <f t="shared" si="1"/>
        <v>203700</v>
      </c>
      <c r="W50" s="457"/>
      <c r="X50" s="1"/>
      <c r="Y50" s="57">
        <f t="shared" si="2"/>
        <v>0</v>
      </c>
    </row>
    <row r="51" spans="1:25" ht="24.95" customHeight="1">
      <c r="A51" s="417">
        <v>45855</v>
      </c>
      <c r="B51" s="427">
        <v>50338</v>
      </c>
      <c r="C51" s="423" t="s">
        <v>142</v>
      </c>
      <c r="D51" s="436" t="s">
        <v>73</v>
      </c>
      <c r="E51" s="439" t="s">
        <v>143</v>
      </c>
      <c r="F51" s="324"/>
      <c r="G51" s="324"/>
      <c r="H51" s="323"/>
      <c r="I51" s="323"/>
      <c r="J51" s="323">
        <v>51200</v>
      </c>
      <c r="K51" s="323"/>
      <c r="L51" s="323"/>
      <c r="M51" s="323"/>
      <c r="N51" s="323"/>
      <c r="O51" s="323"/>
      <c r="P51" s="323"/>
      <c r="Q51" s="323"/>
      <c r="R51" s="355"/>
      <c r="S51" s="322"/>
      <c r="T51" s="373"/>
      <c r="U51" s="438">
        <v>51200</v>
      </c>
      <c r="V51" s="326">
        <f t="shared" si="1"/>
        <v>51200</v>
      </c>
      <c r="W51" s="457"/>
      <c r="X51" s="1"/>
      <c r="Y51" s="57">
        <f t="shared" si="2"/>
        <v>0</v>
      </c>
    </row>
    <row r="52" spans="1:25" ht="24.95" customHeight="1">
      <c r="A52" s="417">
        <v>45855</v>
      </c>
      <c r="B52" s="427">
        <v>50339</v>
      </c>
      <c r="C52" s="423" t="s">
        <v>144</v>
      </c>
      <c r="D52" s="436" t="s">
        <v>112</v>
      </c>
      <c r="E52" s="439" t="s">
        <v>145</v>
      </c>
      <c r="F52" s="324"/>
      <c r="G52" s="324"/>
      <c r="H52" s="323"/>
      <c r="I52" s="323"/>
      <c r="J52" s="323"/>
      <c r="K52" s="323"/>
      <c r="L52" s="323"/>
      <c r="M52" s="323"/>
      <c r="N52" s="323"/>
      <c r="O52" s="323"/>
      <c r="P52" s="323"/>
      <c r="Q52" s="323">
        <v>102500</v>
      </c>
      <c r="R52" s="355"/>
      <c r="S52" s="322"/>
      <c r="T52" s="373"/>
      <c r="U52" s="438">
        <v>102500</v>
      </c>
      <c r="V52" s="326">
        <f t="shared" si="1"/>
        <v>102500</v>
      </c>
      <c r="W52" s="404"/>
      <c r="X52" s="1"/>
      <c r="Y52" s="57">
        <f t="shared" si="2"/>
        <v>0</v>
      </c>
    </row>
    <row r="53" spans="1:25" ht="24.95" customHeight="1">
      <c r="A53" s="417">
        <v>45855</v>
      </c>
      <c r="B53" s="427">
        <v>50340</v>
      </c>
      <c r="C53" s="423" t="s">
        <v>146</v>
      </c>
      <c r="D53" s="436" t="s">
        <v>147</v>
      </c>
      <c r="E53" s="439" t="s">
        <v>37</v>
      </c>
      <c r="F53" s="324"/>
      <c r="G53" s="324"/>
      <c r="H53" s="323"/>
      <c r="I53" s="323"/>
      <c r="J53" s="323"/>
      <c r="K53" s="323"/>
      <c r="L53" s="323"/>
      <c r="M53" s="323">
        <v>100000</v>
      </c>
      <c r="N53" s="323"/>
      <c r="O53" s="323"/>
      <c r="P53" s="323"/>
      <c r="Q53" s="323"/>
      <c r="R53" s="355"/>
      <c r="S53" s="322"/>
      <c r="T53" s="373"/>
      <c r="U53" s="438">
        <v>100000</v>
      </c>
      <c r="V53" s="326">
        <f t="shared" si="1"/>
        <v>100000</v>
      </c>
      <c r="W53" s="404"/>
      <c r="X53" s="1"/>
      <c r="Y53" s="57">
        <f t="shared" si="2"/>
        <v>0</v>
      </c>
    </row>
    <row r="54" spans="1:25" ht="24.95" customHeight="1">
      <c r="A54" s="417">
        <v>45855</v>
      </c>
      <c r="B54" s="427">
        <v>50341</v>
      </c>
      <c r="C54" s="423" t="s">
        <v>148</v>
      </c>
      <c r="D54" s="436" t="s">
        <v>149</v>
      </c>
      <c r="E54" s="439" t="s">
        <v>150</v>
      </c>
      <c r="F54" s="324"/>
      <c r="G54" s="324"/>
      <c r="H54" s="323"/>
      <c r="I54" s="323"/>
      <c r="J54" s="323"/>
      <c r="K54" s="323"/>
      <c r="L54" s="323">
        <v>102200</v>
      </c>
      <c r="M54" s="323"/>
      <c r="N54" s="323"/>
      <c r="O54" s="323"/>
      <c r="P54" s="323"/>
      <c r="Q54" s="323"/>
      <c r="R54" s="355"/>
      <c r="S54" s="322"/>
      <c r="T54" s="373"/>
      <c r="U54" s="438">
        <v>102200</v>
      </c>
      <c r="V54" s="326">
        <f t="shared" si="1"/>
        <v>102200</v>
      </c>
      <c r="W54" s="382"/>
      <c r="X54" s="1"/>
      <c r="Y54" s="57">
        <f t="shared" si="2"/>
        <v>0</v>
      </c>
    </row>
    <row r="55" spans="1:25" ht="24.95" customHeight="1">
      <c r="A55" s="417">
        <v>45855</v>
      </c>
      <c r="B55" s="427">
        <v>50342</v>
      </c>
      <c r="C55" s="440" t="s">
        <v>151</v>
      </c>
      <c r="D55" s="436" t="s">
        <v>73</v>
      </c>
      <c r="E55" s="434" t="s">
        <v>152</v>
      </c>
      <c r="F55" s="324"/>
      <c r="G55" s="322"/>
      <c r="H55" s="323"/>
      <c r="I55" s="323">
        <v>51100</v>
      </c>
      <c r="J55" s="323"/>
      <c r="K55" s="323"/>
      <c r="L55" s="323"/>
      <c r="M55" s="323"/>
      <c r="N55" s="323"/>
      <c r="O55" s="323"/>
      <c r="P55" s="323"/>
      <c r="Q55" s="323"/>
      <c r="R55" s="355"/>
      <c r="S55" s="322"/>
      <c r="T55" s="373"/>
      <c r="U55" s="438">
        <v>51100</v>
      </c>
      <c r="V55" s="326">
        <f t="shared" si="1"/>
        <v>51100</v>
      </c>
      <c r="W55" s="457"/>
      <c r="X55" s="1"/>
      <c r="Y55" s="57">
        <f t="shared" si="2"/>
        <v>0</v>
      </c>
    </row>
    <row r="56" spans="1:25" ht="24.95" customHeight="1">
      <c r="A56" s="417">
        <v>45855</v>
      </c>
      <c r="B56" s="427">
        <v>50343</v>
      </c>
      <c r="C56" s="318" t="s">
        <v>153</v>
      </c>
      <c r="D56" s="436" t="s">
        <v>112</v>
      </c>
      <c r="E56" s="441" t="s">
        <v>154</v>
      </c>
      <c r="F56" s="324"/>
      <c r="G56" s="322"/>
      <c r="H56" s="323">
        <v>101800</v>
      </c>
      <c r="I56" s="323"/>
      <c r="J56" s="323"/>
      <c r="K56" s="323"/>
      <c r="L56" s="323"/>
      <c r="M56" s="323"/>
      <c r="N56" s="323"/>
      <c r="O56" s="323"/>
      <c r="P56" s="323"/>
      <c r="Q56" s="323"/>
      <c r="R56" s="355"/>
      <c r="S56" s="322"/>
      <c r="T56" s="373"/>
      <c r="U56" s="442">
        <v>101800</v>
      </c>
      <c r="V56" s="326">
        <f t="shared" si="1"/>
        <v>101800</v>
      </c>
      <c r="W56" s="362"/>
      <c r="X56" s="1"/>
      <c r="Y56" s="57">
        <f t="shared" si="2"/>
        <v>0</v>
      </c>
    </row>
    <row r="57" spans="1:25" ht="24.95" customHeight="1">
      <c r="A57" s="417">
        <v>45855</v>
      </c>
      <c r="B57" s="418">
        <v>50344</v>
      </c>
      <c r="C57" s="318" t="s">
        <v>155</v>
      </c>
      <c r="D57" s="436" t="s">
        <v>112</v>
      </c>
      <c r="E57" s="443" t="s">
        <v>156</v>
      </c>
      <c r="F57" s="444"/>
      <c r="G57" s="322"/>
      <c r="H57" s="323"/>
      <c r="I57" s="323"/>
      <c r="J57" s="323"/>
      <c r="K57" s="323"/>
      <c r="L57" s="323">
        <v>102100</v>
      </c>
      <c r="M57" s="323"/>
      <c r="N57" s="323"/>
      <c r="O57" s="323"/>
      <c r="P57" s="323"/>
      <c r="Q57" s="323"/>
      <c r="R57" s="323"/>
      <c r="S57" s="324"/>
      <c r="T57" s="445"/>
      <c r="U57" s="324">
        <v>102100</v>
      </c>
      <c r="V57" s="326">
        <f t="shared" si="1"/>
        <v>102100</v>
      </c>
      <c r="W57" s="362"/>
      <c r="X57" s="1"/>
      <c r="Y57" s="57">
        <f t="shared" si="2"/>
        <v>0</v>
      </c>
    </row>
    <row r="58" spans="1:25" ht="24.95" customHeight="1">
      <c r="A58" s="446">
        <v>45855</v>
      </c>
      <c r="B58" s="418">
        <v>50345</v>
      </c>
      <c r="C58" s="318" t="s">
        <v>157</v>
      </c>
      <c r="D58" s="447" t="s">
        <v>158</v>
      </c>
      <c r="E58" s="369" t="s">
        <v>159</v>
      </c>
      <c r="F58" s="321"/>
      <c r="G58" s="322"/>
      <c r="H58" s="323">
        <v>25675</v>
      </c>
      <c r="I58" s="323"/>
      <c r="J58" s="323"/>
      <c r="K58" s="323"/>
      <c r="L58" s="323"/>
      <c r="M58" s="323"/>
      <c r="N58" s="323"/>
      <c r="O58" s="323"/>
      <c r="P58" s="323"/>
      <c r="Q58" s="323"/>
      <c r="R58" s="323"/>
      <c r="S58" s="324"/>
      <c r="T58" s="445"/>
      <c r="U58" s="444">
        <v>25675</v>
      </c>
      <c r="V58" s="326">
        <f t="shared" si="1"/>
        <v>25675</v>
      </c>
      <c r="W58" s="362"/>
      <c r="X58" s="1"/>
      <c r="Y58" s="57">
        <f t="shared" si="2"/>
        <v>0</v>
      </c>
    </row>
    <row r="59" spans="1:25" ht="24.95" customHeight="1">
      <c r="A59" s="316">
        <v>45856</v>
      </c>
      <c r="B59" s="317">
        <v>50346</v>
      </c>
      <c r="C59" s="318" t="s">
        <v>157</v>
      </c>
      <c r="D59" s="448" t="s">
        <v>161</v>
      </c>
      <c r="E59" s="449" t="s">
        <v>162</v>
      </c>
      <c r="F59" s="321"/>
      <c r="G59" s="450"/>
      <c r="H59" s="323">
        <v>25675</v>
      </c>
      <c r="I59" s="323"/>
      <c r="J59" s="323"/>
      <c r="K59" s="323"/>
      <c r="L59" s="323"/>
      <c r="M59" s="323"/>
      <c r="N59" s="323"/>
      <c r="O59" s="323"/>
      <c r="P59" s="323"/>
      <c r="Q59" s="323"/>
      <c r="R59" s="323"/>
      <c r="S59" s="324"/>
      <c r="T59" s="445"/>
      <c r="U59" s="451">
        <v>25675</v>
      </c>
      <c r="V59" s="326">
        <f t="shared" si="1"/>
        <v>25675</v>
      </c>
      <c r="W59" s="362"/>
      <c r="X59" s="1"/>
      <c r="Y59" s="57">
        <f t="shared" si="2"/>
        <v>0</v>
      </c>
    </row>
    <row r="60" spans="1:25" ht="24.95" customHeight="1">
      <c r="A60" s="316">
        <v>45856</v>
      </c>
      <c r="B60" s="317">
        <v>50347</v>
      </c>
      <c r="C60" s="452" t="s">
        <v>163</v>
      </c>
      <c r="D60" s="448" t="s">
        <v>161</v>
      </c>
      <c r="E60" s="453" t="s">
        <v>164</v>
      </c>
      <c r="F60" s="454"/>
      <c r="G60" s="455"/>
      <c r="H60" s="323"/>
      <c r="I60" s="323"/>
      <c r="J60" s="323">
        <v>51100</v>
      </c>
      <c r="K60" s="323"/>
      <c r="L60" s="323"/>
      <c r="M60" s="323"/>
      <c r="N60" s="323"/>
      <c r="O60" s="323"/>
      <c r="P60" s="323"/>
      <c r="Q60" s="323"/>
      <c r="R60" s="323"/>
      <c r="S60" s="324"/>
      <c r="T60" s="445"/>
      <c r="U60" s="348">
        <v>51100</v>
      </c>
      <c r="V60" s="326">
        <f t="shared" si="1"/>
        <v>51100</v>
      </c>
      <c r="W60" s="362"/>
      <c r="X60" s="1"/>
      <c r="Y60" s="57">
        <f t="shared" si="2"/>
        <v>0</v>
      </c>
    </row>
    <row r="61" spans="1:25" ht="24.95" customHeight="1">
      <c r="A61" s="316">
        <v>45856</v>
      </c>
      <c r="B61" s="317">
        <v>2896</v>
      </c>
      <c r="C61" s="452" t="s">
        <v>165</v>
      </c>
      <c r="D61" s="448" t="s">
        <v>161</v>
      </c>
      <c r="E61" s="453" t="s">
        <v>166</v>
      </c>
      <c r="F61" s="454">
        <v>51500</v>
      </c>
      <c r="G61" s="455">
        <v>51500</v>
      </c>
      <c r="H61" s="323">
        <v>51500</v>
      </c>
      <c r="I61" s="323"/>
      <c r="J61" s="323"/>
      <c r="K61" s="323"/>
      <c r="L61" s="323"/>
      <c r="M61" s="323"/>
      <c r="N61" s="323"/>
      <c r="O61" s="323"/>
      <c r="P61" s="323"/>
      <c r="Q61" s="323"/>
      <c r="R61" s="323"/>
      <c r="S61" s="324"/>
      <c r="T61" s="445"/>
      <c r="U61" s="348">
        <v>51500</v>
      </c>
      <c r="V61" s="326">
        <f t="shared" si="1"/>
        <v>51500</v>
      </c>
      <c r="W61" s="362"/>
      <c r="X61" s="1"/>
      <c r="Y61" s="57">
        <f t="shared" si="2"/>
        <v>0</v>
      </c>
    </row>
    <row r="62" spans="1:25" ht="24.95" customHeight="1">
      <c r="A62" s="316">
        <v>45856</v>
      </c>
      <c r="B62" s="317">
        <v>50348</v>
      </c>
      <c r="C62" s="452" t="s">
        <v>167</v>
      </c>
      <c r="D62" s="448" t="s">
        <v>168</v>
      </c>
      <c r="E62" s="453" t="s">
        <v>169</v>
      </c>
      <c r="F62" s="454">
        <v>25625</v>
      </c>
      <c r="G62" s="455">
        <v>25625</v>
      </c>
      <c r="H62" s="323">
        <v>25625</v>
      </c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4"/>
      <c r="T62" s="445"/>
      <c r="U62" s="348">
        <v>25625</v>
      </c>
      <c r="V62" s="326">
        <f t="shared" si="1"/>
        <v>25625</v>
      </c>
      <c r="W62" s="362"/>
      <c r="X62" s="1"/>
      <c r="Y62" s="57">
        <f t="shared" si="2"/>
        <v>0</v>
      </c>
    </row>
    <row r="63" spans="1:25" ht="24.95" customHeight="1">
      <c r="A63" s="316">
        <v>45856</v>
      </c>
      <c r="B63" s="317">
        <v>50350</v>
      </c>
      <c r="C63" s="452" t="s">
        <v>170</v>
      </c>
      <c r="D63" s="448" t="s">
        <v>171</v>
      </c>
      <c r="E63" s="453" t="s">
        <v>172</v>
      </c>
      <c r="F63" s="454">
        <v>3600</v>
      </c>
      <c r="G63" s="455">
        <v>3600</v>
      </c>
      <c r="H63" s="323">
        <v>3600</v>
      </c>
      <c r="I63" s="323"/>
      <c r="J63" s="323"/>
      <c r="K63" s="323"/>
      <c r="L63" s="345"/>
      <c r="M63" s="345"/>
      <c r="N63" s="323"/>
      <c r="O63" s="323"/>
      <c r="P63" s="323"/>
      <c r="Q63" s="323"/>
      <c r="R63" s="323"/>
      <c r="S63" s="384">
        <v>3600</v>
      </c>
      <c r="T63" s="445"/>
      <c r="U63" s="348"/>
      <c r="V63" s="326">
        <f t="shared" si="1"/>
        <v>3600</v>
      </c>
      <c r="W63" s="362"/>
      <c r="X63" s="1"/>
      <c r="Y63" s="57">
        <f t="shared" si="2"/>
        <v>0</v>
      </c>
    </row>
    <row r="64" spans="1:25" ht="24.95" customHeight="1">
      <c r="A64" s="316">
        <v>45856</v>
      </c>
      <c r="B64" s="317">
        <v>50351</v>
      </c>
      <c r="C64" s="452" t="s">
        <v>170</v>
      </c>
      <c r="D64" s="448" t="s">
        <v>161</v>
      </c>
      <c r="E64" s="453" t="s">
        <v>173</v>
      </c>
      <c r="F64" s="454">
        <v>51300</v>
      </c>
      <c r="G64" s="455">
        <v>51300</v>
      </c>
      <c r="H64" s="323">
        <v>51300</v>
      </c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84"/>
      <c r="T64" s="445"/>
      <c r="U64" s="348">
        <v>51300</v>
      </c>
      <c r="V64" s="326">
        <f t="shared" si="1"/>
        <v>51300</v>
      </c>
      <c r="W64" s="362"/>
      <c r="X64" s="1"/>
      <c r="Y64" s="57">
        <f t="shared" si="2"/>
        <v>0</v>
      </c>
    </row>
    <row r="65" spans="1:25" ht="24.95" customHeight="1">
      <c r="A65" s="316">
        <v>45856</v>
      </c>
      <c r="B65" s="317">
        <v>50352</v>
      </c>
      <c r="C65" s="452" t="s">
        <v>87</v>
      </c>
      <c r="D65" s="448" t="s">
        <v>174</v>
      </c>
      <c r="E65" s="453" t="s">
        <v>175</v>
      </c>
      <c r="F65" s="454">
        <v>50450</v>
      </c>
      <c r="G65" s="455">
        <v>50450</v>
      </c>
      <c r="H65" s="323">
        <v>50450</v>
      </c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84"/>
      <c r="T65" s="445"/>
      <c r="U65" s="348">
        <v>50450</v>
      </c>
      <c r="V65" s="326">
        <f t="shared" si="1"/>
        <v>50450</v>
      </c>
      <c r="W65" s="362"/>
      <c r="X65" s="1"/>
      <c r="Y65" s="57">
        <f t="shared" si="2"/>
        <v>0</v>
      </c>
    </row>
    <row r="66" spans="1:25" ht="24.95" customHeight="1">
      <c r="A66" s="316">
        <v>45856</v>
      </c>
      <c r="B66" s="317">
        <v>50353</v>
      </c>
      <c r="C66" s="452" t="s">
        <v>176</v>
      </c>
      <c r="D66" s="448" t="s">
        <v>177</v>
      </c>
      <c r="E66" s="453" t="s">
        <v>178</v>
      </c>
      <c r="F66" s="454">
        <v>101300</v>
      </c>
      <c r="G66" s="455">
        <v>101300</v>
      </c>
      <c r="H66" s="323">
        <v>101300</v>
      </c>
      <c r="I66" s="323"/>
      <c r="J66" s="323"/>
      <c r="K66" s="323"/>
      <c r="L66" s="323"/>
      <c r="M66" s="323"/>
      <c r="N66" s="323"/>
      <c r="O66" s="323"/>
      <c r="P66" s="323"/>
      <c r="Q66" s="323"/>
      <c r="R66" s="323"/>
      <c r="S66" s="384"/>
      <c r="T66" s="445"/>
      <c r="U66" s="348">
        <v>101300</v>
      </c>
      <c r="V66" s="326">
        <f t="shared" si="1"/>
        <v>101300</v>
      </c>
      <c r="W66" s="362"/>
      <c r="X66" s="1"/>
      <c r="Y66" s="57">
        <f t="shared" si="2"/>
        <v>0</v>
      </c>
    </row>
    <row r="67" spans="1:25" ht="24.95" customHeight="1">
      <c r="A67" s="316">
        <v>45856</v>
      </c>
      <c r="B67" s="317">
        <v>50354</v>
      </c>
      <c r="C67" s="433" t="s">
        <v>32</v>
      </c>
      <c r="D67" s="319" t="s">
        <v>179</v>
      </c>
      <c r="E67" s="456" t="s">
        <v>37</v>
      </c>
      <c r="F67" s="348"/>
      <c r="G67" s="450"/>
      <c r="H67" s="345"/>
      <c r="I67" s="345"/>
      <c r="J67" s="345"/>
      <c r="K67" s="323"/>
      <c r="L67" s="323"/>
      <c r="M67" s="345">
        <v>72500</v>
      </c>
      <c r="N67" s="323"/>
      <c r="O67" s="323"/>
      <c r="P67" s="323"/>
      <c r="Q67" s="323"/>
      <c r="R67" s="323"/>
      <c r="S67" s="349">
        <v>72500</v>
      </c>
      <c r="T67" s="445"/>
      <c r="U67" s="348"/>
      <c r="V67" s="326">
        <f t="shared" si="1"/>
        <v>72500</v>
      </c>
      <c r="W67" s="594"/>
      <c r="X67" s="1"/>
      <c r="Y67" s="57">
        <f t="shared" si="2"/>
        <v>0</v>
      </c>
    </row>
    <row r="68" spans="1:25" ht="24.95" customHeight="1">
      <c r="A68" s="316">
        <v>45856</v>
      </c>
      <c r="B68" s="317">
        <v>50355</v>
      </c>
      <c r="C68" s="433" t="s">
        <v>32</v>
      </c>
      <c r="D68" s="319" t="s">
        <v>180</v>
      </c>
      <c r="E68" s="456" t="s">
        <v>181</v>
      </c>
      <c r="F68" s="348"/>
      <c r="G68" s="450"/>
      <c r="H68" s="345"/>
      <c r="I68" s="345"/>
      <c r="J68" s="345"/>
      <c r="K68" s="323"/>
      <c r="L68" s="323"/>
      <c r="M68" s="345">
        <v>27500</v>
      </c>
      <c r="N68" s="323"/>
      <c r="O68" s="323"/>
      <c r="P68" s="323"/>
      <c r="Q68" s="323"/>
      <c r="R68" s="323"/>
      <c r="S68" s="349"/>
      <c r="T68" s="445"/>
      <c r="U68" s="348">
        <v>27500</v>
      </c>
      <c r="V68" s="326">
        <f t="shared" si="1"/>
        <v>27500</v>
      </c>
      <c r="W68" s="595"/>
      <c r="X68" s="1"/>
      <c r="Y68" s="57">
        <f t="shared" si="2"/>
        <v>0</v>
      </c>
    </row>
    <row r="69" spans="1:25" ht="24.95" customHeight="1">
      <c r="A69" s="316">
        <v>45856</v>
      </c>
      <c r="B69" s="317">
        <v>50356</v>
      </c>
      <c r="C69" s="433" t="s">
        <v>182</v>
      </c>
      <c r="D69" s="448" t="s">
        <v>161</v>
      </c>
      <c r="E69" s="456" t="s">
        <v>115</v>
      </c>
      <c r="F69" s="348"/>
      <c r="G69" s="450"/>
      <c r="H69" s="345">
        <v>51200</v>
      </c>
      <c r="I69" s="345"/>
      <c r="J69" s="345"/>
      <c r="K69" s="323"/>
      <c r="L69" s="323"/>
      <c r="M69" s="323"/>
      <c r="N69" s="323"/>
      <c r="O69" s="323"/>
      <c r="P69" s="323"/>
      <c r="Q69" s="323"/>
      <c r="R69" s="323"/>
      <c r="S69" s="349"/>
      <c r="T69" s="445"/>
      <c r="U69" s="348">
        <v>51200</v>
      </c>
      <c r="V69" s="326">
        <f t="shared" si="1"/>
        <v>51200</v>
      </c>
      <c r="W69" s="362"/>
      <c r="X69" s="1"/>
      <c r="Y69" s="57">
        <f t="shared" si="2"/>
        <v>0</v>
      </c>
    </row>
    <row r="70" spans="1:25" ht="24.95" customHeight="1">
      <c r="A70" s="316">
        <v>45856</v>
      </c>
      <c r="B70" s="317">
        <v>50358</v>
      </c>
      <c r="C70" s="318" t="s">
        <v>183</v>
      </c>
      <c r="D70" s="448" t="s">
        <v>184</v>
      </c>
      <c r="E70" s="369" t="s">
        <v>185</v>
      </c>
      <c r="F70" s="321"/>
      <c r="G70" s="322"/>
      <c r="H70" s="323"/>
      <c r="I70" s="323"/>
      <c r="J70" s="323"/>
      <c r="K70" s="323"/>
      <c r="L70" s="323">
        <v>76575</v>
      </c>
      <c r="M70" s="323"/>
      <c r="N70" s="323"/>
      <c r="O70" s="323"/>
      <c r="P70" s="323"/>
      <c r="Q70" s="323"/>
      <c r="R70" s="323"/>
      <c r="S70" s="322"/>
      <c r="T70" s="445"/>
      <c r="U70" s="379">
        <v>76575</v>
      </c>
      <c r="V70" s="326">
        <f t="shared" ref="V70:V109" si="3">S70+U70</f>
        <v>76575</v>
      </c>
      <c r="W70" s="362"/>
      <c r="X70" s="1"/>
      <c r="Y70" s="57">
        <f t="shared" si="2"/>
        <v>0</v>
      </c>
    </row>
    <row r="71" spans="1:25" ht="24.95" customHeight="1">
      <c r="A71" s="316">
        <v>45856</v>
      </c>
      <c r="B71" s="317">
        <v>50359</v>
      </c>
      <c r="C71" s="318" t="s">
        <v>186</v>
      </c>
      <c r="D71" s="448" t="s">
        <v>161</v>
      </c>
      <c r="E71" s="369" t="s">
        <v>187</v>
      </c>
      <c r="F71" s="321"/>
      <c r="G71" s="322"/>
      <c r="H71" s="323">
        <v>50900</v>
      </c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2"/>
      <c r="T71" s="445"/>
      <c r="U71" s="451">
        <v>50900</v>
      </c>
      <c r="V71" s="326">
        <f t="shared" si="3"/>
        <v>50900</v>
      </c>
      <c r="W71" s="362"/>
      <c r="X71" s="1"/>
      <c r="Y71" s="57">
        <f t="shared" si="2"/>
        <v>0</v>
      </c>
    </row>
    <row r="72" spans="1:25" ht="24.95" customHeight="1" thickBot="1">
      <c r="A72" s="316">
        <v>45856</v>
      </c>
      <c r="B72" s="317">
        <v>50360</v>
      </c>
      <c r="C72" s="318" t="s">
        <v>188</v>
      </c>
      <c r="D72" s="448" t="s">
        <v>189</v>
      </c>
      <c r="E72" s="369" t="s">
        <v>190</v>
      </c>
      <c r="F72" s="321"/>
      <c r="G72" s="322"/>
      <c r="H72" s="323"/>
      <c r="I72" s="323"/>
      <c r="J72" s="323"/>
      <c r="K72" s="323"/>
      <c r="L72" s="323">
        <v>152800</v>
      </c>
      <c r="M72" s="323"/>
      <c r="N72" s="323"/>
      <c r="O72" s="323"/>
      <c r="P72" s="323"/>
      <c r="Q72" s="323"/>
      <c r="R72" s="323"/>
      <c r="S72" s="322"/>
      <c r="T72" s="445"/>
      <c r="U72" s="451">
        <v>152800</v>
      </c>
      <c r="V72" s="326">
        <f t="shared" si="3"/>
        <v>152800</v>
      </c>
      <c r="W72" s="457"/>
      <c r="X72" s="1"/>
      <c r="Y72" s="57">
        <f t="shared" ref="Y72:Y109" si="4">F72+H72+I72+J72+K72+L72+M72+N72+O72+Q72+R72+T72-G72-S72-U72</f>
        <v>0</v>
      </c>
    </row>
    <row r="73" spans="1:25" ht="24.95" customHeight="1">
      <c r="A73" s="316">
        <v>45856</v>
      </c>
      <c r="B73" s="317">
        <v>50361</v>
      </c>
      <c r="C73" s="318" t="s">
        <v>191</v>
      </c>
      <c r="D73" s="448" t="s">
        <v>192</v>
      </c>
      <c r="E73" s="388" t="s">
        <v>193</v>
      </c>
      <c r="F73" s="459"/>
      <c r="G73" s="322"/>
      <c r="H73" s="323"/>
      <c r="I73" s="323"/>
      <c r="J73" s="323">
        <v>204400</v>
      </c>
      <c r="K73" s="323"/>
      <c r="L73" s="323"/>
      <c r="M73" s="323"/>
      <c r="N73" s="323"/>
      <c r="O73" s="323"/>
      <c r="P73" s="323"/>
      <c r="Q73" s="323"/>
      <c r="R73" s="323"/>
      <c r="S73" s="322"/>
      <c r="T73" s="445"/>
      <c r="U73" s="451">
        <v>204400</v>
      </c>
      <c r="V73" s="326">
        <f t="shared" si="3"/>
        <v>204400</v>
      </c>
      <c r="W73" s="460"/>
      <c r="X73" s="1"/>
      <c r="Y73" s="57">
        <f t="shared" si="4"/>
        <v>0</v>
      </c>
    </row>
    <row r="74" spans="1:25" ht="24.95" customHeight="1">
      <c r="A74" s="316">
        <v>45856</v>
      </c>
      <c r="B74" s="317">
        <v>50362</v>
      </c>
      <c r="C74" s="318" t="s">
        <v>194</v>
      </c>
      <c r="D74" s="448" t="s">
        <v>195</v>
      </c>
      <c r="E74" s="369" t="s">
        <v>196</v>
      </c>
      <c r="F74" s="321"/>
      <c r="G74" s="322"/>
      <c r="H74" s="323">
        <v>50700</v>
      </c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2"/>
      <c r="T74" s="445"/>
      <c r="U74" s="451">
        <v>50700</v>
      </c>
      <c r="V74" s="326">
        <f t="shared" si="3"/>
        <v>50700</v>
      </c>
      <c r="W74" s="362"/>
      <c r="X74" s="1"/>
      <c r="Y74" s="57">
        <f t="shared" si="4"/>
        <v>0</v>
      </c>
    </row>
    <row r="75" spans="1:25" ht="24.95" customHeight="1">
      <c r="A75" s="316">
        <v>45856</v>
      </c>
      <c r="B75" s="317">
        <v>2897</v>
      </c>
      <c r="C75" s="318" t="s">
        <v>197</v>
      </c>
      <c r="D75" s="448" t="s">
        <v>161</v>
      </c>
      <c r="E75" s="369" t="s">
        <v>198</v>
      </c>
      <c r="F75" s="321">
        <v>51400</v>
      </c>
      <c r="G75" s="322">
        <v>51400</v>
      </c>
      <c r="H75" s="323"/>
      <c r="I75" s="323"/>
      <c r="J75" s="323"/>
      <c r="K75" s="323"/>
      <c r="L75" s="323"/>
      <c r="M75" s="323"/>
      <c r="N75" s="323"/>
      <c r="O75" s="323"/>
      <c r="P75" s="323"/>
      <c r="Q75" s="323">
        <v>51400</v>
      </c>
      <c r="R75" s="323"/>
      <c r="S75" s="322"/>
      <c r="T75" s="445"/>
      <c r="U75" s="451">
        <v>51400</v>
      </c>
      <c r="V75" s="326">
        <f t="shared" si="3"/>
        <v>51400</v>
      </c>
      <c r="W75" s="362"/>
      <c r="X75" s="1"/>
      <c r="Y75" s="57">
        <f t="shared" si="4"/>
        <v>0</v>
      </c>
    </row>
    <row r="76" spans="1:25" ht="24.95" customHeight="1">
      <c r="A76" s="316">
        <v>45856</v>
      </c>
      <c r="B76" s="317" t="s">
        <v>199</v>
      </c>
      <c r="C76" s="318" t="s">
        <v>200</v>
      </c>
      <c r="D76" s="448" t="s">
        <v>201</v>
      </c>
      <c r="E76" s="369"/>
      <c r="F76" s="321">
        <v>150</v>
      </c>
      <c r="G76" s="322">
        <v>150</v>
      </c>
      <c r="H76" s="323"/>
      <c r="I76" s="323"/>
      <c r="J76" s="323"/>
      <c r="K76" s="323"/>
      <c r="L76" s="323"/>
      <c r="M76" s="323"/>
      <c r="N76" s="323"/>
      <c r="O76" s="323"/>
      <c r="P76" s="323">
        <v>150</v>
      </c>
      <c r="Q76" s="323"/>
      <c r="R76" s="323"/>
      <c r="S76" s="322"/>
      <c r="T76" s="445"/>
      <c r="U76" s="451">
        <v>150</v>
      </c>
      <c r="V76" s="326">
        <f t="shared" si="3"/>
        <v>150</v>
      </c>
      <c r="W76" s="362"/>
      <c r="X76" s="1"/>
      <c r="Y76" s="57">
        <f>F76+H76+I76+J76+K76+L76+M76+N76+O76+Q76+R76+T76-G76-S76-U76+P76</f>
        <v>0</v>
      </c>
    </row>
    <row r="77" spans="1:25" ht="24.95" customHeight="1">
      <c r="A77" s="316">
        <v>45856</v>
      </c>
      <c r="B77" s="317">
        <v>50363</v>
      </c>
      <c r="C77" s="318" t="s">
        <v>202</v>
      </c>
      <c r="D77" s="448" t="s">
        <v>161</v>
      </c>
      <c r="E77" s="369" t="s">
        <v>203</v>
      </c>
      <c r="F77" s="321"/>
      <c r="G77" s="322"/>
      <c r="H77" s="323"/>
      <c r="I77" s="323"/>
      <c r="J77" s="323"/>
      <c r="K77" s="323"/>
      <c r="L77" s="323">
        <v>51300</v>
      </c>
      <c r="M77" s="323"/>
      <c r="N77" s="323"/>
      <c r="O77" s="323"/>
      <c r="P77" s="323"/>
      <c r="Q77" s="323"/>
      <c r="R77" s="323"/>
      <c r="S77" s="322"/>
      <c r="T77" s="445"/>
      <c r="U77" s="451">
        <v>51300</v>
      </c>
      <c r="V77" s="326">
        <f t="shared" si="3"/>
        <v>51300</v>
      </c>
      <c r="W77" s="362"/>
      <c r="X77" s="1"/>
      <c r="Y77" s="57">
        <f t="shared" si="4"/>
        <v>0</v>
      </c>
    </row>
    <row r="78" spans="1:25" ht="24.95" customHeight="1" thickBot="1">
      <c r="A78" s="316">
        <v>45856</v>
      </c>
      <c r="B78" s="461">
        <v>50364</v>
      </c>
      <c r="C78" s="462" t="s">
        <v>101</v>
      </c>
      <c r="D78" s="448" t="s">
        <v>204</v>
      </c>
      <c r="E78" s="369" t="s">
        <v>205</v>
      </c>
      <c r="F78" s="321"/>
      <c r="G78" s="322"/>
      <c r="H78" s="323">
        <v>1200</v>
      </c>
      <c r="I78" s="323"/>
      <c r="J78" s="323"/>
      <c r="K78" s="323"/>
      <c r="L78" s="323"/>
      <c r="M78" s="463"/>
      <c r="N78" s="323"/>
      <c r="O78" s="323"/>
      <c r="P78" s="323"/>
      <c r="Q78" s="323"/>
      <c r="R78" s="323"/>
      <c r="S78" s="325">
        <v>1200</v>
      </c>
      <c r="T78" s="445"/>
      <c r="U78" s="451"/>
      <c r="V78" s="326">
        <f t="shared" si="3"/>
        <v>1200</v>
      </c>
      <c r="W78" s="464"/>
      <c r="X78" s="1"/>
      <c r="Y78" s="57">
        <f t="shared" si="4"/>
        <v>0</v>
      </c>
    </row>
    <row r="79" spans="1:25" ht="24.95" customHeight="1">
      <c r="A79" s="316">
        <v>45856</v>
      </c>
      <c r="B79" s="317">
        <v>50365</v>
      </c>
      <c r="C79" s="462" t="s">
        <v>101</v>
      </c>
      <c r="D79" s="448" t="s">
        <v>204</v>
      </c>
      <c r="E79" s="369" t="s">
        <v>206</v>
      </c>
      <c r="F79" s="321"/>
      <c r="G79" s="322"/>
      <c r="H79" s="323">
        <v>2100</v>
      </c>
      <c r="I79" s="323"/>
      <c r="J79" s="323"/>
      <c r="K79" s="323"/>
      <c r="L79" s="323"/>
      <c r="M79" s="323"/>
      <c r="N79" s="323"/>
      <c r="O79" s="323"/>
      <c r="P79" s="323"/>
      <c r="Q79" s="323"/>
      <c r="R79" s="323"/>
      <c r="S79" s="325">
        <v>2100</v>
      </c>
      <c r="T79" s="445"/>
      <c r="U79" s="451"/>
      <c r="V79" s="326">
        <f t="shared" si="3"/>
        <v>2100</v>
      </c>
      <c r="W79" s="458"/>
      <c r="X79" s="1"/>
      <c r="Y79" s="57">
        <f t="shared" si="4"/>
        <v>0</v>
      </c>
    </row>
    <row r="80" spans="1:25" ht="24.95" customHeight="1">
      <c r="A80" s="316">
        <v>45856</v>
      </c>
      <c r="B80" s="317">
        <v>50366</v>
      </c>
      <c r="C80" s="462" t="s">
        <v>101</v>
      </c>
      <c r="D80" s="448" t="s">
        <v>204</v>
      </c>
      <c r="E80" s="369" t="s">
        <v>206</v>
      </c>
      <c r="F80" s="321"/>
      <c r="G80" s="322"/>
      <c r="H80" s="323">
        <v>49300</v>
      </c>
      <c r="I80" s="323"/>
      <c r="J80" s="323"/>
      <c r="K80" s="323"/>
      <c r="L80" s="323"/>
      <c r="M80" s="323"/>
      <c r="N80" s="323"/>
      <c r="O80" s="323"/>
      <c r="P80" s="323"/>
      <c r="Q80" s="323"/>
      <c r="R80" s="323"/>
      <c r="S80" s="325">
        <v>49300</v>
      </c>
      <c r="T80" s="445"/>
      <c r="U80" s="451"/>
      <c r="V80" s="326">
        <f t="shared" si="3"/>
        <v>49300</v>
      </c>
      <c r="W80" s="362"/>
      <c r="X80" s="1"/>
      <c r="Y80" s="57">
        <f t="shared" si="4"/>
        <v>0</v>
      </c>
    </row>
    <row r="81" spans="1:25" ht="24.95" customHeight="1">
      <c r="A81" s="316">
        <v>45856</v>
      </c>
      <c r="B81" s="317">
        <v>50367</v>
      </c>
      <c r="C81" s="440" t="s">
        <v>207</v>
      </c>
      <c r="D81" s="448" t="s">
        <v>161</v>
      </c>
      <c r="E81" s="369" t="s">
        <v>208</v>
      </c>
      <c r="F81" s="321"/>
      <c r="G81" s="322"/>
      <c r="H81" s="323"/>
      <c r="I81" s="323">
        <v>51300</v>
      </c>
      <c r="J81" s="323"/>
      <c r="K81" s="323"/>
      <c r="L81" s="323"/>
      <c r="M81" s="323"/>
      <c r="N81" s="323"/>
      <c r="O81" s="323"/>
      <c r="P81" s="323"/>
      <c r="Q81" s="323"/>
      <c r="R81" s="323"/>
      <c r="S81" s="324"/>
      <c r="T81" s="324"/>
      <c r="U81" s="340">
        <v>51300</v>
      </c>
      <c r="V81" s="326">
        <f t="shared" si="3"/>
        <v>51300</v>
      </c>
      <c r="W81" s="362"/>
      <c r="X81" s="1"/>
      <c r="Y81" s="57">
        <f t="shared" si="4"/>
        <v>0</v>
      </c>
    </row>
    <row r="82" spans="1:25" ht="24.95" customHeight="1">
      <c r="A82" s="316">
        <v>45856</v>
      </c>
      <c r="B82" s="317">
        <v>50372</v>
      </c>
      <c r="C82" s="318" t="s">
        <v>75</v>
      </c>
      <c r="D82" s="448" t="s">
        <v>161</v>
      </c>
      <c r="E82" s="369" t="s">
        <v>209</v>
      </c>
      <c r="F82" s="321"/>
      <c r="G82" s="322"/>
      <c r="H82" s="323">
        <v>50000</v>
      </c>
      <c r="I82" s="323"/>
      <c r="J82" s="323"/>
      <c r="K82" s="323"/>
      <c r="L82" s="323"/>
      <c r="M82" s="323"/>
      <c r="N82" s="323"/>
      <c r="O82" s="323"/>
      <c r="P82" s="323"/>
      <c r="Q82" s="323"/>
      <c r="R82" s="323"/>
      <c r="S82" s="324"/>
      <c r="T82" s="324"/>
      <c r="U82" s="325">
        <v>50000</v>
      </c>
      <c r="V82" s="326">
        <f t="shared" si="3"/>
        <v>50000</v>
      </c>
      <c r="X82" s="362"/>
      <c r="Y82" s="57">
        <f t="shared" si="4"/>
        <v>0</v>
      </c>
    </row>
    <row r="83" spans="1:25" ht="24.95" customHeight="1">
      <c r="A83" s="316">
        <v>45856</v>
      </c>
      <c r="B83" s="317">
        <v>50372</v>
      </c>
      <c r="C83" s="318" t="s">
        <v>75</v>
      </c>
      <c r="D83" s="448" t="s">
        <v>161</v>
      </c>
      <c r="E83" s="465" t="s">
        <v>209</v>
      </c>
      <c r="F83" s="321"/>
      <c r="G83" s="322"/>
      <c r="H83" s="323"/>
      <c r="I83" s="323"/>
      <c r="J83" s="323"/>
      <c r="K83" s="323"/>
      <c r="L83" s="463"/>
      <c r="M83" s="323"/>
      <c r="N83" s="345"/>
      <c r="O83" s="323">
        <v>1150</v>
      </c>
      <c r="P83" s="323"/>
      <c r="Q83" s="323"/>
      <c r="R83" s="323"/>
      <c r="S83" s="324"/>
      <c r="T83" s="324"/>
      <c r="U83" s="325">
        <v>1150</v>
      </c>
      <c r="V83" s="326">
        <f t="shared" si="3"/>
        <v>1150</v>
      </c>
      <c r="W83" s="362"/>
      <c r="X83" s="1"/>
      <c r="Y83" s="57">
        <f t="shared" si="4"/>
        <v>0</v>
      </c>
    </row>
    <row r="84" spans="1:25" ht="24.95" customHeight="1">
      <c r="A84" s="316">
        <v>45856</v>
      </c>
      <c r="B84" s="317">
        <v>50373</v>
      </c>
      <c r="C84" s="318" t="s">
        <v>210</v>
      </c>
      <c r="D84" s="448" t="s">
        <v>161</v>
      </c>
      <c r="E84" s="369" t="s">
        <v>211</v>
      </c>
      <c r="F84" s="321"/>
      <c r="G84" s="322"/>
      <c r="H84" s="323"/>
      <c r="I84" s="323"/>
      <c r="J84" s="323"/>
      <c r="K84" s="323"/>
      <c r="L84" s="323">
        <v>51250</v>
      </c>
      <c r="M84" s="323"/>
      <c r="N84" s="323"/>
      <c r="O84" s="323"/>
      <c r="P84" s="323"/>
      <c r="Q84" s="323"/>
      <c r="R84" s="323"/>
      <c r="S84" s="324"/>
      <c r="T84" s="324"/>
      <c r="U84" s="325">
        <v>51250</v>
      </c>
      <c r="V84" s="326">
        <f t="shared" si="3"/>
        <v>51250</v>
      </c>
      <c r="W84" s="362"/>
      <c r="X84" s="1"/>
      <c r="Y84" s="57">
        <f t="shared" si="4"/>
        <v>0</v>
      </c>
    </row>
    <row r="85" spans="1:25" ht="24.95" customHeight="1">
      <c r="A85" s="316">
        <v>45856</v>
      </c>
      <c r="B85" s="317">
        <v>50378</v>
      </c>
      <c r="C85" s="318" t="s">
        <v>214</v>
      </c>
      <c r="D85" s="448" t="s">
        <v>215</v>
      </c>
      <c r="E85" s="369" t="s">
        <v>216</v>
      </c>
      <c r="F85" s="321"/>
      <c r="G85" s="322"/>
      <c r="H85" s="323"/>
      <c r="I85" s="323"/>
      <c r="J85" s="323"/>
      <c r="K85" s="323"/>
      <c r="L85" s="323">
        <v>153250</v>
      </c>
      <c r="M85" s="323"/>
      <c r="N85" s="323"/>
      <c r="O85" s="323"/>
      <c r="P85" s="323"/>
      <c r="Q85" s="323"/>
      <c r="R85" s="323"/>
      <c r="S85" s="324"/>
      <c r="T85" s="324"/>
      <c r="U85" s="325">
        <v>153250</v>
      </c>
      <c r="V85" s="326">
        <f t="shared" si="3"/>
        <v>153250</v>
      </c>
      <c r="W85" s="362"/>
      <c r="X85" s="1"/>
      <c r="Y85" s="57">
        <f t="shared" si="4"/>
        <v>0</v>
      </c>
    </row>
    <row r="86" spans="1:25" ht="24.95" customHeight="1">
      <c r="A86" s="316">
        <v>45856</v>
      </c>
      <c r="B86" s="317">
        <v>50380</v>
      </c>
      <c r="C86" s="318" t="s">
        <v>155</v>
      </c>
      <c r="D86" s="448" t="s">
        <v>161</v>
      </c>
      <c r="E86" s="369" t="s">
        <v>217</v>
      </c>
      <c r="F86" s="321"/>
      <c r="G86" s="322"/>
      <c r="H86" s="323"/>
      <c r="I86" s="323"/>
      <c r="J86" s="323"/>
      <c r="K86" s="323"/>
      <c r="L86" s="323">
        <v>51050</v>
      </c>
      <c r="M86" s="323"/>
      <c r="N86" s="323"/>
      <c r="O86" s="323"/>
      <c r="P86" s="323"/>
      <c r="Q86" s="323"/>
      <c r="R86" s="323"/>
      <c r="S86" s="324"/>
      <c r="T86" s="324"/>
      <c r="U86" s="325">
        <v>51050</v>
      </c>
      <c r="V86" s="326">
        <f t="shared" si="3"/>
        <v>51050</v>
      </c>
      <c r="W86" s="362"/>
      <c r="X86" s="1"/>
      <c r="Y86" s="57">
        <f t="shared" si="4"/>
        <v>0</v>
      </c>
    </row>
    <row r="87" spans="1:25" ht="24.95" customHeight="1">
      <c r="A87" s="316">
        <v>45856</v>
      </c>
      <c r="B87" s="317">
        <v>50382</v>
      </c>
      <c r="C87" s="318" t="s">
        <v>220</v>
      </c>
      <c r="D87" s="448" t="s">
        <v>221</v>
      </c>
      <c r="E87" s="369" t="s">
        <v>222</v>
      </c>
      <c r="F87" s="321"/>
      <c r="G87" s="322"/>
      <c r="H87" s="323"/>
      <c r="I87" s="323"/>
      <c r="J87" s="323"/>
      <c r="K87" s="466"/>
      <c r="L87" s="323">
        <v>25525</v>
      </c>
      <c r="M87" s="466"/>
      <c r="N87" s="466"/>
      <c r="O87" s="466"/>
      <c r="P87" s="466"/>
      <c r="Q87" s="466"/>
      <c r="R87" s="466"/>
      <c r="S87" s="348"/>
      <c r="T87" s="348"/>
      <c r="U87" s="325">
        <v>25525</v>
      </c>
      <c r="V87" s="467">
        <f>S87+U87</f>
        <v>25525</v>
      </c>
      <c r="W87" s="350"/>
      <c r="X87" s="1"/>
      <c r="Y87" s="57">
        <f t="shared" si="4"/>
        <v>0</v>
      </c>
    </row>
    <row r="88" spans="1:25" ht="24.95" customHeight="1">
      <c r="A88" s="316">
        <v>45856</v>
      </c>
      <c r="B88" s="317">
        <v>50384</v>
      </c>
      <c r="C88" s="318" t="s">
        <v>153</v>
      </c>
      <c r="D88" s="448" t="s">
        <v>223</v>
      </c>
      <c r="E88" s="369" t="s">
        <v>224</v>
      </c>
      <c r="F88" s="321"/>
      <c r="G88" s="322"/>
      <c r="H88" s="323">
        <v>101600</v>
      </c>
      <c r="I88" s="323"/>
      <c r="J88" s="323"/>
      <c r="K88" s="336"/>
      <c r="L88" s="323"/>
      <c r="M88" s="336"/>
      <c r="N88" s="336"/>
      <c r="O88" s="336"/>
      <c r="P88" s="336"/>
      <c r="Q88" s="336"/>
      <c r="R88" s="336"/>
      <c r="S88" s="468"/>
      <c r="T88" s="468"/>
      <c r="U88" s="325">
        <v>101600</v>
      </c>
      <c r="V88" s="326">
        <f t="shared" si="3"/>
        <v>101600</v>
      </c>
      <c r="W88" s="458"/>
      <c r="X88" s="1"/>
      <c r="Y88" s="57">
        <f t="shared" si="4"/>
        <v>0</v>
      </c>
    </row>
    <row r="89" spans="1:25" ht="24.95" customHeight="1">
      <c r="A89" s="316">
        <v>45856</v>
      </c>
      <c r="B89" s="317">
        <v>50389</v>
      </c>
      <c r="C89" s="452" t="s">
        <v>225</v>
      </c>
      <c r="D89" s="448" t="s">
        <v>226</v>
      </c>
      <c r="E89" s="369" t="s">
        <v>227</v>
      </c>
      <c r="F89" s="321"/>
      <c r="G89" s="322"/>
      <c r="H89" s="323"/>
      <c r="I89" s="323"/>
      <c r="J89" s="323"/>
      <c r="K89" s="323"/>
      <c r="L89" s="323">
        <v>51350</v>
      </c>
      <c r="M89" s="323"/>
      <c r="N89" s="323"/>
      <c r="O89" s="323"/>
      <c r="P89" s="323"/>
      <c r="Q89" s="323"/>
      <c r="R89" s="323"/>
      <c r="S89" s="324"/>
      <c r="T89" s="324"/>
      <c r="U89" s="322">
        <v>51350</v>
      </c>
      <c r="V89" s="326">
        <f t="shared" si="3"/>
        <v>51350</v>
      </c>
      <c r="W89" s="362"/>
      <c r="X89" s="1"/>
      <c r="Y89" s="57">
        <f t="shared" si="4"/>
        <v>0</v>
      </c>
    </row>
    <row r="90" spans="1:25" ht="24.95" customHeight="1" thickBot="1">
      <c r="A90" s="469" t="s">
        <v>229</v>
      </c>
      <c r="B90" s="470">
        <v>50368</v>
      </c>
      <c r="C90" s="471" t="s">
        <v>230</v>
      </c>
      <c r="D90" s="472" t="s">
        <v>231</v>
      </c>
      <c r="E90" s="473" t="s">
        <v>232</v>
      </c>
      <c r="F90" s="474">
        <v>76700</v>
      </c>
      <c r="G90" s="475">
        <v>76700</v>
      </c>
      <c r="H90" s="323"/>
      <c r="I90" s="323"/>
      <c r="J90" s="323"/>
      <c r="K90" s="323"/>
      <c r="L90" s="323"/>
      <c r="M90" s="323"/>
      <c r="N90" s="323"/>
      <c r="O90" s="323"/>
      <c r="P90" s="401"/>
      <c r="Q90" s="476">
        <v>76700</v>
      </c>
      <c r="R90" s="323"/>
      <c r="S90" s="324"/>
      <c r="T90" s="324"/>
      <c r="U90" s="477">
        <v>76700</v>
      </c>
      <c r="V90" s="326">
        <f t="shared" si="3"/>
        <v>76700</v>
      </c>
      <c r="W90" s="457"/>
      <c r="X90" s="1"/>
      <c r="Y90" s="57">
        <f t="shared" si="4"/>
        <v>0</v>
      </c>
    </row>
    <row r="91" spans="1:25" ht="24.95" customHeight="1">
      <c r="A91" s="316">
        <v>45857</v>
      </c>
      <c r="B91" s="478">
        <v>50369</v>
      </c>
      <c r="C91" s="479" t="s">
        <v>233</v>
      </c>
      <c r="D91" s="472" t="s">
        <v>73</v>
      </c>
      <c r="E91" s="480" t="s">
        <v>234</v>
      </c>
      <c r="F91" s="321">
        <v>51300</v>
      </c>
      <c r="G91" s="481">
        <v>51300</v>
      </c>
      <c r="H91" s="323"/>
      <c r="I91" s="323"/>
      <c r="J91" s="323"/>
      <c r="K91" s="323"/>
      <c r="L91" s="323"/>
      <c r="M91" s="323"/>
      <c r="N91" s="323"/>
      <c r="O91" s="323"/>
      <c r="P91" s="336"/>
      <c r="Q91" s="336">
        <v>51300</v>
      </c>
      <c r="R91" s="323"/>
      <c r="S91" s="324"/>
      <c r="T91" s="324"/>
      <c r="U91" s="482">
        <v>51300</v>
      </c>
      <c r="V91" s="326">
        <f t="shared" si="3"/>
        <v>51300</v>
      </c>
      <c r="W91" s="460"/>
      <c r="X91" s="1"/>
      <c r="Y91" s="57">
        <f t="shared" si="4"/>
        <v>0</v>
      </c>
    </row>
    <row r="92" spans="1:25" ht="24.95" customHeight="1">
      <c r="A92" s="316">
        <v>45857</v>
      </c>
      <c r="B92" s="470">
        <v>50370</v>
      </c>
      <c r="C92" s="471" t="s">
        <v>235</v>
      </c>
      <c r="D92" s="472" t="s">
        <v>73</v>
      </c>
      <c r="E92" s="483" t="s">
        <v>236</v>
      </c>
      <c r="F92" s="475">
        <v>51300</v>
      </c>
      <c r="G92" s="481">
        <v>51300</v>
      </c>
      <c r="H92" s="345"/>
      <c r="I92" s="323"/>
      <c r="J92" s="323"/>
      <c r="K92" s="345"/>
      <c r="L92" s="323"/>
      <c r="M92" s="323"/>
      <c r="N92" s="323"/>
      <c r="O92" s="323"/>
      <c r="P92" s="401"/>
      <c r="Q92" s="476">
        <v>51300</v>
      </c>
      <c r="R92" s="323"/>
      <c r="S92" s="324"/>
      <c r="T92" s="324"/>
      <c r="U92" s="477">
        <v>51300</v>
      </c>
      <c r="V92" s="326">
        <f t="shared" si="3"/>
        <v>51300</v>
      </c>
      <c r="W92" s="362"/>
      <c r="X92" s="1"/>
      <c r="Y92" s="57">
        <f t="shared" si="4"/>
        <v>0</v>
      </c>
    </row>
    <row r="93" spans="1:25" ht="24.95" customHeight="1">
      <c r="A93" s="316">
        <v>45857</v>
      </c>
      <c r="B93" s="317">
        <v>50394</v>
      </c>
      <c r="C93" s="318" t="s">
        <v>237</v>
      </c>
      <c r="D93" s="472" t="s">
        <v>238</v>
      </c>
      <c r="E93" s="484" t="s">
        <v>239</v>
      </c>
      <c r="F93" s="321"/>
      <c r="G93" s="322"/>
      <c r="H93" s="323"/>
      <c r="I93" s="323"/>
      <c r="J93" s="323"/>
      <c r="K93" s="323"/>
      <c r="L93" s="323"/>
      <c r="M93" s="323"/>
      <c r="N93" s="323"/>
      <c r="O93" s="323"/>
      <c r="P93" s="323"/>
      <c r="Q93" s="323">
        <v>37380</v>
      </c>
      <c r="R93" s="323"/>
      <c r="S93" s="324"/>
      <c r="T93" s="324"/>
      <c r="U93" s="485">
        <v>37380</v>
      </c>
      <c r="V93" s="326">
        <f t="shared" si="3"/>
        <v>37380</v>
      </c>
      <c r="W93" s="362"/>
      <c r="X93" s="1"/>
      <c r="Y93" s="57">
        <f t="shared" si="4"/>
        <v>0</v>
      </c>
    </row>
    <row r="94" spans="1:25" ht="24.95" customHeight="1">
      <c r="A94" s="316">
        <v>45857</v>
      </c>
      <c r="B94" s="486">
        <v>50395</v>
      </c>
      <c r="C94" s="452" t="s">
        <v>237</v>
      </c>
      <c r="D94" s="472" t="s">
        <v>238</v>
      </c>
      <c r="E94" s="487" t="s">
        <v>241</v>
      </c>
      <c r="F94" s="488"/>
      <c r="G94" s="489"/>
      <c r="H94" s="323"/>
      <c r="I94" s="323"/>
      <c r="J94" s="323"/>
      <c r="K94" s="323"/>
      <c r="L94" s="323"/>
      <c r="M94" s="323"/>
      <c r="N94" s="323"/>
      <c r="O94" s="323"/>
      <c r="P94" s="323"/>
      <c r="Q94" s="323">
        <v>42620</v>
      </c>
      <c r="R94" s="323"/>
      <c r="S94" s="324"/>
      <c r="T94" s="324"/>
      <c r="U94" s="490">
        <v>42620</v>
      </c>
      <c r="V94" s="326">
        <f t="shared" si="3"/>
        <v>42620</v>
      </c>
      <c r="W94" s="457"/>
      <c r="X94" s="1"/>
      <c r="Y94" s="57">
        <f t="shared" si="4"/>
        <v>0</v>
      </c>
    </row>
    <row r="95" spans="1:25" ht="24.95" customHeight="1">
      <c r="A95" s="316">
        <v>45859</v>
      </c>
      <c r="B95" s="317">
        <v>308854</v>
      </c>
      <c r="C95" s="440" t="s">
        <v>243</v>
      </c>
      <c r="D95" s="423" t="s">
        <v>161</v>
      </c>
      <c r="E95" s="449" t="s">
        <v>244</v>
      </c>
      <c r="F95" s="321">
        <v>50950</v>
      </c>
      <c r="G95" s="322">
        <v>50950</v>
      </c>
      <c r="H95" s="323"/>
      <c r="I95" s="323"/>
      <c r="J95" s="323"/>
      <c r="K95" s="323"/>
      <c r="L95" s="323">
        <v>50950</v>
      </c>
      <c r="M95" s="323"/>
      <c r="N95" s="323"/>
      <c r="O95" s="323"/>
      <c r="P95" s="323"/>
      <c r="Q95" s="323"/>
      <c r="R95" s="323"/>
      <c r="S95" s="324"/>
      <c r="T95" s="324"/>
      <c r="U95" s="325">
        <v>50950</v>
      </c>
      <c r="V95" s="326">
        <f t="shared" si="3"/>
        <v>50950</v>
      </c>
      <c r="W95" s="404"/>
      <c r="X95" s="1"/>
      <c r="Y95" s="57">
        <f t="shared" si="4"/>
        <v>0</v>
      </c>
    </row>
    <row r="96" spans="1:25" ht="24.95" customHeight="1">
      <c r="A96" s="316">
        <v>45859</v>
      </c>
      <c r="B96" s="486">
        <v>308855</v>
      </c>
      <c r="C96" s="452" t="s">
        <v>245</v>
      </c>
      <c r="D96" s="423" t="s">
        <v>246</v>
      </c>
      <c r="E96" s="453" t="s">
        <v>247</v>
      </c>
      <c r="F96" s="488">
        <v>51300</v>
      </c>
      <c r="G96" s="489">
        <v>51300</v>
      </c>
      <c r="H96" s="323"/>
      <c r="I96" s="323"/>
      <c r="J96" s="323"/>
      <c r="K96" s="323"/>
      <c r="L96" s="323">
        <v>51300</v>
      </c>
      <c r="M96" s="323"/>
      <c r="N96" s="323"/>
      <c r="O96" s="323"/>
      <c r="P96" s="323"/>
      <c r="Q96" s="323"/>
      <c r="R96" s="323"/>
      <c r="S96" s="324"/>
      <c r="T96" s="324"/>
      <c r="U96" s="325">
        <v>51300</v>
      </c>
      <c r="V96" s="326">
        <f t="shared" si="3"/>
        <v>51300</v>
      </c>
      <c r="W96" s="404"/>
      <c r="X96" s="1"/>
      <c r="Y96" s="57">
        <f t="shared" si="4"/>
        <v>0</v>
      </c>
    </row>
    <row r="97" spans="1:25" ht="24.95" customHeight="1">
      <c r="A97" s="316">
        <v>45859</v>
      </c>
      <c r="B97" s="486">
        <v>50374</v>
      </c>
      <c r="C97" s="452" t="s">
        <v>248</v>
      </c>
      <c r="D97" s="423" t="s">
        <v>246</v>
      </c>
      <c r="E97" s="491" t="s">
        <v>249</v>
      </c>
      <c r="F97" s="492">
        <v>50600</v>
      </c>
      <c r="G97" s="489">
        <v>50600</v>
      </c>
      <c r="H97" s="323"/>
      <c r="I97" s="323"/>
      <c r="J97" s="323"/>
      <c r="K97" s="323"/>
      <c r="L97" s="323">
        <v>50600</v>
      </c>
      <c r="M97" s="323"/>
      <c r="N97" s="323"/>
      <c r="O97" s="323"/>
      <c r="P97" s="323"/>
      <c r="Q97" s="323"/>
      <c r="R97" s="323"/>
      <c r="S97" s="324"/>
      <c r="T97" s="324"/>
      <c r="U97" s="325">
        <v>50600</v>
      </c>
      <c r="V97" s="326">
        <f t="shared" si="3"/>
        <v>50600</v>
      </c>
      <c r="W97" s="458"/>
      <c r="X97" s="1"/>
      <c r="Y97" s="57">
        <f t="shared" si="4"/>
        <v>0</v>
      </c>
    </row>
    <row r="98" spans="1:25" ht="24.95" customHeight="1">
      <c r="A98" s="316">
        <v>45859</v>
      </c>
      <c r="B98" s="486">
        <v>50375</v>
      </c>
      <c r="C98" s="493" t="s">
        <v>32</v>
      </c>
      <c r="D98" s="423" t="s">
        <v>250</v>
      </c>
      <c r="E98" s="491" t="s">
        <v>181</v>
      </c>
      <c r="F98" s="492"/>
      <c r="G98" s="489"/>
      <c r="H98" s="323"/>
      <c r="I98" s="323"/>
      <c r="J98" s="323"/>
      <c r="K98" s="323"/>
      <c r="L98" s="323"/>
      <c r="M98" s="372">
        <v>119300</v>
      </c>
      <c r="N98" s="323"/>
      <c r="O98" s="323"/>
      <c r="P98" s="323"/>
      <c r="Q98" s="323"/>
      <c r="R98" s="323"/>
      <c r="S98" s="324"/>
      <c r="T98" s="324"/>
      <c r="U98" s="325">
        <v>119300</v>
      </c>
      <c r="V98" s="326">
        <f t="shared" si="3"/>
        <v>119300</v>
      </c>
      <c r="W98" s="362"/>
      <c r="X98" s="1"/>
      <c r="Y98" s="57">
        <f t="shared" si="4"/>
        <v>0</v>
      </c>
    </row>
    <row r="99" spans="1:25" ht="24.95" customHeight="1">
      <c r="A99" s="316">
        <v>45859</v>
      </c>
      <c r="B99" s="486">
        <v>50376</v>
      </c>
      <c r="C99" s="493" t="s">
        <v>32</v>
      </c>
      <c r="D99" s="423" t="s">
        <v>251</v>
      </c>
      <c r="E99" s="491" t="s">
        <v>252</v>
      </c>
      <c r="F99" s="492"/>
      <c r="G99" s="489"/>
      <c r="H99" s="323"/>
      <c r="I99" s="323"/>
      <c r="J99" s="323"/>
      <c r="K99" s="323"/>
      <c r="L99" s="323"/>
      <c r="M99" s="323">
        <v>80700</v>
      </c>
      <c r="N99" s="323"/>
      <c r="O99" s="323"/>
      <c r="P99" s="323"/>
      <c r="Q99" s="323"/>
      <c r="R99" s="323"/>
      <c r="S99" s="324"/>
      <c r="T99" s="324"/>
      <c r="U99" s="325">
        <v>80700</v>
      </c>
      <c r="V99" s="326">
        <f t="shared" si="3"/>
        <v>80700</v>
      </c>
      <c r="W99" s="362"/>
      <c r="X99" s="1"/>
      <c r="Y99" s="57">
        <f t="shared" si="4"/>
        <v>0</v>
      </c>
    </row>
    <row r="100" spans="1:25" ht="24.95" customHeight="1">
      <c r="A100" s="316">
        <v>45859</v>
      </c>
      <c r="B100" s="317">
        <v>50379</v>
      </c>
      <c r="C100" s="318" t="s">
        <v>253</v>
      </c>
      <c r="D100" s="448" t="s">
        <v>254</v>
      </c>
      <c r="E100" s="369" t="s">
        <v>255</v>
      </c>
      <c r="F100" s="321"/>
      <c r="G100" s="322"/>
      <c r="H100" s="323">
        <v>152200</v>
      </c>
      <c r="I100" s="323"/>
      <c r="J100" s="323"/>
      <c r="K100" s="323"/>
      <c r="L100" s="323"/>
      <c r="M100" s="323"/>
      <c r="N100" s="323"/>
      <c r="O100" s="323"/>
      <c r="P100" s="323"/>
      <c r="Q100" s="323"/>
      <c r="R100" s="323"/>
      <c r="S100" s="324"/>
      <c r="T100" s="324"/>
      <c r="U100" s="485">
        <v>152200</v>
      </c>
      <c r="V100" s="326">
        <f t="shared" si="3"/>
        <v>152200</v>
      </c>
      <c r="W100" s="362"/>
      <c r="X100" s="1"/>
      <c r="Y100" s="57">
        <f t="shared" si="4"/>
        <v>0</v>
      </c>
    </row>
    <row r="101" spans="1:25" ht="24.95" customHeight="1">
      <c r="A101" s="316">
        <v>45859</v>
      </c>
      <c r="B101" s="317">
        <v>50381</v>
      </c>
      <c r="C101" s="318" t="s">
        <v>72</v>
      </c>
      <c r="D101" s="448" t="s">
        <v>246</v>
      </c>
      <c r="E101" s="369" t="s">
        <v>219</v>
      </c>
      <c r="F101" s="321"/>
      <c r="G101" s="322"/>
      <c r="H101" s="323">
        <v>50000</v>
      </c>
      <c r="I101" s="323"/>
      <c r="J101" s="323"/>
      <c r="K101" s="323"/>
      <c r="L101" s="323"/>
      <c r="M101" s="323"/>
      <c r="N101" s="323"/>
      <c r="O101" s="323"/>
      <c r="P101" s="323"/>
      <c r="Q101" s="323"/>
      <c r="R101" s="323"/>
      <c r="S101" s="322"/>
      <c r="T101" s="324"/>
      <c r="U101" s="325">
        <v>50000</v>
      </c>
      <c r="V101" s="326">
        <f t="shared" si="3"/>
        <v>50000</v>
      </c>
      <c r="W101" s="404"/>
      <c r="X101" s="1"/>
      <c r="Y101" s="57">
        <f t="shared" si="4"/>
        <v>0</v>
      </c>
    </row>
    <row r="102" spans="1:25" ht="24.95" customHeight="1">
      <c r="A102" s="316">
        <v>45859</v>
      </c>
      <c r="B102" s="317">
        <v>50386</v>
      </c>
      <c r="C102" s="452" t="s">
        <v>257</v>
      </c>
      <c r="D102" s="448" t="s">
        <v>174</v>
      </c>
      <c r="E102" s="369" t="s">
        <v>258</v>
      </c>
      <c r="F102" s="321"/>
      <c r="G102" s="322"/>
      <c r="H102" s="323">
        <v>50750</v>
      </c>
      <c r="I102" s="323"/>
      <c r="J102" s="323"/>
      <c r="K102" s="323"/>
      <c r="L102" s="323"/>
      <c r="M102" s="399"/>
      <c r="N102" s="355"/>
      <c r="O102" s="323"/>
      <c r="P102" s="323"/>
      <c r="Q102" s="323"/>
      <c r="R102" s="323"/>
      <c r="S102" s="324"/>
      <c r="T102" s="324"/>
      <c r="U102" s="322">
        <v>50750</v>
      </c>
      <c r="V102" s="467">
        <f t="shared" si="3"/>
        <v>50750</v>
      </c>
      <c r="W102" s="458"/>
      <c r="X102" s="1"/>
      <c r="Y102" s="57">
        <f t="shared" si="4"/>
        <v>0</v>
      </c>
    </row>
    <row r="103" spans="1:25" ht="24.95" customHeight="1">
      <c r="A103" s="316">
        <v>45859</v>
      </c>
      <c r="B103" s="317">
        <v>50387</v>
      </c>
      <c r="C103" s="452" t="s">
        <v>259</v>
      </c>
      <c r="D103" s="448" t="s">
        <v>260</v>
      </c>
      <c r="E103" s="369" t="s">
        <v>261</v>
      </c>
      <c r="F103" s="321"/>
      <c r="G103" s="322"/>
      <c r="H103" s="323"/>
      <c r="I103" s="323"/>
      <c r="J103" s="323"/>
      <c r="K103" s="323"/>
      <c r="L103" s="323"/>
      <c r="M103" s="399"/>
      <c r="N103" s="323">
        <v>53600</v>
      </c>
      <c r="O103" s="323"/>
      <c r="P103" s="323"/>
      <c r="Q103" s="323"/>
      <c r="R103" s="323"/>
      <c r="S103" s="324"/>
      <c r="T103" s="324"/>
      <c r="U103" s="322">
        <v>53600</v>
      </c>
      <c r="V103" s="467">
        <f t="shared" si="3"/>
        <v>53600</v>
      </c>
      <c r="W103" s="362"/>
      <c r="X103" s="1"/>
      <c r="Y103" s="57">
        <f t="shared" si="4"/>
        <v>0</v>
      </c>
    </row>
    <row r="104" spans="1:25" ht="24.95" customHeight="1">
      <c r="A104" s="316">
        <v>45859</v>
      </c>
      <c r="B104" s="317">
        <v>50388</v>
      </c>
      <c r="C104" s="452" t="s">
        <v>262</v>
      </c>
      <c r="D104" s="448" t="s">
        <v>226</v>
      </c>
      <c r="E104" s="369" t="s">
        <v>263</v>
      </c>
      <c r="F104" s="321"/>
      <c r="G104" s="322"/>
      <c r="H104" s="323"/>
      <c r="I104" s="323"/>
      <c r="J104" s="323"/>
      <c r="K104" s="323"/>
      <c r="L104" s="323">
        <v>51300</v>
      </c>
      <c r="M104" s="399"/>
      <c r="N104" s="355"/>
      <c r="O104" s="323"/>
      <c r="P104" s="323"/>
      <c r="Q104" s="323"/>
      <c r="R104" s="323"/>
      <c r="S104" s="324"/>
      <c r="T104" s="324"/>
      <c r="U104" s="322">
        <v>51300</v>
      </c>
      <c r="V104" s="467">
        <f t="shared" si="3"/>
        <v>51300</v>
      </c>
      <c r="W104" s="362"/>
      <c r="X104" s="1"/>
      <c r="Y104" s="57">
        <f t="shared" si="4"/>
        <v>0</v>
      </c>
    </row>
    <row r="105" spans="1:25" ht="24.95" customHeight="1">
      <c r="A105" s="316">
        <v>45859</v>
      </c>
      <c r="B105" s="486">
        <v>50390</v>
      </c>
      <c r="C105" s="452" t="s">
        <v>264</v>
      </c>
      <c r="D105" s="448" t="s">
        <v>226</v>
      </c>
      <c r="E105" s="456" t="s">
        <v>265</v>
      </c>
      <c r="F105" s="348"/>
      <c r="G105" s="322"/>
      <c r="H105" s="345">
        <v>51150</v>
      </c>
      <c r="I105" s="323"/>
      <c r="J105" s="323"/>
      <c r="K105" s="323"/>
      <c r="L105" s="494"/>
      <c r="M105" s="399"/>
      <c r="N105" s="355"/>
      <c r="O105" s="323"/>
      <c r="P105" s="323"/>
      <c r="Q105" s="323"/>
      <c r="R105" s="323"/>
      <c r="S105" s="324"/>
      <c r="T105" s="324"/>
      <c r="U105" s="349">
        <v>51150</v>
      </c>
      <c r="V105" s="467">
        <f t="shared" si="3"/>
        <v>51150</v>
      </c>
      <c r="W105" s="362"/>
      <c r="X105" s="1"/>
      <c r="Y105" s="57">
        <f t="shared" si="4"/>
        <v>0</v>
      </c>
    </row>
    <row r="106" spans="1:25" ht="24.95" customHeight="1">
      <c r="A106" s="316">
        <v>45859</v>
      </c>
      <c r="B106" s="394">
        <v>50400</v>
      </c>
      <c r="C106" s="395" t="s">
        <v>269</v>
      </c>
      <c r="D106" s="448" t="s">
        <v>270</v>
      </c>
      <c r="E106" s="369" t="s">
        <v>271</v>
      </c>
      <c r="F106" s="495"/>
      <c r="G106" s="495"/>
      <c r="H106" s="399"/>
      <c r="I106" s="323"/>
      <c r="J106" s="323">
        <v>40000</v>
      </c>
      <c r="K106" s="323"/>
      <c r="L106" s="494"/>
      <c r="M106" s="399"/>
      <c r="N106" s="355"/>
      <c r="O106" s="323"/>
      <c r="P106" s="323"/>
      <c r="Q106" s="323"/>
      <c r="R106" s="323"/>
      <c r="S106" s="324"/>
      <c r="T106" s="324"/>
      <c r="U106" s="496">
        <v>40000</v>
      </c>
      <c r="V106" s="467">
        <f t="shared" si="3"/>
        <v>40000</v>
      </c>
      <c r="W106" s="362"/>
      <c r="X106" s="1"/>
      <c r="Y106" s="57">
        <f t="shared" si="4"/>
        <v>0</v>
      </c>
    </row>
    <row r="107" spans="1:25" ht="24.95" customHeight="1" thickBot="1">
      <c r="A107" s="316"/>
      <c r="B107" s="394"/>
      <c r="C107" s="395"/>
      <c r="D107" s="448"/>
      <c r="E107" s="369"/>
      <c r="F107" s="495"/>
      <c r="G107" s="495"/>
      <c r="H107" s="399"/>
      <c r="I107" s="323"/>
      <c r="J107" s="323"/>
      <c r="K107" s="323"/>
      <c r="L107" s="494"/>
      <c r="M107" s="399"/>
      <c r="N107" s="355"/>
      <c r="O107" s="323"/>
      <c r="P107" s="323"/>
      <c r="Q107" s="323"/>
      <c r="R107" s="323"/>
      <c r="S107" s="324"/>
      <c r="T107" s="324"/>
      <c r="U107" s="496"/>
      <c r="V107" s="467">
        <f>S107+U107</f>
        <v>0</v>
      </c>
      <c r="W107" s="464"/>
      <c r="X107" s="1"/>
      <c r="Y107" s="57">
        <f t="shared" si="4"/>
        <v>0</v>
      </c>
    </row>
    <row r="108" spans="1:25" ht="24.95" customHeight="1">
      <c r="A108" s="316"/>
      <c r="B108" s="317"/>
      <c r="C108" s="318"/>
      <c r="D108" s="448"/>
      <c r="E108" s="369"/>
      <c r="F108" s="495"/>
      <c r="G108" s="322"/>
      <c r="H108" s="323"/>
      <c r="I108" s="323"/>
      <c r="J108" s="323"/>
      <c r="K108" s="323"/>
      <c r="L108" s="323"/>
      <c r="M108" s="336"/>
      <c r="N108" s="323"/>
      <c r="O108" s="323"/>
      <c r="P108" s="323"/>
      <c r="Q108" s="323"/>
      <c r="R108" s="323"/>
      <c r="S108" s="324"/>
      <c r="T108" s="324"/>
      <c r="U108" s="325"/>
      <c r="V108" s="326"/>
      <c r="W108" s="458"/>
      <c r="X108" s="1"/>
      <c r="Y108" s="57">
        <f t="shared" si="4"/>
        <v>0</v>
      </c>
    </row>
    <row r="109" spans="1:25" ht="24.95" customHeight="1" thickBot="1">
      <c r="A109" s="316"/>
      <c r="B109" s="317"/>
      <c r="C109" s="318"/>
      <c r="D109" s="448"/>
      <c r="E109" s="369"/>
      <c r="F109" s="495"/>
      <c r="G109" s="322"/>
      <c r="H109" s="323"/>
      <c r="I109" s="323"/>
      <c r="J109" s="323"/>
      <c r="K109" s="323"/>
      <c r="L109" s="323"/>
      <c r="M109" s="323"/>
      <c r="N109" s="323"/>
      <c r="O109" s="323"/>
      <c r="P109" s="323"/>
      <c r="Q109" s="323"/>
      <c r="R109" s="323"/>
      <c r="S109" s="324"/>
      <c r="T109" s="324"/>
      <c r="U109" s="435"/>
      <c r="V109" s="326">
        <f t="shared" si="3"/>
        <v>0</v>
      </c>
      <c r="W109" s="464"/>
      <c r="X109" s="1"/>
      <c r="Y109" s="57">
        <f t="shared" si="4"/>
        <v>0</v>
      </c>
    </row>
    <row r="110" spans="1:25" s="4" customFormat="1" ht="24.95" customHeight="1" thickBot="1">
      <c r="A110" s="497"/>
      <c r="B110" s="498"/>
      <c r="C110" s="499" t="s">
        <v>54</v>
      </c>
      <c r="D110" s="500"/>
      <c r="E110" s="501"/>
      <c r="F110" s="502">
        <f>SUM(F6:F108)</f>
        <v>1214005</v>
      </c>
      <c r="G110" s="502">
        <f>SUM(G6:G107)</f>
        <v>1214005</v>
      </c>
      <c r="H110" s="503">
        <f>SUM(H6:H109)</f>
        <v>1588885</v>
      </c>
      <c r="I110" s="503">
        <f>SUM(I6:I106)</f>
        <v>306650</v>
      </c>
      <c r="J110" s="503">
        <f>SUM(J6:J108)</f>
        <v>549850</v>
      </c>
      <c r="K110" s="503">
        <f>SUM(K6:K109)</f>
        <v>0</v>
      </c>
      <c r="L110" s="503">
        <f>SUM(L6:L107)</f>
        <v>2341350</v>
      </c>
      <c r="M110" s="504">
        <f>SUM(M6:M109)</f>
        <v>621850</v>
      </c>
      <c r="N110" s="504">
        <f>SUM(N6:N104)</f>
        <v>129750</v>
      </c>
      <c r="O110" s="504">
        <f>SUM(O6:O108)</f>
        <v>3450</v>
      </c>
      <c r="P110" s="504">
        <f>SUM(P6:P97)</f>
        <v>9430</v>
      </c>
      <c r="Q110" s="503">
        <f>SUM(Q6:Q108)</f>
        <v>520000</v>
      </c>
      <c r="R110" s="503">
        <f>SUM(R6:R56)</f>
        <v>0</v>
      </c>
      <c r="S110" s="503">
        <f>SUM(S6:S109)</f>
        <v>691400</v>
      </c>
      <c r="T110" s="503">
        <f>SUM(T6:T56)</f>
        <v>0</v>
      </c>
      <c r="U110" s="505">
        <f>SUM(U6:U108)</f>
        <v>5379815</v>
      </c>
      <c r="V110" s="506">
        <f>SUM(V6:V109)</f>
        <v>6071215</v>
      </c>
      <c r="W110" s="507"/>
      <c r="X110" s="508"/>
      <c r="Y110" s="57">
        <f>F110+H110+I110+J110+K110+L110+M110+N110+O110+Q110+R110+T110-G110-S110-U110+P110</f>
        <v>0</v>
      </c>
    </row>
    <row r="111" spans="1:25" s="8" customFormat="1" ht="24.95" customHeight="1">
      <c r="A111" s="509"/>
      <c r="B111" s="510"/>
      <c r="C111" s="1"/>
      <c r="D111" s="511"/>
      <c r="E111" s="512"/>
      <c r="F111" s="513"/>
      <c r="G111" s="513"/>
      <c r="H111" s="513"/>
      <c r="I111" s="513"/>
      <c r="J111" s="513"/>
      <c r="K111" s="513"/>
      <c r="L111" s="513"/>
      <c r="M111" s="513"/>
      <c r="N111" s="513"/>
      <c r="O111" s="513"/>
      <c r="P111" s="513"/>
      <c r="Q111" s="513"/>
      <c r="R111" s="513"/>
      <c r="S111" s="513"/>
      <c r="T111" s="513"/>
      <c r="U111" s="514"/>
      <c r="V111" s="515"/>
      <c r="W111" s="1"/>
      <c r="X111" s="1"/>
      <c r="Y111" s="57">
        <f>F111+H111+I111+J111+K111+L111+N111+O111+Q111+R111+T111-G111-S111-U111</f>
        <v>0</v>
      </c>
    </row>
    <row r="112" spans="1:25" s="8" customFormat="1" ht="24.95" customHeight="1">
      <c r="A112" s="509"/>
      <c r="B112" s="510"/>
      <c r="C112" s="1"/>
      <c r="D112" s="516" t="s">
        <v>272</v>
      </c>
      <c r="E112" s="512"/>
      <c r="F112" s="513"/>
      <c r="G112" s="513"/>
      <c r="H112" s="513"/>
      <c r="I112" s="513"/>
      <c r="J112" s="513"/>
      <c r="K112" s="513"/>
      <c r="L112" s="513"/>
      <c r="M112" s="513"/>
      <c r="N112" s="513"/>
      <c r="O112" s="513"/>
      <c r="P112" s="513"/>
      <c r="Q112" s="513"/>
      <c r="R112" s="513"/>
      <c r="S112" s="513"/>
      <c r="T112" s="513"/>
      <c r="U112" s="514"/>
      <c r="V112" s="515"/>
      <c r="W112" s="1"/>
      <c r="X112" s="1"/>
      <c r="Y112" s="57"/>
    </row>
    <row r="113" spans="1:25" s="8" customFormat="1" ht="24.95" customHeight="1" thickBot="1">
      <c r="A113" s="509"/>
      <c r="B113" s="510"/>
      <c r="C113" s="1"/>
      <c r="D113" s="516" t="s">
        <v>273</v>
      </c>
      <c r="E113" s="512"/>
      <c r="F113" s="513"/>
      <c r="G113" s="513"/>
      <c r="H113" s="513">
        <v>1615315</v>
      </c>
      <c r="I113" s="513">
        <v>306650</v>
      </c>
      <c r="J113" s="513">
        <v>549850</v>
      </c>
      <c r="K113" s="513"/>
      <c r="L113" s="513">
        <v>2471100</v>
      </c>
      <c r="M113" s="513">
        <v>621850</v>
      </c>
      <c r="N113" s="513">
        <v>129750</v>
      </c>
      <c r="O113" s="513">
        <v>3450</v>
      </c>
      <c r="P113" s="513">
        <v>90830</v>
      </c>
      <c r="Q113" s="513">
        <v>520000</v>
      </c>
      <c r="R113" s="513"/>
      <c r="S113" s="513"/>
      <c r="T113" s="513"/>
      <c r="U113" s="514"/>
      <c r="V113" s="515"/>
      <c r="W113" s="1"/>
      <c r="X113" s="1"/>
      <c r="Y113" s="57"/>
    </row>
    <row r="114" spans="1:25" s="8" customFormat="1" ht="24.95" customHeight="1" thickBot="1">
      <c r="A114" s="509"/>
      <c r="B114" s="510"/>
      <c r="C114" s="1"/>
      <c r="D114" s="517" t="s">
        <v>59</v>
      </c>
      <c r="E114" s="518"/>
      <c r="F114" s="519"/>
      <c r="G114" s="519"/>
      <c r="H114" s="519">
        <f>H113-H110</f>
        <v>26430</v>
      </c>
      <c r="I114" s="519">
        <f t="shared" ref="I114:Q114" si="5">I113-I110</f>
        <v>0</v>
      </c>
      <c r="J114" s="519">
        <f t="shared" si="5"/>
        <v>0</v>
      </c>
      <c r="K114" s="519">
        <f t="shared" si="5"/>
        <v>0</v>
      </c>
      <c r="L114" s="519">
        <f t="shared" si="5"/>
        <v>129750</v>
      </c>
      <c r="M114" s="519">
        <f t="shared" si="5"/>
        <v>0</v>
      </c>
      <c r="N114" s="519">
        <f t="shared" si="5"/>
        <v>0</v>
      </c>
      <c r="O114" s="519">
        <f t="shared" si="5"/>
        <v>0</v>
      </c>
      <c r="P114" s="519">
        <f t="shared" si="5"/>
        <v>81400</v>
      </c>
      <c r="Q114" s="520">
        <f t="shared" si="5"/>
        <v>0</v>
      </c>
      <c r="R114" s="513"/>
      <c r="S114" s="513"/>
      <c r="T114" s="513"/>
      <c r="U114" s="514"/>
      <c r="V114" s="515"/>
      <c r="W114" s="1"/>
      <c r="X114" s="1"/>
      <c r="Y114" s="57"/>
    </row>
    <row r="115" spans="1:25" s="8" customFormat="1" ht="24.95" customHeight="1">
      <c r="A115" s="509"/>
      <c r="B115" s="510"/>
      <c r="C115" s="1"/>
      <c r="D115" s="516" t="s">
        <v>274</v>
      </c>
      <c r="E115" s="512"/>
      <c r="F115" s="513"/>
      <c r="G115" s="513"/>
      <c r="H115" s="513"/>
      <c r="I115" s="513"/>
      <c r="J115" s="513"/>
      <c r="K115" s="513"/>
      <c r="L115" s="513"/>
      <c r="M115" s="513"/>
      <c r="N115" s="513"/>
      <c r="O115" s="513"/>
      <c r="P115" s="513"/>
      <c r="Q115" s="513"/>
      <c r="R115" s="513"/>
      <c r="S115" s="513"/>
      <c r="T115" s="513"/>
      <c r="U115" s="514"/>
      <c r="V115" s="515"/>
      <c r="W115" s="1"/>
      <c r="X115" s="1"/>
      <c r="Y115" s="57"/>
    </row>
    <row r="116" spans="1:25" s="8" customFormat="1" ht="24.95" customHeight="1">
      <c r="A116" s="509"/>
      <c r="B116" s="510"/>
      <c r="C116" s="1"/>
      <c r="D116" s="516" t="s">
        <v>278</v>
      </c>
      <c r="E116" s="512"/>
      <c r="F116" s="513"/>
      <c r="G116" s="513"/>
      <c r="H116" s="513"/>
      <c r="I116" s="513"/>
      <c r="J116" s="513"/>
      <c r="K116" s="513"/>
      <c r="L116" s="513"/>
      <c r="M116" s="513"/>
      <c r="N116" s="513"/>
      <c r="O116" s="513"/>
      <c r="P116" s="513"/>
      <c r="Q116" s="513"/>
      <c r="R116" s="513"/>
      <c r="S116" s="513"/>
      <c r="T116" s="513"/>
      <c r="U116" s="514"/>
      <c r="V116" s="515"/>
      <c r="W116" s="1"/>
      <c r="X116" s="1"/>
      <c r="Y116" s="57"/>
    </row>
    <row r="117" spans="1:25" s="8" customFormat="1" ht="24.95" customHeight="1">
      <c r="A117" s="521" t="s">
        <v>55</v>
      </c>
      <c r="B117" s="510"/>
      <c r="C117" s="1"/>
      <c r="D117" s="516" t="s">
        <v>279</v>
      </c>
      <c r="E117" s="512"/>
      <c r="F117" s="1"/>
      <c r="G117" s="1"/>
      <c r="H117" s="1"/>
      <c r="I117" s="1"/>
      <c r="J117" s="513"/>
      <c r="K117" s="522" t="s">
        <v>56</v>
      </c>
      <c r="L117" s="513"/>
      <c r="M117" s="513"/>
      <c r="N117" s="513"/>
      <c r="O117" s="513"/>
      <c r="P117" s="513"/>
      <c r="Q117" s="1"/>
      <c r="R117" s="522"/>
      <c r="S117" s="1"/>
      <c r="T117" s="522" t="s">
        <v>57</v>
      </c>
      <c r="U117" s="523"/>
      <c r="V117" s="515">
        <f>F110+H110+I110+J110+K110+L110+M110+N110+O110+Q110+R110+T110+P110</f>
        <v>7285220</v>
      </c>
      <c r="W117" s="1"/>
      <c r="X117" s="1"/>
      <c r="Y117" s="57"/>
    </row>
    <row r="118" spans="1:25" s="8" customFormat="1" ht="24.95" customHeight="1">
      <c r="A118" s="521"/>
      <c r="B118" s="510"/>
      <c r="C118" s="1"/>
      <c r="D118" s="516" t="s">
        <v>275</v>
      </c>
      <c r="E118" s="512"/>
      <c r="F118" s="1"/>
      <c r="G118" s="1"/>
      <c r="H118" s="1"/>
      <c r="I118" s="1"/>
      <c r="J118" s="513"/>
      <c r="K118" s="522"/>
      <c r="L118" s="513"/>
      <c r="M118" s="513"/>
      <c r="N118" s="513"/>
      <c r="O118" s="513"/>
      <c r="P118" s="513"/>
      <c r="Q118" s="1"/>
      <c r="R118" s="522"/>
      <c r="S118" s="1"/>
      <c r="T118" s="522" t="s">
        <v>58</v>
      </c>
      <c r="U118" s="523"/>
      <c r="V118" s="515">
        <f>G110+S110+U110</f>
        <v>7285220</v>
      </c>
      <c r="W118" s="1"/>
      <c r="X118" s="1"/>
      <c r="Y118" s="57"/>
    </row>
    <row r="119" spans="1:25" s="8" customFormat="1" ht="24.95" customHeight="1" thickBot="1">
      <c r="A119" s="521"/>
      <c r="B119" s="510"/>
      <c r="C119" s="1"/>
      <c r="D119" s="516" t="s">
        <v>280</v>
      </c>
      <c r="E119" s="512"/>
      <c r="F119" s="1"/>
      <c r="G119" s="1"/>
      <c r="H119" s="1"/>
      <c r="I119" s="1"/>
      <c r="J119" s="513"/>
      <c r="K119" s="522"/>
      <c r="L119" s="513"/>
      <c r="M119" s="513"/>
      <c r="N119" s="513"/>
      <c r="O119" s="513"/>
      <c r="P119" s="513"/>
      <c r="Q119" s="1"/>
      <c r="R119" s="522"/>
      <c r="S119" s="1"/>
      <c r="T119" s="524" t="s">
        <v>59</v>
      </c>
      <c r="U119" s="525"/>
      <c r="V119" s="526">
        <f>V117-V118</f>
        <v>0</v>
      </c>
      <c r="W119" s="1"/>
      <c r="X119" s="1"/>
    </row>
    <row r="120" spans="1:25" s="9" customFormat="1" ht="24.95" customHeight="1" thickTop="1">
      <c r="A120" s="527" t="s">
        <v>60</v>
      </c>
      <c r="B120" s="528"/>
      <c r="C120" s="508"/>
      <c r="D120" s="516" t="s">
        <v>277</v>
      </c>
      <c r="E120" s="529"/>
      <c r="F120" s="508"/>
      <c r="G120" s="508"/>
      <c r="H120" s="508"/>
      <c r="I120" s="508"/>
      <c r="J120" s="515"/>
      <c r="K120" s="524" t="s">
        <v>61</v>
      </c>
      <c r="L120" s="515"/>
      <c r="M120" s="515"/>
      <c r="N120" s="515"/>
      <c r="O120" s="515"/>
      <c r="P120" s="515"/>
      <c r="Q120" s="508"/>
      <c r="R120" s="524"/>
      <c r="S120" s="524"/>
      <c r="T120" s="515"/>
      <c r="U120" s="525"/>
      <c r="V120" s="515"/>
      <c r="W120" s="508"/>
      <c r="X120" s="508"/>
    </row>
    <row r="121" spans="1:25" s="8" customFormat="1" ht="24.95" customHeight="1">
      <c r="A121" s="521" t="s">
        <v>62</v>
      </c>
      <c r="B121" s="510"/>
      <c r="C121" s="1"/>
      <c r="D121" s="516" t="s">
        <v>281</v>
      </c>
      <c r="E121" s="512"/>
      <c r="F121" s="1"/>
      <c r="G121" s="1"/>
      <c r="H121" s="1"/>
      <c r="I121" s="1"/>
      <c r="J121" s="513"/>
      <c r="K121" s="522" t="s">
        <v>63</v>
      </c>
      <c r="L121" s="513"/>
      <c r="M121" s="513"/>
      <c r="N121" s="513"/>
      <c r="O121" s="513"/>
      <c r="P121" s="513"/>
      <c r="Q121" s="1"/>
      <c r="R121" s="522"/>
      <c r="S121" s="513"/>
      <c r="T121" s="513"/>
      <c r="U121" s="523"/>
      <c r="V121" s="515"/>
      <c r="W121" s="1"/>
      <c r="X121" s="1"/>
    </row>
    <row r="122" spans="1:25" ht="15.75" customHeight="1">
      <c r="A122" s="509"/>
      <c r="B122" s="510"/>
      <c r="C122" s="1"/>
      <c r="D122" s="511"/>
      <c r="E122" s="512"/>
      <c r="F122" s="513"/>
      <c r="G122" s="513"/>
      <c r="H122" s="513"/>
      <c r="I122" s="513"/>
      <c r="J122" s="513"/>
      <c r="K122" s="513"/>
      <c r="L122" s="513"/>
      <c r="M122" s="513"/>
      <c r="N122" s="513"/>
      <c r="O122" s="513"/>
      <c r="P122" s="513"/>
      <c r="Q122" s="513"/>
      <c r="R122" s="513"/>
      <c r="S122" s="513"/>
      <c r="T122" s="513"/>
      <c r="U122" s="514"/>
      <c r="V122" s="515"/>
      <c r="W122" s="1"/>
      <c r="X122" s="1"/>
    </row>
    <row r="124" spans="1:25" ht="15.75" customHeight="1">
      <c r="H124" s="15">
        <v>2280</v>
      </c>
    </row>
    <row r="125" spans="1:25" ht="15.75" customHeight="1">
      <c r="H125" s="15">
        <v>152200</v>
      </c>
    </row>
    <row r="126" spans="1:25" ht="15.75" customHeight="1">
      <c r="H126" s="15">
        <v>3960</v>
      </c>
      <c r="R126" s="603"/>
      <c r="S126" s="603"/>
      <c r="T126" s="604"/>
      <c r="U126" s="605">
        <f>SUM(U129:U140)</f>
        <v>7275790</v>
      </c>
      <c r="V126" s="605">
        <f>SUM(V129:V140)</f>
        <v>7275790</v>
      </c>
    </row>
    <row r="127" spans="1:25" ht="15.75" customHeight="1">
      <c r="H127" s="15">
        <v>50000</v>
      </c>
      <c r="R127" s="603"/>
      <c r="S127" s="603"/>
      <c r="T127" s="604"/>
      <c r="U127" s="605"/>
      <c r="V127" s="605"/>
    </row>
    <row r="128" spans="1:25" ht="15.75" customHeight="1">
      <c r="H128" s="15">
        <v>50000</v>
      </c>
      <c r="R128" s="606"/>
      <c r="S128" s="606"/>
      <c r="T128" s="606"/>
      <c r="U128" s="606"/>
      <c r="V128" s="606"/>
    </row>
    <row r="129" spans="8:22" ht="15.75" customHeight="1">
      <c r="H129" s="15">
        <v>51250</v>
      </c>
      <c r="R129" s="607" t="s">
        <v>282</v>
      </c>
      <c r="S129" s="607"/>
      <c r="T129" s="607" t="s">
        <v>283</v>
      </c>
      <c r="U129" s="607">
        <f>F110</f>
        <v>1214005</v>
      </c>
      <c r="V129" s="607"/>
    </row>
    <row r="130" spans="8:22" ht="15.75" customHeight="1">
      <c r="H130" s="15">
        <v>15500</v>
      </c>
      <c r="R130" s="607" t="s">
        <v>282</v>
      </c>
      <c r="S130" s="607"/>
      <c r="T130" s="607" t="s">
        <v>13</v>
      </c>
      <c r="U130" s="607">
        <f>H110</f>
        <v>1588885</v>
      </c>
      <c r="V130" s="607"/>
    </row>
    <row r="131" spans="8:22" ht="15.75" customHeight="1">
      <c r="H131" s="15">
        <v>40000</v>
      </c>
      <c r="R131" s="607" t="s">
        <v>282</v>
      </c>
      <c r="S131" s="607"/>
      <c r="T131" s="607" t="s">
        <v>14</v>
      </c>
      <c r="U131" s="607">
        <f>I110</f>
        <v>306650</v>
      </c>
      <c r="V131" s="607"/>
    </row>
    <row r="132" spans="8:22" ht="15.75" customHeight="1">
      <c r="H132" s="15">
        <v>50000</v>
      </c>
      <c r="R132" s="607" t="s">
        <v>282</v>
      </c>
      <c r="S132" s="607"/>
      <c r="T132" s="607" t="s">
        <v>15</v>
      </c>
      <c r="U132" s="607">
        <f>J110</f>
        <v>549850</v>
      </c>
      <c r="V132" s="607"/>
    </row>
    <row r="133" spans="8:22" ht="15.75" customHeight="1">
      <c r="H133" s="15">
        <v>1050</v>
      </c>
      <c r="R133" s="607" t="s">
        <v>282</v>
      </c>
      <c r="S133" s="607"/>
      <c r="T133" s="607" t="s">
        <v>284</v>
      </c>
      <c r="U133" s="607">
        <f>M110</f>
        <v>621850</v>
      </c>
      <c r="V133" s="607"/>
    </row>
    <row r="134" spans="8:22" ht="15.75" customHeight="1">
      <c r="H134" s="15">
        <v>25800</v>
      </c>
      <c r="R134" s="607" t="s">
        <v>282</v>
      </c>
      <c r="S134" s="607"/>
      <c r="T134" s="607" t="s">
        <v>18</v>
      </c>
      <c r="U134" s="607">
        <f>L110</f>
        <v>2341350</v>
      </c>
      <c r="V134" s="607"/>
    </row>
    <row r="135" spans="8:22" ht="15.75" customHeight="1">
      <c r="H135" s="15">
        <v>51100</v>
      </c>
      <c r="R135" s="607" t="s">
        <v>282</v>
      </c>
      <c r="S135" s="607"/>
      <c r="T135" s="607" t="s">
        <v>19</v>
      </c>
      <c r="U135" s="607">
        <f>N110</f>
        <v>129750</v>
      </c>
      <c r="V135" s="607"/>
    </row>
    <row r="136" spans="8:22" ht="15.75" customHeight="1">
      <c r="H136" s="15">
        <v>101800</v>
      </c>
      <c r="R136" s="607" t="s">
        <v>282</v>
      </c>
      <c r="S136" s="607"/>
      <c r="T136" s="607" t="s">
        <v>21</v>
      </c>
      <c r="U136" s="607">
        <f>Q113</f>
        <v>520000</v>
      </c>
      <c r="V136" s="607"/>
    </row>
    <row r="137" spans="8:22" ht="15.75" customHeight="1">
      <c r="H137" s="15">
        <v>25675</v>
      </c>
      <c r="R137" s="607"/>
      <c r="S137" s="607"/>
      <c r="T137" s="607" t="s">
        <v>285</v>
      </c>
      <c r="U137" s="607">
        <f>O110</f>
        <v>3450</v>
      </c>
      <c r="V137" s="607"/>
    </row>
    <row r="138" spans="8:22" ht="15.75" customHeight="1">
      <c r="H138" s="15">
        <v>25675</v>
      </c>
      <c r="R138" s="607" t="s">
        <v>286</v>
      </c>
      <c r="S138" s="607"/>
      <c r="T138" s="607" t="s">
        <v>287</v>
      </c>
      <c r="U138" s="607"/>
      <c r="V138" s="607">
        <f>G110</f>
        <v>1214005</v>
      </c>
    </row>
    <row r="139" spans="8:22" ht="15.75" customHeight="1">
      <c r="H139" s="15">
        <v>51200</v>
      </c>
      <c r="R139" s="607"/>
      <c r="S139" s="607"/>
      <c r="T139" s="607" t="s">
        <v>288</v>
      </c>
      <c r="U139" s="607"/>
      <c r="V139" s="607">
        <f>S110</f>
        <v>691400</v>
      </c>
    </row>
    <row r="140" spans="8:22" ht="15.75" customHeight="1">
      <c r="H140" s="15">
        <v>49300</v>
      </c>
      <c r="R140" s="607"/>
      <c r="S140" s="607"/>
      <c r="T140" s="607" t="s">
        <v>289</v>
      </c>
      <c r="U140" s="607"/>
      <c r="V140" s="607">
        <f>U110-P110-K110</f>
        <v>5370385</v>
      </c>
    </row>
    <row r="141" spans="8:22" ht="15.75" customHeight="1">
      <c r="H141" s="15">
        <v>2100</v>
      </c>
      <c r="R141" s="607"/>
      <c r="S141" s="607"/>
      <c r="T141" s="607"/>
      <c r="U141" s="607"/>
      <c r="V141" s="607"/>
    </row>
    <row r="142" spans="8:22" ht="15.75" customHeight="1">
      <c r="H142" s="15">
        <v>1200</v>
      </c>
      <c r="R142" s="605"/>
      <c r="S142" s="605"/>
      <c r="T142" s="605"/>
      <c r="U142" s="605"/>
      <c r="V142" s="605"/>
    </row>
    <row r="143" spans="8:22" ht="15.75" customHeight="1">
      <c r="H143" s="15">
        <v>50000</v>
      </c>
    </row>
    <row r="144" spans="8:22" ht="15.75" customHeight="1">
      <c r="H144" s="15">
        <v>24000</v>
      </c>
    </row>
    <row r="145" spans="1:25" ht="15.75" customHeight="1">
      <c r="H145" s="15">
        <v>50900</v>
      </c>
    </row>
    <row r="146" spans="1:25" ht="15.75" customHeight="1">
      <c r="H146" s="15">
        <v>50700</v>
      </c>
    </row>
    <row r="147" spans="1:25" ht="15.75" customHeight="1">
      <c r="H147" s="15">
        <v>51500</v>
      </c>
    </row>
    <row r="148" spans="1:25" ht="15.75" customHeight="1">
      <c r="H148" s="15">
        <v>3600</v>
      </c>
    </row>
    <row r="149" spans="1:25" ht="15.75" customHeight="1">
      <c r="H149" s="15">
        <v>25625</v>
      </c>
    </row>
    <row r="150" spans="1:25" ht="15.75" customHeight="1">
      <c r="H150" s="15">
        <v>51300</v>
      </c>
    </row>
    <row r="151" spans="1:25" ht="15.75" customHeight="1">
      <c r="H151" s="15">
        <v>50450</v>
      </c>
    </row>
    <row r="152" spans="1:25" ht="15.75" customHeight="1">
      <c r="H152" s="15">
        <v>101300</v>
      </c>
    </row>
    <row r="153" spans="1:25" ht="15.75" customHeight="1">
      <c r="H153" s="15">
        <v>150</v>
      </c>
    </row>
    <row r="154" spans="1:25" ht="15.75" customHeight="1">
      <c r="H154" s="15">
        <v>152200</v>
      </c>
    </row>
    <row r="155" spans="1:25" ht="15.75" customHeight="1">
      <c r="H155" s="15">
        <v>50000</v>
      </c>
    </row>
    <row r="156" spans="1:25" ht="15.75" customHeight="1">
      <c r="H156" s="15">
        <v>101600</v>
      </c>
    </row>
    <row r="157" spans="1:25" ht="15.75" customHeight="1">
      <c r="H157" s="15">
        <v>51150</v>
      </c>
    </row>
    <row r="158" spans="1:25" s="15" customFormat="1" ht="15.75" customHeight="1">
      <c r="A158" s="10"/>
      <c r="B158" s="11"/>
      <c r="C158" s="12"/>
      <c r="D158" s="13"/>
      <c r="E158" s="14"/>
      <c r="H158" s="15">
        <v>50750</v>
      </c>
      <c r="U158" s="16"/>
      <c r="V158" s="17"/>
      <c r="W158" s="12"/>
      <c r="X158" s="12"/>
      <c r="Y158" s="12"/>
    </row>
    <row r="159" spans="1:25" s="15" customFormat="1" ht="15.75" customHeight="1">
      <c r="A159" s="10"/>
      <c r="B159" s="11"/>
      <c r="C159" s="12"/>
      <c r="D159" s="13"/>
      <c r="E159" s="14"/>
      <c r="H159" s="15">
        <f>SUM(H124:H158)</f>
        <v>1615315</v>
      </c>
      <c r="U159" s="16"/>
      <c r="V159" s="17"/>
      <c r="W159" s="12"/>
      <c r="X159" s="12"/>
      <c r="Y159" s="12"/>
    </row>
  </sheetData>
  <autoFilter ref="A4:W124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9" showButton="0"/>
  </autoFilter>
  <mergeCells count="17">
    <mergeCell ref="W67:W68"/>
    <mergeCell ref="R4:S4"/>
    <mergeCell ref="T4:U4"/>
    <mergeCell ref="V4:V5"/>
    <mergeCell ref="W4:W5"/>
    <mergeCell ref="W22:W23"/>
    <mergeCell ref="W39:W43"/>
    <mergeCell ref="A1:V1"/>
    <mergeCell ref="A2:V2"/>
    <mergeCell ref="A4:A5"/>
    <mergeCell ref="B4:B5"/>
    <mergeCell ref="C4:C5"/>
    <mergeCell ref="D4:D5"/>
    <mergeCell ref="E4:E5"/>
    <mergeCell ref="F4:F5"/>
    <mergeCell ref="G4:G5"/>
    <mergeCell ref="H4:Q4"/>
  </mergeCells>
  <pageMargins left="0.25" right="0.25" top="0.5" bottom="0.25" header="0.3" footer="0.3"/>
  <pageSetup paperSize="14" scale="32" orientation="landscape" r:id="rId1"/>
  <rowBreaks count="1" manualBreakCount="1">
    <brk id="65" max="2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"/>
  <sheetViews>
    <sheetView topLeftCell="A65" workbookViewId="0">
      <selection activeCell="U78" sqref="U78"/>
    </sheetView>
  </sheetViews>
  <sheetFormatPr defaultRowHeight="15"/>
  <sheetData>
    <row r="1" spans="1:22" ht="54">
      <c r="A1" s="211">
        <v>45853</v>
      </c>
      <c r="B1" s="209">
        <v>50296</v>
      </c>
      <c r="C1" s="199" t="s">
        <v>27</v>
      </c>
      <c r="D1" s="292" t="s">
        <v>28</v>
      </c>
      <c r="E1" s="295" t="s">
        <v>29</v>
      </c>
      <c r="F1" s="296">
        <v>51250</v>
      </c>
      <c r="G1" s="294">
        <v>51250</v>
      </c>
      <c r="H1" s="28"/>
      <c r="I1" s="28"/>
      <c r="J1" s="28"/>
      <c r="K1" s="28"/>
      <c r="L1" s="27">
        <v>51250</v>
      </c>
      <c r="M1" s="27"/>
      <c r="N1" s="28"/>
      <c r="O1" s="27"/>
      <c r="P1" s="28"/>
      <c r="Q1" s="49"/>
      <c r="R1" s="174"/>
      <c r="S1" s="184"/>
      <c r="T1" s="54">
        <v>51250</v>
      </c>
      <c r="U1" s="177">
        <f>R1+T1</f>
        <v>51250</v>
      </c>
      <c r="V1" s="149"/>
    </row>
    <row r="2" spans="1:22" ht="54">
      <c r="A2" s="211">
        <v>45853</v>
      </c>
      <c r="B2" s="210">
        <v>50297</v>
      </c>
      <c r="C2" s="202" t="s">
        <v>30</v>
      </c>
      <c r="D2" s="293" t="s">
        <v>28</v>
      </c>
      <c r="E2" s="290" t="s">
        <v>31</v>
      </c>
      <c r="F2" s="289">
        <v>51200</v>
      </c>
      <c r="G2" s="294">
        <v>51200</v>
      </c>
      <c r="H2" s="32"/>
      <c r="I2" s="32"/>
      <c r="J2" s="32"/>
      <c r="K2" s="32"/>
      <c r="L2" s="28">
        <v>51200</v>
      </c>
      <c r="M2" s="28"/>
      <c r="N2" s="32"/>
      <c r="O2" s="27"/>
      <c r="P2" s="32"/>
      <c r="Q2" s="33"/>
      <c r="R2" s="175"/>
      <c r="S2" s="171"/>
      <c r="T2" s="33">
        <v>51200</v>
      </c>
      <c r="U2" s="177">
        <f t="shared" ref="U2:U57" si="0">R2+T2</f>
        <v>51200</v>
      </c>
      <c r="V2" s="150"/>
    </row>
    <row r="3" spans="1:22" ht="54">
      <c r="A3" s="211">
        <v>45853</v>
      </c>
      <c r="B3" s="210">
        <v>50303</v>
      </c>
      <c r="C3" s="202" t="s">
        <v>43</v>
      </c>
      <c r="D3" s="293" t="s">
        <v>44</v>
      </c>
      <c r="E3" s="288" t="s">
        <v>45</v>
      </c>
      <c r="F3" s="291" t="s">
        <v>35</v>
      </c>
      <c r="G3" s="202" t="s">
        <v>35</v>
      </c>
      <c r="H3" s="27"/>
      <c r="I3" s="27">
        <v>51200</v>
      </c>
      <c r="J3" s="27"/>
      <c r="K3" s="27"/>
      <c r="L3" s="27"/>
      <c r="M3" s="27"/>
      <c r="N3" s="27"/>
      <c r="O3" s="27"/>
      <c r="P3" s="27"/>
      <c r="Q3" s="26"/>
      <c r="R3" s="259"/>
      <c r="S3" s="135"/>
      <c r="T3" s="54">
        <v>51200</v>
      </c>
      <c r="U3" s="177">
        <f t="shared" si="0"/>
        <v>51200</v>
      </c>
      <c r="V3" s="151"/>
    </row>
    <row r="4" spans="1:22" ht="54">
      <c r="A4" s="211">
        <v>45853</v>
      </c>
      <c r="B4" s="210">
        <v>2895</v>
      </c>
      <c r="C4" s="202" t="s">
        <v>46</v>
      </c>
      <c r="D4" s="293" t="s">
        <v>28</v>
      </c>
      <c r="E4" s="288" t="s">
        <v>47</v>
      </c>
      <c r="F4" s="289">
        <v>51100</v>
      </c>
      <c r="G4" s="294">
        <v>51100</v>
      </c>
      <c r="H4" s="27"/>
      <c r="I4" s="27"/>
      <c r="J4" s="27"/>
      <c r="K4" s="27"/>
      <c r="L4" s="27">
        <v>51100</v>
      </c>
      <c r="M4" s="27"/>
      <c r="N4" s="27"/>
      <c r="O4" s="27"/>
      <c r="P4" s="27"/>
      <c r="Q4" s="26"/>
      <c r="R4" s="260"/>
      <c r="S4" s="135"/>
      <c r="T4" s="54">
        <v>51100</v>
      </c>
      <c r="U4" s="177">
        <f t="shared" si="0"/>
        <v>51100</v>
      </c>
      <c r="V4" s="151"/>
    </row>
    <row r="5" spans="1:22" ht="54">
      <c r="A5" s="211">
        <v>45853</v>
      </c>
      <c r="B5" s="23">
        <v>50308</v>
      </c>
      <c r="C5" s="130" t="s">
        <v>51</v>
      </c>
      <c r="D5" s="293" t="s">
        <v>52</v>
      </c>
      <c r="E5" s="134" t="s">
        <v>53</v>
      </c>
      <c r="F5" s="169"/>
      <c r="G5" s="39"/>
      <c r="H5" s="38">
        <v>51250</v>
      </c>
      <c r="I5" s="27"/>
      <c r="J5" s="27"/>
      <c r="K5" s="27"/>
      <c r="L5" s="27"/>
      <c r="M5" s="27"/>
      <c r="N5" s="27"/>
      <c r="O5" s="27"/>
      <c r="P5" s="27"/>
      <c r="Q5" s="26"/>
      <c r="R5" s="176"/>
      <c r="S5" s="135"/>
      <c r="T5" s="58">
        <v>51250</v>
      </c>
      <c r="U5" s="177">
        <f t="shared" si="0"/>
        <v>51250</v>
      </c>
      <c r="V5" s="151"/>
    </row>
    <row r="6" spans="1:22" ht="40.5">
      <c r="A6" s="22">
        <v>45854</v>
      </c>
      <c r="B6" s="36">
        <v>50305</v>
      </c>
      <c r="C6" s="24" t="s">
        <v>68</v>
      </c>
      <c r="D6" s="37" t="s">
        <v>70</v>
      </c>
      <c r="E6" s="134" t="s">
        <v>71</v>
      </c>
      <c r="F6" s="135"/>
      <c r="G6" s="26"/>
      <c r="H6" s="27">
        <v>152200</v>
      </c>
      <c r="I6" s="27"/>
      <c r="J6" s="27"/>
      <c r="K6" s="27"/>
      <c r="L6" s="27"/>
      <c r="M6" s="27"/>
      <c r="N6" s="27"/>
      <c r="O6" s="27"/>
      <c r="P6" s="120"/>
      <c r="Q6" s="26"/>
      <c r="R6" s="176"/>
      <c r="S6" s="256"/>
      <c r="T6" s="173">
        <v>152200</v>
      </c>
      <c r="U6" s="177">
        <f t="shared" si="0"/>
        <v>152200</v>
      </c>
      <c r="V6" s="152"/>
    </row>
    <row r="7" spans="1:22" ht="40.5">
      <c r="A7" s="22">
        <v>45854</v>
      </c>
      <c r="B7" s="36">
        <v>50306</v>
      </c>
      <c r="C7" s="24" t="s">
        <v>72</v>
      </c>
      <c r="D7" s="37" t="s">
        <v>73</v>
      </c>
      <c r="E7" s="134" t="s">
        <v>74</v>
      </c>
      <c r="F7" s="135"/>
      <c r="G7" s="26"/>
      <c r="H7" s="27">
        <v>50000</v>
      </c>
      <c r="I7" s="27"/>
      <c r="J7" s="27"/>
      <c r="K7" s="27"/>
      <c r="L7" s="27"/>
      <c r="M7" s="27"/>
      <c r="N7" s="27"/>
      <c r="O7" s="27"/>
      <c r="P7" s="120"/>
      <c r="Q7" s="26"/>
      <c r="R7" s="26"/>
      <c r="S7" s="261"/>
      <c r="T7" s="173">
        <v>50000</v>
      </c>
      <c r="U7" s="177">
        <f t="shared" si="0"/>
        <v>50000</v>
      </c>
      <c r="V7" s="152"/>
    </row>
    <row r="8" spans="1:22" ht="40.5">
      <c r="A8" s="22">
        <v>45854</v>
      </c>
      <c r="B8" s="36">
        <v>50306</v>
      </c>
      <c r="C8" s="24" t="s">
        <v>72</v>
      </c>
      <c r="D8" s="37" t="s">
        <v>73</v>
      </c>
      <c r="E8" s="134" t="s">
        <v>74</v>
      </c>
      <c r="F8" s="135"/>
      <c r="G8" s="26"/>
      <c r="H8" s="27"/>
      <c r="I8" s="27"/>
      <c r="J8" s="27"/>
      <c r="K8" s="27"/>
      <c r="L8" s="27"/>
      <c r="M8" s="27"/>
      <c r="N8" s="27"/>
      <c r="O8" s="27">
        <v>1150</v>
      </c>
      <c r="P8" s="120"/>
      <c r="Q8" s="26"/>
      <c r="R8" s="27"/>
      <c r="S8" s="176"/>
      <c r="T8" s="173">
        <v>1150</v>
      </c>
      <c r="U8" s="177">
        <f t="shared" si="0"/>
        <v>1150</v>
      </c>
      <c r="V8" s="307"/>
    </row>
    <row r="9" spans="1:22" ht="40.5">
      <c r="A9" s="22">
        <v>45854</v>
      </c>
      <c r="B9" s="36">
        <v>50307</v>
      </c>
      <c r="C9" s="24" t="s">
        <v>75</v>
      </c>
      <c r="D9" s="37" t="s">
        <v>73</v>
      </c>
      <c r="E9" s="134" t="s">
        <v>76</v>
      </c>
      <c r="F9" s="135"/>
      <c r="G9" s="26"/>
      <c r="H9" s="27">
        <v>50000</v>
      </c>
      <c r="I9" s="28"/>
      <c r="J9" s="28"/>
      <c r="K9" s="28"/>
      <c r="L9" s="27"/>
      <c r="M9" s="27"/>
      <c r="N9" s="27"/>
      <c r="O9" s="27"/>
      <c r="P9" s="120"/>
      <c r="Q9" s="49"/>
      <c r="R9" s="49"/>
      <c r="S9" s="174"/>
      <c r="T9" s="173">
        <v>50000</v>
      </c>
      <c r="U9" s="177">
        <f t="shared" si="0"/>
        <v>50000</v>
      </c>
      <c r="V9" s="152"/>
    </row>
    <row r="10" spans="1:22" ht="40.5">
      <c r="A10" s="22">
        <v>45854</v>
      </c>
      <c r="B10" s="36">
        <v>50307</v>
      </c>
      <c r="C10" s="24" t="s">
        <v>75</v>
      </c>
      <c r="D10" s="37" t="s">
        <v>73</v>
      </c>
      <c r="E10" s="134" t="s">
        <v>76</v>
      </c>
      <c r="F10" s="135"/>
      <c r="G10" s="26"/>
      <c r="H10" s="27"/>
      <c r="I10" s="27"/>
      <c r="J10" s="27"/>
      <c r="K10" s="27"/>
      <c r="L10" s="27"/>
      <c r="M10" s="27"/>
      <c r="N10" s="27"/>
      <c r="O10" s="27">
        <v>1150</v>
      </c>
      <c r="P10" s="120"/>
      <c r="Q10" s="26"/>
      <c r="R10" s="26"/>
      <c r="S10" s="176"/>
      <c r="T10" s="173">
        <v>1150</v>
      </c>
      <c r="U10" s="177">
        <f t="shared" si="0"/>
        <v>1150</v>
      </c>
      <c r="V10" s="152"/>
    </row>
    <row r="11" spans="1:22" ht="40.5">
      <c r="A11" s="22">
        <v>45854</v>
      </c>
      <c r="B11" s="36">
        <v>50308</v>
      </c>
      <c r="C11" s="24" t="s">
        <v>77</v>
      </c>
      <c r="D11" s="37" t="s">
        <v>73</v>
      </c>
      <c r="E11" s="134" t="s">
        <v>78</v>
      </c>
      <c r="F11" s="135"/>
      <c r="G11" s="26"/>
      <c r="H11" s="27">
        <v>51250</v>
      </c>
      <c r="I11" s="27"/>
      <c r="J11" s="27"/>
      <c r="K11" s="27"/>
      <c r="L11" s="27"/>
      <c r="M11" s="27"/>
      <c r="N11" s="27"/>
      <c r="O11" s="27"/>
      <c r="P11" s="120"/>
      <c r="Q11" s="26"/>
      <c r="R11" s="26"/>
      <c r="S11" s="176"/>
      <c r="T11" s="173">
        <v>51250</v>
      </c>
      <c r="U11" s="177">
        <f t="shared" si="0"/>
        <v>51250</v>
      </c>
      <c r="V11" s="307"/>
    </row>
    <row r="12" spans="1:22" ht="40.5">
      <c r="A12" s="22">
        <v>45854</v>
      </c>
      <c r="B12" s="36">
        <v>50309</v>
      </c>
      <c r="C12" s="24" t="s">
        <v>79</v>
      </c>
      <c r="D12" s="37" t="s">
        <v>73</v>
      </c>
      <c r="E12" s="134" t="s">
        <v>80</v>
      </c>
      <c r="F12" s="135">
        <v>51350</v>
      </c>
      <c r="G12" s="26">
        <v>51350</v>
      </c>
      <c r="H12" s="27"/>
      <c r="I12" s="27"/>
      <c r="J12" s="27"/>
      <c r="K12" s="27"/>
      <c r="L12" s="27">
        <v>51350</v>
      </c>
      <c r="M12" s="27"/>
      <c r="N12" s="27"/>
      <c r="O12" s="27"/>
      <c r="P12" s="120"/>
      <c r="Q12" s="26"/>
      <c r="R12" s="26"/>
      <c r="S12" s="176"/>
      <c r="T12" s="173">
        <v>51350</v>
      </c>
      <c r="U12" s="177">
        <f t="shared" si="0"/>
        <v>51350</v>
      </c>
      <c r="V12" s="312" t="s">
        <v>81</v>
      </c>
    </row>
    <row r="13" spans="1:22" ht="40.5">
      <c r="A13" s="22">
        <v>45854</v>
      </c>
      <c r="B13" s="36">
        <v>308853</v>
      </c>
      <c r="C13" s="24" t="s">
        <v>87</v>
      </c>
      <c r="D13" s="37" t="s">
        <v>73</v>
      </c>
      <c r="E13" s="134" t="s">
        <v>88</v>
      </c>
      <c r="F13" s="135">
        <v>50950</v>
      </c>
      <c r="G13" s="26">
        <v>50950</v>
      </c>
      <c r="H13" s="27"/>
      <c r="I13" s="27"/>
      <c r="J13" s="27"/>
      <c r="K13" s="27"/>
      <c r="L13" s="27">
        <v>50950</v>
      </c>
      <c r="M13" s="38"/>
      <c r="N13" s="27"/>
      <c r="O13" s="27"/>
      <c r="P13" s="120"/>
      <c r="Q13" s="26"/>
      <c r="R13" s="26"/>
      <c r="S13" s="176"/>
      <c r="T13" s="173">
        <v>50950</v>
      </c>
      <c r="U13" s="177">
        <f t="shared" si="0"/>
        <v>50950</v>
      </c>
      <c r="V13" s="306"/>
    </row>
    <row r="14" spans="1:22" ht="40.5">
      <c r="A14" s="22">
        <v>45854</v>
      </c>
      <c r="B14" s="218">
        <v>50316</v>
      </c>
      <c r="C14" s="24" t="s">
        <v>89</v>
      </c>
      <c r="D14" s="37" t="s">
        <v>73</v>
      </c>
      <c r="E14" s="189" t="s">
        <v>91</v>
      </c>
      <c r="F14" s="190"/>
      <c r="G14" s="226"/>
      <c r="H14" s="219"/>
      <c r="I14" s="27"/>
      <c r="J14" s="27"/>
      <c r="K14" s="28"/>
      <c r="L14" s="157">
        <v>8350</v>
      </c>
      <c r="M14" s="40"/>
      <c r="N14" s="27"/>
      <c r="O14" s="27"/>
      <c r="P14" s="157"/>
      <c r="Q14" s="26"/>
      <c r="R14" s="158"/>
      <c r="S14" s="176"/>
      <c r="T14" s="172">
        <v>8350</v>
      </c>
      <c r="U14" s="177">
        <f t="shared" si="0"/>
        <v>8350</v>
      </c>
      <c r="V14" s="306"/>
    </row>
    <row r="15" spans="1:22" ht="40.5">
      <c r="A15" s="22">
        <v>45854</v>
      </c>
      <c r="B15" s="132">
        <v>50319</v>
      </c>
      <c r="C15" s="138" t="s">
        <v>95</v>
      </c>
      <c r="D15" s="37" t="s">
        <v>96</v>
      </c>
      <c r="E15" s="134" t="s">
        <v>97</v>
      </c>
      <c r="F15" s="169">
        <v>51350</v>
      </c>
      <c r="G15" s="227">
        <v>51350</v>
      </c>
      <c r="H15" s="169"/>
      <c r="I15" s="27"/>
      <c r="J15" s="27"/>
      <c r="K15" s="27"/>
      <c r="L15" s="135">
        <v>51350</v>
      </c>
      <c r="M15" s="109"/>
      <c r="N15" s="27"/>
      <c r="O15" s="27"/>
      <c r="P15" s="135"/>
      <c r="Q15" s="26"/>
      <c r="R15" s="135"/>
      <c r="S15" s="176"/>
      <c r="T15" s="172">
        <v>51350</v>
      </c>
      <c r="U15" s="177">
        <f t="shared" si="0"/>
        <v>51350</v>
      </c>
      <c r="V15" s="154"/>
    </row>
    <row r="16" spans="1:22">
      <c r="A16" s="41">
        <v>45855</v>
      </c>
      <c r="B16" s="42">
        <v>50321</v>
      </c>
      <c r="C16" s="24" t="s">
        <v>104</v>
      </c>
      <c r="D16" s="128" t="s">
        <v>105</v>
      </c>
      <c r="E16" s="129" t="s">
        <v>106</v>
      </c>
      <c r="F16" s="39">
        <v>102200</v>
      </c>
      <c r="G16" s="38">
        <v>102200</v>
      </c>
      <c r="H16" s="38"/>
      <c r="I16" s="27"/>
      <c r="J16" s="27"/>
      <c r="K16" s="27"/>
      <c r="L16" s="38">
        <v>102200</v>
      </c>
      <c r="M16" s="50"/>
      <c r="N16" s="27"/>
      <c r="O16" s="27"/>
      <c r="P16" s="27"/>
      <c r="Q16" s="26"/>
      <c r="R16" s="26"/>
      <c r="S16" s="176"/>
      <c r="T16" s="116">
        <v>102200</v>
      </c>
      <c r="U16" s="177">
        <f t="shared" si="0"/>
        <v>102200</v>
      </c>
      <c r="V16" s="306"/>
    </row>
    <row r="17" spans="1:22">
      <c r="A17" s="41">
        <v>45855</v>
      </c>
      <c r="B17" s="42">
        <v>50322</v>
      </c>
      <c r="C17" s="126" t="s">
        <v>107</v>
      </c>
      <c r="D17" s="125" t="s">
        <v>73</v>
      </c>
      <c r="E17" s="127" t="s">
        <v>108</v>
      </c>
      <c r="F17" s="39">
        <v>50950</v>
      </c>
      <c r="G17" s="38">
        <v>50950</v>
      </c>
      <c r="H17" s="38"/>
      <c r="I17" s="27"/>
      <c r="J17" s="27"/>
      <c r="K17" s="27"/>
      <c r="L17" s="38">
        <v>50950</v>
      </c>
      <c r="M17" s="50"/>
      <c r="N17" s="27"/>
      <c r="O17" s="27"/>
      <c r="P17" s="27"/>
      <c r="Q17" s="26"/>
      <c r="R17" s="26"/>
      <c r="S17" s="176"/>
      <c r="T17" s="116">
        <v>50950</v>
      </c>
      <c r="U17" s="177">
        <f t="shared" si="0"/>
        <v>50950</v>
      </c>
      <c r="V17" s="306"/>
    </row>
    <row r="18" spans="1:22">
      <c r="A18" s="41">
        <v>45855</v>
      </c>
      <c r="B18" s="42">
        <v>50324</v>
      </c>
      <c r="C18" s="24" t="s">
        <v>109</v>
      </c>
      <c r="D18" s="125" t="s">
        <v>73</v>
      </c>
      <c r="E18" s="124" t="s">
        <v>110</v>
      </c>
      <c r="F18" s="38"/>
      <c r="G18" s="38"/>
      <c r="H18" s="38">
        <v>51050</v>
      </c>
      <c r="I18" s="27"/>
      <c r="J18" s="27"/>
      <c r="K18" s="27"/>
      <c r="L18" s="38"/>
      <c r="M18" s="50"/>
      <c r="N18" s="27"/>
      <c r="O18" s="27"/>
      <c r="P18" s="27"/>
      <c r="Q18" s="26"/>
      <c r="R18" s="26"/>
      <c r="S18" s="176"/>
      <c r="T18" s="116">
        <v>51050</v>
      </c>
      <c r="U18" s="177">
        <f t="shared" si="0"/>
        <v>51050</v>
      </c>
      <c r="V18" s="306"/>
    </row>
    <row r="19" spans="1:22">
      <c r="A19" s="41">
        <v>45855</v>
      </c>
      <c r="B19" s="44">
        <v>50325</v>
      </c>
      <c r="C19" s="24" t="s">
        <v>111</v>
      </c>
      <c r="D19" s="125" t="s">
        <v>112</v>
      </c>
      <c r="E19" s="31" t="s">
        <v>113</v>
      </c>
      <c r="F19" s="38"/>
      <c r="G19" s="38"/>
      <c r="H19" s="40"/>
      <c r="I19" s="28">
        <v>102200</v>
      </c>
      <c r="J19" s="28"/>
      <c r="K19" s="27"/>
      <c r="L19" s="40"/>
      <c r="M19" s="50"/>
      <c r="N19" s="27"/>
      <c r="O19" s="27"/>
      <c r="P19" s="27"/>
      <c r="Q19" s="26"/>
      <c r="R19" s="26"/>
      <c r="S19" s="176"/>
      <c r="T19" s="46">
        <v>102200</v>
      </c>
      <c r="U19" s="177">
        <f t="shared" si="0"/>
        <v>102200</v>
      </c>
      <c r="V19" s="306"/>
    </row>
    <row r="20" spans="1:22" ht="27">
      <c r="A20" s="41">
        <v>45855</v>
      </c>
      <c r="B20" s="44">
        <v>50326</v>
      </c>
      <c r="C20" s="24" t="s">
        <v>114</v>
      </c>
      <c r="D20" s="125" t="s">
        <v>112</v>
      </c>
      <c r="E20" s="31" t="s">
        <v>115</v>
      </c>
      <c r="F20" s="38"/>
      <c r="G20" s="38"/>
      <c r="H20" s="40"/>
      <c r="I20" s="28"/>
      <c r="J20" s="28"/>
      <c r="K20" s="27"/>
      <c r="L20" s="40"/>
      <c r="M20" s="50"/>
      <c r="N20" s="27"/>
      <c r="O20" s="27"/>
      <c r="P20" s="170">
        <v>103100</v>
      </c>
      <c r="Q20" s="50"/>
      <c r="R20" s="26"/>
      <c r="S20" s="176"/>
      <c r="T20" s="46">
        <v>103100</v>
      </c>
      <c r="U20" s="177">
        <f t="shared" si="0"/>
        <v>103100</v>
      </c>
      <c r="V20" s="309" t="s">
        <v>81</v>
      </c>
    </row>
    <row r="21" spans="1:22">
      <c r="A21" s="41">
        <v>45855</v>
      </c>
      <c r="B21" s="44">
        <v>50331</v>
      </c>
      <c r="C21" s="24" t="s">
        <v>122</v>
      </c>
      <c r="D21" s="125" t="s">
        <v>73</v>
      </c>
      <c r="E21" s="34" t="s">
        <v>123</v>
      </c>
      <c r="F21" s="46"/>
      <c r="G21" s="46"/>
      <c r="H21" s="46">
        <v>51100</v>
      </c>
      <c r="I21" s="32"/>
      <c r="J21" s="32"/>
      <c r="K21" s="27"/>
      <c r="L21" s="46"/>
      <c r="M21" s="50"/>
      <c r="N21" s="27"/>
      <c r="O21" s="27"/>
      <c r="P21" s="32"/>
      <c r="Q21" s="26"/>
      <c r="R21" s="26"/>
      <c r="S21" s="176"/>
      <c r="T21" s="46">
        <v>51100</v>
      </c>
      <c r="U21" s="177">
        <f t="shared" si="0"/>
        <v>51100</v>
      </c>
      <c r="V21" s="298"/>
    </row>
    <row r="22" spans="1:22">
      <c r="A22" s="41">
        <v>45855</v>
      </c>
      <c r="B22" s="44">
        <v>50332</v>
      </c>
      <c r="C22" s="45" t="s">
        <v>124</v>
      </c>
      <c r="D22" s="125" t="s">
        <v>125</v>
      </c>
      <c r="E22" s="35" t="s">
        <v>126</v>
      </c>
      <c r="F22" s="38"/>
      <c r="G22" s="38"/>
      <c r="H22" s="38"/>
      <c r="I22" s="27">
        <v>50950</v>
      </c>
      <c r="J22" s="27"/>
      <c r="K22" s="27"/>
      <c r="L22" s="38"/>
      <c r="M22" s="50"/>
      <c r="N22" s="27"/>
      <c r="O22" s="27"/>
      <c r="P22" s="27"/>
      <c r="Q22" s="26"/>
      <c r="R22" s="26"/>
      <c r="S22" s="176"/>
      <c r="T22" s="116">
        <v>50950</v>
      </c>
      <c r="U22" s="177">
        <f t="shared" si="0"/>
        <v>50950</v>
      </c>
      <c r="V22" s="306"/>
    </row>
    <row r="23" spans="1:22">
      <c r="A23" s="41">
        <v>45855</v>
      </c>
      <c r="B23" s="44">
        <v>50333</v>
      </c>
      <c r="C23" s="45" t="s">
        <v>127</v>
      </c>
      <c r="D23" s="125" t="s">
        <v>128</v>
      </c>
      <c r="E23" s="35" t="s">
        <v>129</v>
      </c>
      <c r="F23" s="38"/>
      <c r="G23" s="38"/>
      <c r="H23" s="27">
        <v>25800</v>
      </c>
      <c r="I23" s="27"/>
      <c r="J23" s="27"/>
      <c r="K23" s="27"/>
      <c r="L23" s="109"/>
      <c r="M23" s="50"/>
      <c r="N23" s="27"/>
      <c r="O23" s="27"/>
      <c r="P23" s="27"/>
      <c r="Q23" s="26"/>
      <c r="R23" s="26"/>
      <c r="S23" s="176"/>
      <c r="T23" s="116">
        <v>25800</v>
      </c>
      <c r="U23" s="177">
        <f t="shared" si="0"/>
        <v>25800</v>
      </c>
      <c r="V23" s="306"/>
    </row>
    <row r="24" spans="1:22">
      <c r="A24" s="41">
        <v>45855</v>
      </c>
      <c r="B24" s="44">
        <v>50334</v>
      </c>
      <c r="C24" s="24" t="s">
        <v>130</v>
      </c>
      <c r="D24" s="125" t="s">
        <v>131</v>
      </c>
      <c r="E24" s="35" t="s">
        <v>132</v>
      </c>
      <c r="F24" s="27"/>
      <c r="G24" s="27"/>
      <c r="H24" s="27"/>
      <c r="I24" s="27"/>
      <c r="J24" s="27">
        <v>203150</v>
      </c>
      <c r="K24" s="27"/>
      <c r="L24" s="27"/>
      <c r="M24" s="50"/>
      <c r="N24" s="27"/>
      <c r="O24" s="27"/>
      <c r="P24" s="27"/>
      <c r="Q24" s="26"/>
      <c r="R24" s="26"/>
      <c r="S24" s="176"/>
      <c r="T24" s="82">
        <v>203150</v>
      </c>
      <c r="U24" s="177">
        <f t="shared" si="0"/>
        <v>203150</v>
      </c>
      <c r="V24" s="306"/>
    </row>
    <row r="25" spans="1:22">
      <c r="A25" s="41">
        <v>45855</v>
      </c>
      <c r="B25" s="44">
        <v>50335</v>
      </c>
      <c r="C25" s="24" t="s">
        <v>133</v>
      </c>
      <c r="D25" s="125" t="s">
        <v>134</v>
      </c>
      <c r="E25" s="35" t="s">
        <v>135</v>
      </c>
      <c r="F25" s="27"/>
      <c r="G25" s="27"/>
      <c r="H25" s="27"/>
      <c r="I25" s="27"/>
      <c r="J25" s="27"/>
      <c r="K25" s="27"/>
      <c r="L25" s="27">
        <v>354050</v>
      </c>
      <c r="M25" s="50"/>
      <c r="N25" s="27"/>
      <c r="O25" s="27"/>
      <c r="P25" s="27"/>
      <c r="Q25" s="26"/>
      <c r="R25" s="26"/>
      <c r="S25" s="176"/>
      <c r="T25" s="82">
        <v>354050</v>
      </c>
      <c r="U25" s="177">
        <f t="shared" si="0"/>
        <v>354050</v>
      </c>
      <c r="V25" s="306"/>
    </row>
    <row r="26" spans="1:22">
      <c r="A26" s="41">
        <v>45855</v>
      </c>
      <c r="B26" s="44">
        <v>50336</v>
      </c>
      <c r="C26" s="24" t="s">
        <v>136</v>
      </c>
      <c r="D26" s="239" t="s">
        <v>137</v>
      </c>
      <c r="E26" s="35" t="s">
        <v>138</v>
      </c>
      <c r="F26" s="27"/>
      <c r="G26" s="27"/>
      <c r="H26" s="27"/>
      <c r="I26" s="27"/>
      <c r="J26" s="27"/>
      <c r="K26" s="27"/>
      <c r="L26" s="27">
        <v>76150</v>
      </c>
      <c r="M26" s="27"/>
      <c r="N26" s="27"/>
      <c r="O26" s="27"/>
      <c r="P26" s="27"/>
      <c r="Q26" s="26"/>
      <c r="R26" s="26"/>
      <c r="S26" s="176"/>
      <c r="T26" s="118">
        <v>76150</v>
      </c>
      <c r="U26" s="177">
        <f t="shared" si="0"/>
        <v>76150</v>
      </c>
      <c r="V26" s="306"/>
    </row>
    <row r="27" spans="1:22">
      <c r="A27" s="41">
        <v>45855</v>
      </c>
      <c r="B27" s="44">
        <v>50337</v>
      </c>
      <c r="C27" s="126" t="s">
        <v>139</v>
      </c>
      <c r="D27" s="239" t="s">
        <v>140</v>
      </c>
      <c r="E27" s="238" t="s">
        <v>141</v>
      </c>
      <c r="F27" s="27"/>
      <c r="G27" s="27"/>
      <c r="H27" s="27"/>
      <c r="I27" s="27"/>
      <c r="J27" s="27"/>
      <c r="K27" s="27"/>
      <c r="L27" s="50">
        <v>203700</v>
      </c>
      <c r="M27" s="27"/>
      <c r="N27" s="27"/>
      <c r="O27" s="27"/>
      <c r="P27" s="27"/>
      <c r="Q27" s="26"/>
      <c r="R27" s="26"/>
      <c r="S27" s="176"/>
      <c r="T27" s="118">
        <v>203700</v>
      </c>
      <c r="U27" s="177">
        <f t="shared" si="0"/>
        <v>203700</v>
      </c>
      <c r="V27" s="306"/>
    </row>
    <row r="28" spans="1:22">
      <c r="A28" s="41">
        <v>45855</v>
      </c>
      <c r="B28" s="44">
        <v>50338</v>
      </c>
      <c r="C28" s="126" t="s">
        <v>142</v>
      </c>
      <c r="D28" s="239" t="s">
        <v>73</v>
      </c>
      <c r="E28" s="238" t="s">
        <v>143</v>
      </c>
      <c r="F28" s="27"/>
      <c r="G28" s="27"/>
      <c r="H28" s="27"/>
      <c r="I28" s="27"/>
      <c r="J28" s="27">
        <v>51200</v>
      </c>
      <c r="K28" s="27"/>
      <c r="L28" s="50"/>
      <c r="M28" s="27"/>
      <c r="N28" s="27"/>
      <c r="O28" s="27"/>
      <c r="P28" s="27"/>
      <c r="Q28" s="26"/>
      <c r="R28" s="26"/>
      <c r="S28" s="176"/>
      <c r="T28" s="118">
        <v>51200</v>
      </c>
      <c r="U28" s="177">
        <f t="shared" si="0"/>
        <v>51200</v>
      </c>
      <c r="V28" s="306"/>
    </row>
    <row r="29" spans="1:22">
      <c r="A29" s="41">
        <v>45855</v>
      </c>
      <c r="B29" s="44">
        <v>50339</v>
      </c>
      <c r="C29" s="126" t="s">
        <v>144</v>
      </c>
      <c r="D29" s="239" t="s">
        <v>112</v>
      </c>
      <c r="E29" s="238" t="s">
        <v>145</v>
      </c>
      <c r="F29" s="27"/>
      <c r="G29" s="27"/>
      <c r="H29" s="27"/>
      <c r="I29" s="27"/>
      <c r="J29" s="27"/>
      <c r="K29" s="27"/>
      <c r="L29" s="50"/>
      <c r="M29" s="27"/>
      <c r="N29" s="27"/>
      <c r="O29" s="27"/>
      <c r="P29" s="27">
        <v>102500</v>
      </c>
      <c r="Q29" s="26"/>
      <c r="R29" s="26"/>
      <c r="S29" s="176"/>
      <c r="T29" s="118">
        <v>102500</v>
      </c>
      <c r="U29" s="177">
        <f t="shared" si="0"/>
        <v>102500</v>
      </c>
      <c r="V29" s="154"/>
    </row>
    <row r="30" spans="1:22">
      <c r="A30" s="41">
        <v>45855</v>
      </c>
      <c r="B30" s="44">
        <v>50341</v>
      </c>
      <c r="C30" s="126" t="s">
        <v>148</v>
      </c>
      <c r="D30" s="239" t="s">
        <v>149</v>
      </c>
      <c r="E30" s="238" t="s">
        <v>150</v>
      </c>
      <c r="F30" s="27"/>
      <c r="G30" s="27"/>
      <c r="H30" s="27"/>
      <c r="I30" s="27"/>
      <c r="J30" s="27"/>
      <c r="K30" s="27"/>
      <c r="L30" s="50">
        <v>102200</v>
      </c>
      <c r="M30" s="27"/>
      <c r="N30" s="27"/>
      <c r="O30" s="27"/>
      <c r="P30" s="27"/>
      <c r="Q30" s="26"/>
      <c r="R30" s="26"/>
      <c r="S30" s="176"/>
      <c r="T30" s="118">
        <v>102200</v>
      </c>
      <c r="U30" s="177">
        <f t="shared" si="0"/>
        <v>102200</v>
      </c>
      <c r="V30" s="307"/>
    </row>
    <row r="31" spans="1:22" ht="67.5">
      <c r="A31" s="41">
        <v>45855</v>
      </c>
      <c r="B31" s="44">
        <v>50342</v>
      </c>
      <c r="C31" s="130" t="s">
        <v>151</v>
      </c>
      <c r="D31" s="239" t="s">
        <v>73</v>
      </c>
      <c r="E31" s="35" t="s">
        <v>152</v>
      </c>
      <c r="F31" s="27"/>
      <c r="G31" s="26"/>
      <c r="H31" s="27"/>
      <c r="I31" s="27">
        <v>51100</v>
      </c>
      <c r="J31" s="27"/>
      <c r="K31" s="27"/>
      <c r="L31" s="50"/>
      <c r="M31" s="27"/>
      <c r="N31" s="27"/>
      <c r="O31" s="27"/>
      <c r="P31" s="27"/>
      <c r="Q31" s="26"/>
      <c r="R31" s="26"/>
      <c r="S31" s="176"/>
      <c r="T31" s="118">
        <v>51100</v>
      </c>
      <c r="U31" s="177">
        <f t="shared" si="0"/>
        <v>51100</v>
      </c>
      <c r="V31" s="306"/>
    </row>
    <row r="32" spans="1:22">
      <c r="A32" s="41">
        <v>45855</v>
      </c>
      <c r="B32" s="44">
        <v>50343</v>
      </c>
      <c r="C32" s="24" t="s">
        <v>153</v>
      </c>
      <c r="D32" s="239" t="s">
        <v>112</v>
      </c>
      <c r="E32" s="43" t="s">
        <v>154</v>
      </c>
      <c r="F32" s="27"/>
      <c r="G32" s="26"/>
      <c r="H32" s="27">
        <v>101800</v>
      </c>
      <c r="I32" s="27"/>
      <c r="J32" s="27"/>
      <c r="K32" s="27"/>
      <c r="L32" s="27"/>
      <c r="M32" s="27"/>
      <c r="N32" s="27"/>
      <c r="O32" s="27"/>
      <c r="P32" s="27"/>
      <c r="Q32" s="26"/>
      <c r="R32" s="26"/>
      <c r="S32" s="176"/>
      <c r="T32" s="119">
        <v>101800</v>
      </c>
      <c r="U32" s="177">
        <f t="shared" si="0"/>
        <v>101800</v>
      </c>
      <c r="V32" s="151"/>
    </row>
    <row r="33" spans="1:22">
      <c r="A33" s="41">
        <v>45855</v>
      </c>
      <c r="B33" s="42">
        <v>50344</v>
      </c>
      <c r="C33" s="24" t="s">
        <v>155</v>
      </c>
      <c r="D33" s="239" t="s">
        <v>112</v>
      </c>
      <c r="E33" s="300" t="s">
        <v>156</v>
      </c>
      <c r="F33" s="157"/>
      <c r="G33" s="26"/>
      <c r="H33" s="27"/>
      <c r="I33" s="27"/>
      <c r="J33" s="27"/>
      <c r="K33" s="27"/>
      <c r="L33" s="27">
        <v>102100</v>
      </c>
      <c r="M33" s="27"/>
      <c r="N33" s="27"/>
      <c r="O33" s="27"/>
      <c r="P33" s="27"/>
      <c r="Q33" s="27"/>
      <c r="R33" s="27"/>
      <c r="S33" s="77"/>
      <c r="T33" s="27">
        <v>102100</v>
      </c>
      <c r="U33" s="177">
        <f t="shared" si="0"/>
        <v>102100</v>
      </c>
      <c r="V33" s="151"/>
    </row>
    <row r="34" spans="1:22">
      <c r="A34" s="297">
        <v>45855</v>
      </c>
      <c r="B34" s="42">
        <v>50345</v>
      </c>
      <c r="C34" s="24" t="s">
        <v>157</v>
      </c>
      <c r="D34" s="299" t="s">
        <v>158</v>
      </c>
      <c r="E34" s="134" t="s">
        <v>159</v>
      </c>
      <c r="F34" s="135"/>
      <c r="G34" s="26"/>
      <c r="H34" s="27">
        <v>25675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77"/>
      <c r="T34" s="157">
        <v>25675</v>
      </c>
      <c r="U34" s="177">
        <f t="shared" si="0"/>
        <v>25675</v>
      </c>
      <c r="V34" s="151"/>
    </row>
    <row r="35" spans="1:22" ht="40.5">
      <c r="A35" s="47">
        <v>45856</v>
      </c>
      <c r="B35" s="23">
        <v>50346</v>
      </c>
      <c r="C35" s="24" t="s">
        <v>157</v>
      </c>
      <c r="D35" s="25" t="s">
        <v>161</v>
      </c>
      <c r="E35" s="180" t="s">
        <v>162</v>
      </c>
      <c r="F35" s="135"/>
      <c r="G35" s="187"/>
      <c r="H35" s="27">
        <v>25675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77"/>
      <c r="T35" s="136">
        <v>25675</v>
      </c>
      <c r="U35" s="177">
        <f t="shared" si="0"/>
        <v>25675</v>
      </c>
      <c r="V35" s="151"/>
    </row>
    <row r="36" spans="1:22" ht="40.5">
      <c r="A36" s="47">
        <v>45856</v>
      </c>
      <c r="B36" s="23">
        <v>50347</v>
      </c>
      <c r="C36" s="30" t="s">
        <v>163</v>
      </c>
      <c r="D36" s="25" t="s">
        <v>161</v>
      </c>
      <c r="E36" s="168" t="s">
        <v>164</v>
      </c>
      <c r="F36" s="186"/>
      <c r="G36" s="188"/>
      <c r="H36" s="28"/>
      <c r="I36" s="28"/>
      <c r="J36" s="28">
        <v>51100</v>
      </c>
      <c r="K36" s="27"/>
      <c r="L36" s="27"/>
      <c r="M36" s="27"/>
      <c r="N36" s="27"/>
      <c r="O36" s="27"/>
      <c r="P36" s="27"/>
      <c r="Q36" s="27"/>
      <c r="R36" s="27"/>
      <c r="S36" s="77"/>
      <c r="T36" s="171">
        <v>51100</v>
      </c>
      <c r="U36" s="177">
        <f t="shared" si="0"/>
        <v>51100</v>
      </c>
      <c r="V36" s="151"/>
    </row>
    <row r="37" spans="1:22" ht="40.5">
      <c r="A37" s="47">
        <v>45856</v>
      </c>
      <c r="B37" s="23">
        <v>2896</v>
      </c>
      <c r="C37" s="30" t="s">
        <v>165</v>
      </c>
      <c r="D37" s="25" t="s">
        <v>161</v>
      </c>
      <c r="E37" s="168" t="s">
        <v>166</v>
      </c>
      <c r="F37" s="186">
        <v>51500</v>
      </c>
      <c r="G37" s="188">
        <v>51500</v>
      </c>
      <c r="H37" s="28">
        <v>51500</v>
      </c>
      <c r="I37" s="28"/>
      <c r="J37" s="28"/>
      <c r="K37" s="27"/>
      <c r="L37" s="28"/>
      <c r="M37" s="28"/>
      <c r="N37" s="27"/>
      <c r="O37" s="27"/>
      <c r="P37" s="27"/>
      <c r="Q37" s="27"/>
      <c r="R37" s="27"/>
      <c r="S37" s="77"/>
      <c r="T37" s="171">
        <v>51500</v>
      </c>
      <c r="U37" s="177">
        <f t="shared" si="0"/>
        <v>51500</v>
      </c>
      <c r="V37" s="151"/>
    </row>
    <row r="38" spans="1:22" ht="67.5">
      <c r="A38" s="47">
        <v>45856</v>
      </c>
      <c r="B38" s="23">
        <v>50348</v>
      </c>
      <c r="C38" s="249" t="s">
        <v>167</v>
      </c>
      <c r="D38" s="25" t="s">
        <v>168</v>
      </c>
      <c r="E38" s="168" t="s">
        <v>169</v>
      </c>
      <c r="F38" s="186">
        <v>25625</v>
      </c>
      <c r="G38" s="188">
        <v>25625</v>
      </c>
      <c r="H38" s="28">
        <v>25625</v>
      </c>
      <c r="I38" s="28"/>
      <c r="J38" s="28"/>
      <c r="K38" s="27"/>
      <c r="L38" s="28"/>
      <c r="M38" s="28"/>
      <c r="N38" s="27"/>
      <c r="O38" s="27"/>
      <c r="P38" s="27"/>
      <c r="Q38" s="27"/>
      <c r="R38" s="27"/>
      <c r="S38" s="77"/>
      <c r="T38" s="171">
        <v>25625</v>
      </c>
      <c r="U38" s="177">
        <f t="shared" si="0"/>
        <v>25625</v>
      </c>
      <c r="V38" s="151"/>
    </row>
    <row r="39" spans="1:22" ht="67.5">
      <c r="A39" s="47">
        <v>45856</v>
      </c>
      <c r="B39" s="23">
        <v>50350</v>
      </c>
      <c r="C39" s="249" t="s">
        <v>170</v>
      </c>
      <c r="D39" s="25" t="s">
        <v>171</v>
      </c>
      <c r="E39" s="168" t="s">
        <v>172</v>
      </c>
      <c r="F39" s="186">
        <v>3600</v>
      </c>
      <c r="G39" s="188">
        <v>3600</v>
      </c>
      <c r="H39" s="28">
        <v>3600</v>
      </c>
      <c r="I39" s="28"/>
      <c r="J39" s="28"/>
      <c r="K39" s="27"/>
      <c r="L39" s="32"/>
      <c r="M39" s="32"/>
      <c r="N39" s="27"/>
      <c r="O39" s="27"/>
      <c r="P39" s="27"/>
      <c r="Q39" s="27"/>
      <c r="R39" s="49">
        <v>3600</v>
      </c>
      <c r="S39" s="77"/>
      <c r="T39" s="171"/>
      <c r="U39" s="177">
        <f t="shared" si="0"/>
        <v>3600</v>
      </c>
      <c r="V39" s="151"/>
    </row>
    <row r="40" spans="1:22" ht="67.5">
      <c r="A40" s="47">
        <v>45856</v>
      </c>
      <c r="B40" s="23">
        <v>50351</v>
      </c>
      <c r="C40" s="249" t="s">
        <v>170</v>
      </c>
      <c r="D40" s="25" t="s">
        <v>161</v>
      </c>
      <c r="E40" s="168" t="s">
        <v>173</v>
      </c>
      <c r="F40" s="186">
        <v>51300</v>
      </c>
      <c r="G40" s="188">
        <v>51300</v>
      </c>
      <c r="H40" s="28">
        <v>51300</v>
      </c>
      <c r="I40" s="28"/>
      <c r="J40" s="28"/>
      <c r="K40" s="27"/>
      <c r="L40" s="27"/>
      <c r="M40" s="27"/>
      <c r="N40" s="27"/>
      <c r="O40" s="27"/>
      <c r="P40" s="27"/>
      <c r="Q40" s="27"/>
      <c r="R40" s="49"/>
      <c r="S40" s="77"/>
      <c r="T40" s="171">
        <v>51300</v>
      </c>
      <c r="U40" s="177">
        <f t="shared" si="0"/>
        <v>51300</v>
      </c>
      <c r="V40" s="151"/>
    </row>
    <row r="41" spans="1:22" ht="40.5">
      <c r="A41" s="47">
        <v>45856</v>
      </c>
      <c r="B41" s="23">
        <v>50352</v>
      </c>
      <c r="C41" s="249" t="s">
        <v>87</v>
      </c>
      <c r="D41" s="25" t="s">
        <v>174</v>
      </c>
      <c r="E41" s="168" t="s">
        <v>175</v>
      </c>
      <c r="F41" s="186">
        <v>50450</v>
      </c>
      <c r="G41" s="188">
        <v>50450</v>
      </c>
      <c r="H41" s="28">
        <v>50450</v>
      </c>
      <c r="I41" s="28"/>
      <c r="J41" s="28"/>
      <c r="K41" s="27"/>
      <c r="L41" s="27"/>
      <c r="M41" s="27"/>
      <c r="N41" s="27"/>
      <c r="O41" s="27"/>
      <c r="P41" s="27"/>
      <c r="Q41" s="27"/>
      <c r="R41" s="49"/>
      <c r="S41" s="77"/>
      <c r="T41" s="171">
        <v>50450</v>
      </c>
      <c r="U41" s="177">
        <f t="shared" si="0"/>
        <v>50450</v>
      </c>
      <c r="V41" s="151"/>
    </row>
    <row r="42" spans="1:22" ht="67.5">
      <c r="A42" s="47">
        <v>45856</v>
      </c>
      <c r="B42" s="23">
        <v>50353</v>
      </c>
      <c r="C42" s="249" t="s">
        <v>176</v>
      </c>
      <c r="D42" s="25" t="s">
        <v>177</v>
      </c>
      <c r="E42" s="168" t="s">
        <v>178</v>
      </c>
      <c r="F42" s="186">
        <v>101300</v>
      </c>
      <c r="G42" s="188">
        <v>101300</v>
      </c>
      <c r="H42" s="28">
        <v>101300</v>
      </c>
      <c r="I42" s="28"/>
      <c r="J42" s="28"/>
      <c r="K42" s="27"/>
      <c r="L42" s="27"/>
      <c r="M42" s="27"/>
      <c r="N42" s="27"/>
      <c r="O42" s="27"/>
      <c r="P42" s="27"/>
      <c r="Q42" s="27"/>
      <c r="R42" s="49"/>
      <c r="S42" s="77"/>
      <c r="T42" s="171">
        <v>101300</v>
      </c>
      <c r="U42" s="177">
        <f t="shared" si="0"/>
        <v>101300</v>
      </c>
      <c r="V42" s="151"/>
    </row>
    <row r="43" spans="1:22" ht="67.5">
      <c r="A43" s="47">
        <v>45856</v>
      </c>
      <c r="B43" s="23">
        <v>50355</v>
      </c>
      <c r="C43" s="45" t="s">
        <v>32</v>
      </c>
      <c r="D43" s="25" t="s">
        <v>180</v>
      </c>
      <c r="E43" s="182" t="s">
        <v>181</v>
      </c>
      <c r="F43" s="171"/>
      <c r="G43" s="187"/>
      <c r="H43" s="32"/>
      <c r="I43" s="32"/>
      <c r="J43" s="32"/>
      <c r="K43" s="27"/>
      <c r="L43" s="27"/>
      <c r="M43" s="32">
        <v>27500</v>
      </c>
      <c r="N43" s="27"/>
      <c r="O43" s="27"/>
      <c r="P43" s="27"/>
      <c r="Q43" s="27"/>
      <c r="R43" s="33"/>
      <c r="S43" s="77"/>
      <c r="T43" s="171">
        <v>27500</v>
      </c>
      <c r="U43" s="177">
        <f t="shared" si="0"/>
        <v>27500</v>
      </c>
      <c r="V43" s="308"/>
    </row>
    <row r="44" spans="1:22" ht="40.5">
      <c r="A44" s="47">
        <v>45856</v>
      </c>
      <c r="B44" s="23">
        <v>50356</v>
      </c>
      <c r="C44" s="45" t="s">
        <v>182</v>
      </c>
      <c r="D44" s="25" t="s">
        <v>161</v>
      </c>
      <c r="E44" s="182" t="s">
        <v>115</v>
      </c>
      <c r="F44" s="171"/>
      <c r="G44" s="187"/>
      <c r="H44" s="32">
        <v>51200</v>
      </c>
      <c r="I44" s="32"/>
      <c r="J44" s="32"/>
      <c r="K44" s="27"/>
      <c r="L44" s="27"/>
      <c r="M44" s="27"/>
      <c r="N44" s="27"/>
      <c r="O44" s="27"/>
      <c r="P44" s="27"/>
      <c r="Q44" s="27"/>
      <c r="R44" s="33"/>
      <c r="S44" s="77"/>
      <c r="T44" s="171">
        <v>51200</v>
      </c>
      <c r="U44" s="177">
        <f t="shared" si="0"/>
        <v>51200</v>
      </c>
      <c r="V44" s="151"/>
    </row>
    <row r="45" spans="1:22" ht="40.5">
      <c r="A45" s="47">
        <v>45856</v>
      </c>
      <c r="B45" s="23">
        <v>50358</v>
      </c>
      <c r="C45" s="24" t="s">
        <v>183</v>
      </c>
      <c r="D45" s="25" t="s">
        <v>184</v>
      </c>
      <c r="E45" s="134" t="s">
        <v>185</v>
      </c>
      <c r="F45" s="135"/>
      <c r="G45" s="26"/>
      <c r="H45" s="27"/>
      <c r="I45" s="27"/>
      <c r="J45" s="27"/>
      <c r="K45" s="27"/>
      <c r="L45" s="27">
        <v>76575</v>
      </c>
      <c r="M45" s="27"/>
      <c r="N45" s="27"/>
      <c r="O45" s="27"/>
      <c r="P45" s="27"/>
      <c r="Q45" s="27"/>
      <c r="R45" s="26"/>
      <c r="S45" s="77"/>
      <c r="T45" s="173">
        <v>76575</v>
      </c>
      <c r="U45" s="177">
        <f t="shared" si="0"/>
        <v>76575</v>
      </c>
      <c r="V45" s="151"/>
    </row>
    <row r="46" spans="1:22" ht="67.5">
      <c r="A46" s="47">
        <v>45856</v>
      </c>
      <c r="B46" s="23">
        <v>50359</v>
      </c>
      <c r="C46" s="130" t="s">
        <v>186</v>
      </c>
      <c r="D46" s="25" t="s">
        <v>161</v>
      </c>
      <c r="E46" s="134" t="s">
        <v>187</v>
      </c>
      <c r="F46" s="135"/>
      <c r="G46" s="26"/>
      <c r="H46" s="27">
        <v>50900</v>
      </c>
      <c r="I46" s="27"/>
      <c r="J46" s="27"/>
      <c r="K46" s="27"/>
      <c r="L46" s="27"/>
      <c r="M46" s="27"/>
      <c r="N46" s="27"/>
      <c r="O46" s="27"/>
      <c r="P46" s="27"/>
      <c r="Q46" s="27"/>
      <c r="R46" s="26"/>
      <c r="S46" s="77"/>
      <c r="T46" s="136">
        <v>50900</v>
      </c>
      <c r="U46" s="177">
        <f t="shared" si="0"/>
        <v>50900</v>
      </c>
      <c r="V46" s="151"/>
    </row>
    <row r="47" spans="1:22" ht="40.5">
      <c r="A47" s="47">
        <v>45856</v>
      </c>
      <c r="B47" s="23">
        <v>50360</v>
      </c>
      <c r="C47" s="24" t="s">
        <v>188</v>
      </c>
      <c r="D47" s="25" t="s">
        <v>189</v>
      </c>
      <c r="E47" s="134" t="s">
        <v>190</v>
      </c>
      <c r="F47" s="135"/>
      <c r="G47" s="26"/>
      <c r="H47" s="27"/>
      <c r="I47" s="27"/>
      <c r="J47" s="27"/>
      <c r="K47" s="27"/>
      <c r="L47" s="27">
        <v>152800</v>
      </c>
      <c r="M47" s="27"/>
      <c r="N47" s="27"/>
      <c r="O47" s="27"/>
      <c r="P47" s="27"/>
      <c r="Q47" s="27"/>
      <c r="R47" s="26"/>
      <c r="S47" s="77"/>
      <c r="T47" s="136">
        <v>152800</v>
      </c>
      <c r="U47" s="177">
        <f t="shared" si="0"/>
        <v>152800</v>
      </c>
      <c r="V47" s="306"/>
    </row>
    <row r="48" spans="1:22" ht="40.5">
      <c r="A48" s="47">
        <v>45856</v>
      </c>
      <c r="B48" s="23">
        <v>50361</v>
      </c>
      <c r="C48" s="24" t="s">
        <v>191</v>
      </c>
      <c r="D48" s="25" t="s">
        <v>192</v>
      </c>
      <c r="E48" s="189" t="s">
        <v>193</v>
      </c>
      <c r="F48" s="185"/>
      <c r="G48" s="26"/>
      <c r="H48" s="27"/>
      <c r="I48" s="27"/>
      <c r="J48" s="27">
        <v>204400</v>
      </c>
      <c r="K48" s="27"/>
      <c r="L48" s="27"/>
      <c r="M48" s="27"/>
      <c r="N48" s="27"/>
      <c r="O48" s="27"/>
      <c r="P48" s="27"/>
      <c r="Q48" s="27"/>
      <c r="R48" s="26"/>
      <c r="S48" s="77"/>
      <c r="T48" s="136">
        <v>204400</v>
      </c>
      <c r="U48" s="177">
        <f t="shared" si="0"/>
        <v>204400</v>
      </c>
      <c r="V48" s="194"/>
    </row>
    <row r="49" spans="1:22" ht="40.5">
      <c r="A49" s="47">
        <v>45856</v>
      </c>
      <c r="B49" s="23">
        <v>50362</v>
      </c>
      <c r="C49" s="24" t="s">
        <v>194</v>
      </c>
      <c r="D49" s="25" t="s">
        <v>195</v>
      </c>
      <c r="E49" s="134" t="s">
        <v>196</v>
      </c>
      <c r="F49" s="135"/>
      <c r="G49" s="26"/>
      <c r="H49" s="27">
        <v>50700</v>
      </c>
      <c r="I49" s="27"/>
      <c r="J49" s="27"/>
      <c r="K49" s="27"/>
      <c r="L49" s="27"/>
      <c r="M49" s="27"/>
      <c r="N49" s="27"/>
      <c r="O49" s="27"/>
      <c r="P49" s="27"/>
      <c r="Q49" s="27"/>
      <c r="R49" s="26"/>
      <c r="S49" s="77"/>
      <c r="T49" s="136">
        <v>50700</v>
      </c>
      <c r="U49" s="177">
        <f t="shared" si="0"/>
        <v>50700</v>
      </c>
      <c r="V49" s="151"/>
    </row>
    <row r="50" spans="1:22" ht="40.5">
      <c r="A50" s="47">
        <v>45856</v>
      </c>
      <c r="B50" s="23">
        <v>2897</v>
      </c>
      <c r="C50" s="24" t="s">
        <v>197</v>
      </c>
      <c r="D50" s="25" t="s">
        <v>161</v>
      </c>
      <c r="E50" s="134" t="s">
        <v>198</v>
      </c>
      <c r="F50" s="135">
        <v>51400</v>
      </c>
      <c r="G50" s="26">
        <v>51400</v>
      </c>
      <c r="H50" s="27"/>
      <c r="I50" s="27"/>
      <c r="J50" s="27"/>
      <c r="K50" s="27"/>
      <c r="L50" s="27"/>
      <c r="M50" s="27"/>
      <c r="N50" s="27"/>
      <c r="O50" s="27"/>
      <c r="P50" s="27">
        <v>51400</v>
      </c>
      <c r="Q50" s="27"/>
      <c r="R50" s="26"/>
      <c r="S50" s="77"/>
      <c r="T50" s="136">
        <v>51400</v>
      </c>
      <c r="U50" s="177">
        <f t="shared" si="0"/>
        <v>51400</v>
      </c>
      <c r="V50" s="151"/>
    </row>
    <row r="51" spans="1:22" ht="40.5">
      <c r="A51" s="47">
        <v>45856</v>
      </c>
      <c r="B51" s="23">
        <v>50363</v>
      </c>
      <c r="C51" s="24" t="s">
        <v>202</v>
      </c>
      <c r="D51" s="25" t="s">
        <v>161</v>
      </c>
      <c r="E51" s="134" t="s">
        <v>203</v>
      </c>
      <c r="F51" s="135"/>
      <c r="G51" s="26"/>
      <c r="H51" s="27"/>
      <c r="I51" s="27"/>
      <c r="J51" s="27"/>
      <c r="K51" s="27"/>
      <c r="L51" s="27">
        <v>51300</v>
      </c>
      <c r="M51" s="27"/>
      <c r="N51" s="27"/>
      <c r="O51" s="27"/>
      <c r="P51" s="27"/>
      <c r="Q51" s="27"/>
      <c r="R51" s="26"/>
      <c r="S51" s="77"/>
      <c r="T51" s="136">
        <v>51300</v>
      </c>
      <c r="U51" s="177">
        <f t="shared" si="0"/>
        <v>51300</v>
      </c>
      <c r="V51" s="151"/>
    </row>
    <row r="52" spans="1:22" ht="81">
      <c r="A52" s="47">
        <v>45856</v>
      </c>
      <c r="B52" s="23">
        <v>50367</v>
      </c>
      <c r="C52" s="130" t="s">
        <v>207</v>
      </c>
      <c r="D52" s="25" t="s">
        <v>161</v>
      </c>
      <c r="E52" s="134" t="s">
        <v>208</v>
      </c>
      <c r="F52" s="135"/>
      <c r="G52" s="26"/>
      <c r="H52" s="27"/>
      <c r="I52" s="27">
        <v>51300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178">
        <v>51300</v>
      </c>
      <c r="U52" s="177">
        <f t="shared" si="0"/>
        <v>51300</v>
      </c>
      <c r="V52" s="151"/>
    </row>
    <row r="53" spans="1:22" ht="40.5">
      <c r="A53" s="47">
        <v>45856</v>
      </c>
      <c r="B53" s="23">
        <v>50372</v>
      </c>
      <c r="C53" s="24" t="s">
        <v>75</v>
      </c>
      <c r="D53" s="25" t="s">
        <v>161</v>
      </c>
      <c r="E53" s="134" t="s">
        <v>209</v>
      </c>
      <c r="F53" s="135"/>
      <c r="G53" s="26"/>
      <c r="H53" s="27">
        <v>50000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54">
        <v>50000</v>
      </c>
      <c r="U53" s="177">
        <f t="shared" si="0"/>
        <v>50000</v>
      </c>
      <c r="V53" s="151"/>
    </row>
    <row r="54" spans="1:22" ht="40.5">
      <c r="A54" s="47">
        <v>45856</v>
      </c>
      <c r="B54" s="23">
        <v>50372</v>
      </c>
      <c r="C54" s="24" t="s">
        <v>75</v>
      </c>
      <c r="D54" s="25" t="s">
        <v>161</v>
      </c>
      <c r="E54" s="167" t="s">
        <v>209</v>
      </c>
      <c r="F54" s="135"/>
      <c r="G54" s="26"/>
      <c r="H54" s="27"/>
      <c r="I54" s="27"/>
      <c r="J54" s="27"/>
      <c r="K54" s="27"/>
      <c r="L54" s="77"/>
      <c r="M54" s="27"/>
      <c r="N54" s="32"/>
      <c r="O54" s="27">
        <v>1150</v>
      </c>
      <c r="P54" s="27"/>
      <c r="Q54" s="27"/>
      <c r="R54" s="27"/>
      <c r="S54" s="27"/>
      <c r="T54" s="54">
        <v>1150</v>
      </c>
      <c r="U54" s="177">
        <f t="shared" si="0"/>
        <v>1150</v>
      </c>
      <c r="V54" s="151"/>
    </row>
    <row r="55" spans="1:22" ht="40.5">
      <c r="A55" s="47">
        <v>45856</v>
      </c>
      <c r="B55" s="23">
        <v>50373</v>
      </c>
      <c r="C55" s="24" t="s">
        <v>210</v>
      </c>
      <c r="D55" s="25" t="s">
        <v>161</v>
      </c>
      <c r="E55" s="134" t="s">
        <v>211</v>
      </c>
      <c r="F55" s="135"/>
      <c r="G55" s="26"/>
      <c r="H55" s="27"/>
      <c r="I55" s="27"/>
      <c r="J55" s="27"/>
      <c r="K55" s="27"/>
      <c r="L55" s="27">
        <v>51250</v>
      </c>
      <c r="M55" s="27"/>
      <c r="N55" s="27"/>
      <c r="O55" s="27"/>
      <c r="P55" s="27"/>
      <c r="Q55" s="27"/>
      <c r="R55" s="27"/>
      <c r="S55" s="27"/>
      <c r="T55" s="54">
        <v>51250</v>
      </c>
      <c r="U55" s="177">
        <f t="shared" si="0"/>
        <v>51250</v>
      </c>
      <c r="V55" s="151"/>
    </row>
    <row r="56" spans="1:22" ht="40.5">
      <c r="A56" s="47">
        <v>45856</v>
      </c>
      <c r="B56" s="23">
        <v>50378</v>
      </c>
      <c r="C56" s="24" t="s">
        <v>214</v>
      </c>
      <c r="D56" s="25" t="s">
        <v>215</v>
      </c>
      <c r="E56" s="134" t="s">
        <v>216</v>
      </c>
      <c r="F56" s="135"/>
      <c r="G56" s="26"/>
      <c r="H56" s="27"/>
      <c r="I56" s="27"/>
      <c r="J56" s="27"/>
      <c r="K56" s="27"/>
      <c r="L56" s="27">
        <v>153250</v>
      </c>
      <c r="M56" s="27"/>
      <c r="N56" s="27"/>
      <c r="O56" s="27"/>
      <c r="P56" s="27"/>
      <c r="Q56" s="27"/>
      <c r="R56" s="27"/>
      <c r="S56" s="27"/>
      <c r="T56" s="54">
        <v>153250</v>
      </c>
      <c r="U56" s="177">
        <f t="shared" si="0"/>
        <v>153250</v>
      </c>
      <c r="V56" s="151"/>
    </row>
    <row r="57" spans="1:22" ht="40.5">
      <c r="A57" s="47">
        <v>45856</v>
      </c>
      <c r="B57" s="23">
        <v>50380</v>
      </c>
      <c r="C57" s="24" t="s">
        <v>155</v>
      </c>
      <c r="D57" s="25" t="s">
        <v>161</v>
      </c>
      <c r="E57" s="134" t="s">
        <v>217</v>
      </c>
      <c r="F57" s="135"/>
      <c r="G57" s="26"/>
      <c r="H57" s="27"/>
      <c r="I57" s="27"/>
      <c r="J57" s="27"/>
      <c r="K57" s="27"/>
      <c r="L57" s="27">
        <v>51050</v>
      </c>
      <c r="M57" s="27"/>
      <c r="N57" s="27"/>
      <c r="O57" s="27"/>
      <c r="P57" s="27"/>
      <c r="Q57" s="27"/>
      <c r="R57" s="27"/>
      <c r="S57" s="27"/>
      <c r="T57" s="54">
        <v>51050</v>
      </c>
      <c r="U57" s="177">
        <f t="shared" si="0"/>
        <v>51050</v>
      </c>
      <c r="V57" s="151"/>
    </row>
    <row r="58" spans="1:22" ht="40.5">
      <c r="A58" s="47">
        <v>45856</v>
      </c>
      <c r="B58" s="23">
        <v>50382</v>
      </c>
      <c r="C58" s="24" t="s">
        <v>220</v>
      </c>
      <c r="D58" s="25" t="s">
        <v>221</v>
      </c>
      <c r="E58" s="134" t="s">
        <v>222</v>
      </c>
      <c r="F58" s="135"/>
      <c r="G58" s="26"/>
      <c r="H58" s="27"/>
      <c r="I58" s="27"/>
      <c r="J58" s="27"/>
      <c r="K58" s="171"/>
      <c r="L58" s="27">
        <v>25525</v>
      </c>
      <c r="M58" s="171"/>
      <c r="N58" s="171"/>
      <c r="O58" s="171"/>
      <c r="P58" s="171"/>
      <c r="Q58" s="171"/>
      <c r="R58" s="171"/>
      <c r="S58" s="171"/>
      <c r="T58" s="54">
        <v>25525</v>
      </c>
      <c r="U58" s="163">
        <f>R58+T58</f>
        <v>25525</v>
      </c>
      <c r="V58" s="150"/>
    </row>
    <row r="59" spans="1:22" ht="40.5">
      <c r="A59" s="47">
        <v>45856</v>
      </c>
      <c r="B59" s="23">
        <v>50384</v>
      </c>
      <c r="C59" s="24" t="s">
        <v>153</v>
      </c>
      <c r="D59" s="25" t="s">
        <v>223</v>
      </c>
      <c r="E59" s="134" t="s">
        <v>224</v>
      </c>
      <c r="F59" s="135"/>
      <c r="G59" s="26"/>
      <c r="H59" s="27">
        <v>101600</v>
      </c>
      <c r="I59" s="27"/>
      <c r="J59" s="27"/>
      <c r="K59" s="193"/>
      <c r="L59" s="27"/>
      <c r="M59" s="193"/>
      <c r="N59" s="193"/>
      <c r="O59" s="193"/>
      <c r="P59" s="193"/>
      <c r="Q59" s="193"/>
      <c r="R59" s="193"/>
      <c r="S59" s="193"/>
      <c r="T59" s="54">
        <v>101600</v>
      </c>
      <c r="U59" s="177">
        <f t="shared" ref="U59:U73" si="1">R59+T59</f>
        <v>101600</v>
      </c>
      <c r="V59" s="308"/>
    </row>
    <row r="60" spans="1:22" ht="40.5">
      <c r="A60" s="47">
        <v>45856</v>
      </c>
      <c r="B60" s="23">
        <v>50389</v>
      </c>
      <c r="C60" s="30" t="s">
        <v>225</v>
      </c>
      <c r="D60" s="25" t="s">
        <v>226</v>
      </c>
      <c r="E60" s="134" t="s">
        <v>227</v>
      </c>
      <c r="F60" s="135"/>
      <c r="G60" s="26"/>
      <c r="H60" s="27"/>
      <c r="I60" s="27"/>
      <c r="J60" s="27"/>
      <c r="K60" s="27"/>
      <c r="L60" s="27">
        <v>51350</v>
      </c>
      <c r="M60" s="27"/>
      <c r="N60" s="27"/>
      <c r="O60" s="27"/>
      <c r="P60" s="28"/>
      <c r="Q60" s="27"/>
      <c r="R60" s="27"/>
      <c r="S60" s="27"/>
      <c r="T60" s="26">
        <v>51350</v>
      </c>
      <c r="U60" s="177">
        <f t="shared" si="1"/>
        <v>51350</v>
      </c>
      <c r="V60" s="151"/>
    </row>
    <row r="61" spans="1:22" ht="40.5">
      <c r="A61" s="270" t="s">
        <v>229</v>
      </c>
      <c r="B61" s="271">
        <v>50368</v>
      </c>
      <c r="C61" s="272" t="s">
        <v>230</v>
      </c>
      <c r="D61" s="301" t="s">
        <v>231</v>
      </c>
      <c r="E61" s="273" t="s">
        <v>232</v>
      </c>
      <c r="F61" s="304">
        <v>76700</v>
      </c>
      <c r="G61" s="274">
        <v>76700</v>
      </c>
      <c r="H61" s="27"/>
      <c r="I61" s="27"/>
      <c r="J61" s="27"/>
      <c r="K61" s="27"/>
      <c r="L61" s="27"/>
      <c r="M61" s="27"/>
      <c r="N61" s="27"/>
      <c r="O61" s="27"/>
      <c r="P61" s="275">
        <v>76700</v>
      </c>
      <c r="Q61" s="27"/>
      <c r="R61" s="27"/>
      <c r="S61" s="27"/>
      <c r="T61" s="279">
        <v>76700</v>
      </c>
      <c r="U61" s="177">
        <f t="shared" si="1"/>
        <v>76700</v>
      </c>
      <c r="V61" s="306"/>
    </row>
    <row r="62" spans="1:22" ht="40.5">
      <c r="A62" s="47">
        <v>45857</v>
      </c>
      <c r="B62" s="262">
        <v>50369</v>
      </c>
      <c r="C62" s="263" t="s">
        <v>233</v>
      </c>
      <c r="D62" s="301" t="s">
        <v>73</v>
      </c>
      <c r="E62" s="264" t="s">
        <v>234</v>
      </c>
      <c r="F62" s="135">
        <v>51300</v>
      </c>
      <c r="G62" s="303">
        <v>51300</v>
      </c>
      <c r="H62" s="28"/>
      <c r="I62" s="27"/>
      <c r="J62" s="27"/>
      <c r="K62" s="28"/>
      <c r="L62" s="27"/>
      <c r="M62" s="27"/>
      <c r="N62" s="27"/>
      <c r="O62" s="27"/>
      <c r="P62" s="193">
        <v>51300</v>
      </c>
      <c r="Q62" s="27"/>
      <c r="R62" s="27"/>
      <c r="S62" s="27"/>
      <c r="T62" s="280">
        <v>51300</v>
      </c>
      <c r="U62" s="177">
        <f t="shared" si="1"/>
        <v>51300</v>
      </c>
      <c r="V62" s="194"/>
    </row>
    <row r="63" spans="1:22" ht="40.5">
      <c r="A63" s="47">
        <v>45857</v>
      </c>
      <c r="B63" s="271">
        <v>50370</v>
      </c>
      <c r="C63" s="272" t="s">
        <v>235</v>
      </c>
      <c r="D63" s="301" t="s">
        <v>73</v>
      </c>
      <c r="E63" s="302" t="s">
        <v>236</v>
      </c>
      <c r="F63" s="274">
        <v>51300</v>
      </c>
      <c r="G63" s="303">
        <v>51300</v>
      </c>
      <c r="H63" s="32"/>
      <c r="I63" s="27"/>
      <c r="J63" s="27"/>
      <c r="K63" s="32"/>
      <c r="L63" s="27"/>
      <c r="M63" s="27"/>
      <c r="N63" s="27"/>
      <c r="O63" s="27"/>
      <c r="P63" s="275">
        <v>51300</v>
      </c>
      <c r="Q63" s="27"/>
      <c r="R63" s="27"/>
      <c r="S63" s="27"/>
      <c r="T63" s="279">
        <v>51300</v>
      </c>
      <c r="U63" s="177">
        <f t="shared" si="1"/>
        <v>51300</v>
      </c>
      <c r="V63" s="151"/>
    </row>
    <row r="64" spans="1:22" ht="40.5">
      <c r="A64" s="47">
        <v>45857</v>
      </c>
      <c r="B64" s="23">
        <v>50394</v>
      </c>
      <c r="C64" s="24" t="s">
        <v>237</v>
      </c>
      <c r="D64" s="301" t="s">
        <v>238</v>
      </c>
      <c r="E64" s="88" t="s">
        <v>239</v>
      </c>
      <c r="F64" s="135"/>
      <c r="G64" s="26"/>
      <c r="H64" s="27"/>
      <c r="I64" s="27"/>
      <c r="J64" s="27"/>
      <c r="K64" s="27"/>
      <c r="L64" s="27"/>
      <c r="M64" s="27"/>
      <c r="N64" s="27"/>
      <c r="O64" s="27"/>
      <c r="P64" s="27">
        <v>37300</v>
      </c>
      <c r="Q64" s="27"/>
      <c r="R64" s="27"/>
      <c r="S64" s="27"/>
      <c r="T64" s="59">
        <v>37300</v>
      </c>
      <c r="U64" s="177">
        <f t="shared" si="1"/>
        <v>37300</v>
      </c>
      <c r="V64" s="151"/>
    </row>
    <row r="65" spans="1:22" ht="81">
      <c r="A65" s="47">
        <v>45859</v>
      </c>
      <c r="B65" s="23">
        <v>308854</v>
      </c>
      <c r="C65" s="130" t="s">
        <v>243</v>
      </c>
      <c r="D65" s="126" t="s">
        <v>161</v>
      </c>
      <c r="E65" s="180" t="s">
        <v>244</v>
      </c>
      <c r="F65" s="135">
        <v>50950</v>
      </c>
      <c r="G65" s="26">
        <v>50950</v>
      </c>
      <c r="H65" s="27"/>
      <c r="I65" s="27"/>
      <c r="J65" s="27"/>
      <c r="K65" s="27"/>
      <c r="L65" s="27">
        <v>50950</v>
      </c>
      <c r="M65" s="27"/>
      <c r="N65" s="27"/>
      <c r="O65" s="27"/>
      <c r="P65" s="27"/>
      <c r="Q65" s="27"/>
      <c r="R65" s="27"/>
      <c r="S65" s="27"/>
      <c r="T65" s="54">
        <v>50950</v>
      </c>
      <c r="U65" s="177">
        <f t="shared" si="1"/>
        <v>50950</v>
      </c>
      <c r="V65" s="154"/>
    </row>
    <row r="66" spans="1:22" ht="27">
      <c r="A66" s="47">
        <v>45859</v>
      </c>
      <c r="B66" s="29">
        <v>50375</v>
      </c>
      <c r="C66" s="249" t="s">
        <v>32</v>
      </c>
      <c r="D66" s="126" t="s">
        <v>250</v>
      </c>
      <c r="E66" s="281" t="s">
        <v>181</v>
      </c>
      <c r="F66" s="282"/>
      <c r="G66" s="181"/>
      <c r="H66" s="28"/>
      <c r="I66" s="27"/>
      <c r="J66" s="27"/>
      <c r="K66" s="27"/>
      <c r="L66" s="28"/>
      <c r="M66" s="170">
        <v>119300</v>
      </c>
      <c r="N66" s="27"/>
      <c r="O66" s="27"/>
      <c r="P66" s="27"/>
      <c r="Q66" s="27"/>
      <c r="R66" s="27"/>
      <c r="S66" s="27"/>
      <c r="T66" s="54">
        <v>119300</v>
      </c>
      <c r="U66" s="177">
        <f t="shared" si="1"/>
        <v>119300</v>
      </c>
      <c r="V66" s="151"/>
    </row>
    <row r="67" spans="1:22" ht="27">
      <c r="A67" s="47">
        <v>45859</v>
      </c>
      <c r="B67" s="29">
        <v>50376</v>
      </c>
      <c r="C67" s="249" t="s">
        <v>32</v>
      </c>
      <c r="D67" s="126" t="s">
        <v>251</v>
      </c>
      <c r="E67" s="281" t="s">
        <v>252</v>
      </c>
      <c r="F67" s="282"/>
      <c r="G67" s="181"/>
      <c r="H67" s="28"/>
      <c r="I67" s="27"/>
      <c r="J67" s="27"/>
      <c r="K67" s="27"/>
      <c r="L67" s="28"/>
      <c r="M67" s="28">
        <v>80700</v>
      </c>
      <c r="N67" s="27"/>
      <c r="O67" s="27"/>
      <c r="P67" s="27"/>
      <c r="Q67" s="27"/>
      <c r="R67" s="27"/>
      <c r="S67" s="27"/>
      <c r="T67" s="54">
        <v>80700</v>
      </c>
      <c r="U67" s="177">
        <f t="shared" si="1"/>
        <v>80700</v>
      </c>
      <c r="V67" s="151"/>
    </row>
    <row r="68" spans="1:22" ht="40.5">
      <c r="A68" s="47">
        <v>45859</v>
      </c>
      <c r="B68" s="23">
        <v>50380</v>
      </c>
      <c r="C68" s="24" t="s">
        <v>155</v>
      </c>
      <c r="D68" s="25" t="s">
        <v>161</v>
      </c>
      <c r="E68" s="134" t="s">
        <v>217</v>
      </c>
      <c r="F68" s="135"/>
      <c r="G68" s="26"/>
      <c r="H68" s="27"/>
      <c r="I68" s="27"/>
      <c r="J68" s="27"/>
      <c r="K68" s="27"/>
      <c r="L68" s="27">
        <v>51050</v>
      </c>
      <c r="M68" s="27"/>
      <c r="N68" s="27"/>
      <c r="O68" s="27"/>
      <c r="P68" s="27"/>
      <c r="Q68" s="27"/>
      <c r="R68" s="27"/>
      <c r="S68" s="27"/>
      <c r="T68" s="54">
        <v>51050</v>
      </c>
      <c r="U68" s="177">
        <f t="shared" si="1"/>
        <v>51050</v>
      </c>
      <c r="V68" s="306"/>
    </row>
    <row r="69" spans="1:22" ht="40.5">
      <c r="A69" s="47">
        <v>45859</v>
      </c>
      <c r="B69" s="23">
        <v>50382</v>
      </c>
      <c r="C69" s="24" t="s">
        <v>220</v>
      </c>
      <c r="D69" s="25" t="s">
        <v>256</v>
      </c>
      <c r="E69" s="134" t="s">
        <v>222</v>
      </c>
      <c r="F69" s="135"/>
      <c r="G69" s="26"/>
      <c r="H69" s="27"/>
      <c r="I69" s="27"/>
      <c r="J69" s="27"/>
      <c r="K69" s="27"/>
      <c r="L69" s="27">
        <v>25525</v>
      </c>
      <c r="M69" s="257"/>
      <c r="N69" s="27"/>
      <c r="O69" s="27"/>
      <c r="P69" s="27"/>
      <c r="Q69" s="27"/>
      <c r="R69" s="27"/>
      <c r="S69" s="27"/>
      <c r="T69" s="54">
        <v>25525</v>
      </c>
      <c r="U69" s="191">
        <f t="shared" si="1"/>
        <v>25525</v>
      </c>
      <c r="V69" s="154"/>
    </row>
    <row r="70" spans="1:22" ht="40.5">
      <c r="A70" s="47">
        <v>45859</v>
      </c>
      <c r="B70" s="23">
        <v>50384</v>
      </c>
      <c r="C70" s="24" t="s">
        <v>153</v>
      </c>
      <c r="D70" s="25" t="s">
        <v>223</v>
      </c>
      <c r="E70" s="134" t="s">
        <v>224</v>
      </c>
      <c r="F70" s="135"/>
      <c r="G70" s="26"/>
      <c r="H70" s="27">
        <v>101600</v>
      </c>
      <c r="I70" s="27"/>
      <c r="J70" s="27"/>
      <c r="K70" s="27"/>
      <c r="L70" s="27"/>
      <c r="M70" s="135"/>
      <c r="N70" s="26"/>
      <c r="O70" s="27"/>
      <c r="P70" s="27"/>
      <c r="Q70" s="27"/>
      <c r="R70" s="27"/>
      <c r="S70" s="27"/>
      <c r="T70" s="54">
        <v>101600</v>
      </c>
      <c r="U70" s="163">
        <f t="shared" si="1"/>
        <v>101600</v>
      </c>
      <c r="V70" s="154"/>
    </row>
    <row r="71" spans="1:22" ht="40.5">
      <c r="A71" s="47">
        <v>45859</v>
      </c>
      <c r="B71" s="23">
        <v>50386</v>
      </c>
      <c r="C71" s="30" t="s">
        <v>257</v>
      </c>
      <c r="D71" s="25" t="s">
        <v>174</v>
      </c>
      <c r="E71" s="134" t="s">
        <v>258</v>
      </c>
      <c r="F71" s="135"/>
      <c r="G71" s="26"/>
      <c r="H71" s="27">
        <v>50750</v>
      </c>
      <c r="I71" s="27"/>
      <c r="J71" s="27"/>
      <c r="K71" s="27"/>
      <c r="L71" s="27"/>
      <c r="M71" s="135"/>
      <c r="N71" s="26"/>
      <c r="O71" s="27"/>
      <c r="P71" s="27"/>
      <c r="Q71" s="27"/>
      <c r="R71" s="27"/>
      <c r="S71" s="27"/>
      <c r="T71" s="26">
        <v>50750</v>
      </c>
      <c r="U71" s="163">
        <f t="shared" si="1"/>
        <v>50750</v>
      </c>
      <c r="V71" s="308"/>
    </row>
    <row r="72" spans="1:22" ht="40.5">
      <c r="A72" s="47">
        <v>45859</v>
      </c>
      <c r="B72" s="23">
        <v>50388</v>
      </c>
      <c r="C72" s="30" t="s">
        <v>262</v>
      </c>
      <c r="D72" s="25" t="s">
        <v>226</v>
      </c>
      <c r="E72" s="134" t="s">
        <v>263</v>
      </c>
      <c r="F72" s="135"/>
      <c r="G72" s="26"/>
      <c r="H72" s="27"/>
      <c r="I72" s="27"/>
      <c r="J72" s="27"/>
      <c r="K72" s="27"/>
      <c r="L72" s="27">
        <v>51300</v>
      </c>
      <c r="M72" s="135"/>
      <c r="N72" s="26"/>
      <c r="O72" s="27"/>
      <c r="P72" s="27"/>
      <c r="Q72" s="27"/>
      <c r="R72" s="27"/>
      <c r="S72" s="27"/>
      <c r="T72" s="26">
        <v>51300</v>
      </c>
      <c r="U72" s="163">
        <f t="shared" si="1"/>
        <v>51300</v>
      </c>
      <c r="V72" s="151"/>
    </row>
    <row r="73" spans="1:22" ht="40.5">
      <c r="A73" s="47">
        <v>45859</v>
      </c>
      <c r="B73" s="29">
        <v>50390</v>
      </c>
      <c r="C73" s="30" t="s">
        <v>264</v>
      </c>
      <c r="D73" s="25" t="s">
        <v>226</v>
      </c>
      <c r="E73" s="182" t="s">
        <v>265</v>
      </c>
      <c r="F73" s="171"/>
      <c r="G73" s="26"/>
      <c r="H73" s="32">
        <v>51150</v>
      </c>
      <c r="I73" s="27"/>
      <c r="J73" s="27"/>
      <c r="K73" s="27"/>
      <c r="L73" s="256"/>
      <c r="M73" s="135"/>
      <c r="N73" s="26"/>
      <c r="O73" s="27"/>
      <c r="P73" s="27"/>
      <c r="Q73" s="27"/>
      <c r="R73" s="27"/>
      <c r="S73" s="27"/>
      <c r="T73" s="33">
        <v>51150</v>
      </c>
      <c r="U73" s="163">
        <f t="shared" si="1"/>
        <v>51150</v>
      </c>
      <c r="V73" s="151"/>
    </row>
    <row r="77" spans="1:22">
      <c r="U77" s="305">
        <f>U1+U2+U3+U4+U5+U6+U7+U8+U9+U10+U11+U12+U13+U14+U15+U16+U17+U18+U19+U20+U21+U22+U23+U24+U25+U26+U27+U28+U29+U30+U31+U32+U33+U34+U35+U36+U37+U38+U39+U40+U41+U42+U43+U44+U45+U46+U47+U48+U49+U50+U51+U52+U53+U54+U55+U56+U57+U58+U59+U60+U61+U62+U63+U64+U65+U66+U67+U68+U69+U71+U72+U70+U73</f>
        <v>5047450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7.15.25 </vt:lpstr>
      <vt:lpstr>7.16.25</vt:lpstr>
      <vt:lpstr>7.17.25</vt:lpstr>
      <vt:lpstr>7.18.25</vt:lpstr>
      <vt:lpstr>7.19.25</vt:lpstr>
      <vt:lpstr>7.21.25</vt:lpstr>
      <vt:lpstr>JULY 15-21,2025</vt:lpstr>
      <vt:lpstr>JULY 15-21,2025 (2)</vt:lpstr>
      <vt:lpstr>Sheet1</vt:lpstr>
      <vt:lpstr>'JULY 15-21,2025'!Print_Area</vt:lpstr>
      <vt:lpstr>'JULY 15-21,2025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user</cp:lastModifiedBy>
  <cp:revision/>
  <cp:lastPrinted>2025-09-23T07:51:40Z</cp:lastPrinted>
  <dcterms:created xsi:type="dcterms:W3CDTF">2025-06-26T05:34:00Z</dcterms:created>
  <dcterms:modified xsi:type="dcterms:W3CDTF">2026-04-18T10:05:38Z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79A629659D9B497DAEA7B7D481227C29_12</vt:lpwstr>
  </property>
  <property fmtid="{D5CDD505-2E9C-101B-9397-08002B2CF9AE}" pid="3" name="KSOProductBuildVer">
    <vt:lpwstr>1033-12.2.0.21931</vt:lpwstr>
  </property>
</Properties>
</file>