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\Desktop\ACKNOWLEDGEMENT RECEIPT FUEL 2025\"/>
    </mc:Choice>
  </mc:AlternateContent>
  <bookViews>
    <workbookView xWindow="0" yWindow="0" windowWidth="28800" windowHeight="11700"/>
  </bookViews>
  <sheets>
    <sheet name="AR" sheetId="2" r:id="rId1"/>
    <sheet name="Sheet1" sheetId="5" state="hidden" r:id="rId2"/>
    <sheet name="LISTS" sheetId="3" r:id="rId3"/>
    <sheet name="Sheet2" sheetId="4" state="hidden" r:id="rId4"/>
  </sheets>
  <definedNames>
    <definedName name="_xlnm._FilterDatabase" localSheetId="2" hidden="1">LISTS!$B$2:$E$145</definedName>
    <definedName name="_xlnm.Print_Area" localSheetId="0">AR!$B$1:$J$28</definedName>
  </definedNames>
  <calcPr calcId="162913"/>
</workbook>
</file>

<file path=xl/calcChain.xml><?xml version="1.0" encoding="utf-8"?>
<calcChain xmlns="http://schemas.openxmlformats.org/spreadsheetml/2006/main">
  <c r="T8" i="2" l="1"/>
  <c r="C4" i="4" l="1"/>
  <c r="C11" i="2" s="1"/>
  <c r="C3" i="4"/>
  <c r="C2" i="4"/>
  <c r="C1" i="4"/>
  <c r="D23" i="2"/>
  <c r="D24" i="2" s="1"/>
  <c r="G19" i="2"/>
  <c r="I17" i="2"/>
  <c r="E17" i="2"/>
  <c r="D17" i="2"/>
  <c r="I16" i="2"/>
  <c r="E16" i="2"/>
  <c r="D16" i="2"/>
  <c r="I15" i="2"/>
  <c r="E15" i="2"/>
  <c r="D15" i="2"/>
  <c r="J11" i="2"/>
  <c r="T10" i="2"/>
  <c r="T9" i="2"/>
  <c r="B9" i="2"/>
  <c r="G8" i="2"/>
  <c r="J4" i="2"/>
  <c r="Q16" i="2" l="1"/>
  <c r="F2" i="4"/>
  <c r="C10" i="2" s="1"/>
</calcChain>
</file>

<file path=xl/sharedStrings.xml><?xml version="1.0" encoding="utf-8"?>
<sst xmlns="http://schemas.openxmlformats.org/spreadsheetml/2006/main" count="622" uniqueCount="588">
  <si>
    <r>
      <rPr>
        <b/>
        <sz val="14"/>
        <rFont val="Arial"/>
        <family val="2"/>
      </rPr>
      <t xml:space="preserve">SEVEN-TRENT MACHINERIES INDUSTRIAL EQUIPMENT TRADING
</t>
    </r>
    <r>
      <rPr>
        <sz val="9"/>
        <rFont val="Adobe Myungjo Std M"/>
        <charset val="134"/>
      </rPr>
      <t>DIPOLOG CITY, ZAMBOANGA DEL NORTE 7100</t>
    </r>
  </si>
  <si>
    <t>ACCOUNTING DEPARTMENT</t>
  </si>
  <si>
    <t>Document No.:</t>
  </si>
  <si>
    <t>ACCTG-FOR-005 v 3</t>
  </si>
  <si>
    <t>TYPE EVERYTHING HERE IN THIS PORTION</t>
  </si>
  <si>
    <t>Effective Date: 01 22 2023</t>
  </si>
  <si>
    <t xml:space="preserve">TR NO: </t>
  </si>
  <si>
    <t>DATE OF AR:</t>
  </si>
  <si>
    <t>ACKNOWLEDGEMENT RECEIPT</t>
  </si>
  <si>
    <t>PO NO:</t>
  </si>
  <si>
    <t>TYPE AMOUNT HERE:</t>
  </si>
  <si>
    <t>TYPE CODING HERE:</t>
  </si>
  <si>
    <t>Motibot</t>
  </si>
  <si>
    <t>This is to acknowledge receipt  the amount of  ₱</t>
  </si>
  <si>
    <t>INPUT ORDER XCS</t>
  </si>
  <si>
    <t>INPUT PRICE PREMIUM</t>
  </si>
  <si>
    <t>Php (pesos) from</t>
  </si>
  <si>
    <t>INPUT ORDER REG</t>
  </si>
  <si>
    <t>INPUT PRICE REGULAR</t>
  </si>
  <si>
    <t>INPUT ORDER ADO</t>
  </si>
  <si>
    <t>INPUT PRICE DIESEL</t>
  </si>
  <si>
    <t>as payment for</t>
  </si>
  <si>
    <t>10A  2166</t>
  </si>
  <si>
    <t xml:space="preserve"> </t>
  </si>
  <si>
    <t>Breakdown of PO:</t>
  </si>
  <si>
    <t>Premium</t>
  </si>
  <si>
    <t>Others/Remarks:</t>
  </si>
  <si>
    <t>Others / Remarks:</t>
  </si>
  <si>
    <t>Regular</t>
  </si>
  <si>
    <t>Diesel</t>
  </si>
  <si>
    <t>Received this at Sta. Isabel, Dipolog City on</t>
  </si>
  <si>
    <t>PAYMENT RECEIVED BY:</t>
  </si>
  <si>
    <t>MICHELLE L. DELMEGUIZ</t>
  </si>
  <si>
    <t>Received Payment:</t>
  </si>
  <si>
    <t>TR NO:</t>
  </si>
  <si>
    <t>INPUT LAST TR</t>
  </si>
  <si>
    <t xml:space="preserve">NAME: </t>
  </si>
  <si>
    <t>TR IS 5 DIGITS</t>
  </si>
  <si>
    <t>POSITION:</t>
  </si>
  <si>
    <t>Acknowledged:</t>
  </si>
  <si>
    <t>NAME &amp; SIGNATURE OF CUSTOMER/REPRESENTATIVE</t>
  </si>
  <si>
    <t>*This is not an Official Invoice and not Valid for Claiming Input Taxes*</t>
  </si>
  <si>
    <t>CODING (FROM OPERATIONS)</t>
  </si>
  <si>
    <t>REGISTERED BUSINESS NAME</t>
  </si>
  <si>
    <t>SUPPLIER'S NAME</t>
  </si>
  <si>
    <t>BUSINESS ADDRESS</t>
  </si>
  <si>
    <t>ACE</t>
  </si>
  <si>
    <t>ACE MEDICAL CENTER</t>
  </si>
  <si>
    <t>BRGY. OLINGAN, DIPOLOG CITY, ZAMBOANGA DEL NORTE</t>
  </si>
  <si>
    <t>Aseniero</t>
  </si>
  <si>
    <t>IAP'S GASOLINE STATION</t>
  </si>
  <si>
    <t>ALLAN FEROLINO OBAS</t>
  </si>
  <si>
    <t>BRGY. ASENIERO, DAPITAN, ZAMBOANGA DEL NORTE</t>
  </si>
  <si>
    <t>Bacong bulilit</t>
  </si>
  <si>
    <t>HI-LAND FUEL REFILLING STATION</t>
  </si>
  <si>
    <t>SITTI MAIRA LANGAN ANDAL</t>
  </si>
  <si>
    <t>BRGY. BACONG, SALUG, ZAMBONGA DEL  NORTE</t>
  </si>
  <si>
    <t>Bacong Pamil</t>
  </si>
  <si>
    <t>MJ FUEL REFILLING STATION</t>
  </si>
  <si>
    <t>MERCEDARIO NUGAS PAMIL</t>
  </si>
  <si>
    <t>Bago</t>
  </si>
  <si>
    <t>Bagumbang palomar</t>
  </si>
  <si>
    <t>Bajo Oroqueita</t>
  </si>
  <si>
    <t>NONON'S FUEL STATION</t>
  </si>
  <si>
    <t>CRISAN SABIJON HERNANE</t>
  </si>
  <si>
    <t>BRGY. SAN VICENTE BAJO, OROQUIETA CITY, MISAMIS OCCIDENTAL</t>
  </si>
  <si>
    <t>Balagon Siay</t>
  </si>
  <si>
    <t>VASH FUEL REFILLING STATION</t>
  </si>
  <si>
    <t>JHOANNE SHANE MARIE ESMORES AGLOBO</t>
  </si>
  <si>
    <t>BRGY. BALAGON, SIAY, ZAMBOANGA SIBUGAY</t>
  </si>
  <si>
    <t>Balamban Mahayag</t>
  </si>
  <si>
    <t>MMN GAS STATION</t>
  </si>
  <si>
    <t>MARY JANE RESILOSA PAUSANOS</t>
  </si>
  <si>
    <t>BRGY. BAG-ONG BALAMBAN, MAHAYAG, ZAMBOANGA DEL SUR</t>
  </si>
  <si>
    <t>Barcelona</t>
  </si>
  <si>
    <t>Basagan</t>
  </si>
  <si>
    <t>RJM GASOLINAHAN PETROCHEMICAL PRODUCTS TRADING</t>
  </si>
  <si>
    <t>FELICISIMA PANTORILLA ORILLAN</t>
  </si>
  <si>
    <t>BRGY. BASAGAN, KATIPUNAN, ZAMBOANGA DEL NORTE</t>
  </si>
  <si>
    <t>Bato Plaridel</t>
  </si>
  <si>
    <t>MARCUS FUEL STATION</t>
  </si>
  <si>
    <t>MARICRIS FE MAGHINAY ARANDID</t>
  </si>
  <si>
    <t>BRGY. BATO, PLARIDEL, MISAMIS OCCIDENTAL</t>
  </si>
  <si>
    <t>Baylimango</t>
  </si>
  <si>
    <t>MORTE FUEL REFILLING STATION</t>
  </si>
  <si>
    <t>PRIMITIVO ALICMAN MORTE</t>
  </si>
  <si>
    <t>BRGY. BAYLIMANGO, DAPITAN CITY, ZAMBOANGA DEL NORTE</t>
  </si>
  <si>
    <t>Bayog (BACO)</t>
  </si>
  <si>
    <t>JD-MACS GAS REFILLING STATION</t>
  </si>
  <si>
    <t>DELIA S. BACO</t>
  </si>
  <si>
    <t>BRGY. KAHAYAGAN, BAYOG, ZAMBOANGA DEL SUR</t>
  </si>
  <si>
    <t>Bayog buboan</t>
  </si>
  <si>
    <t>REDBAR GAS REFILLING STATION</t>
  </si>
  <si>
    <t>ARNEL GAJO ENTAG</t>
  </si>
  <si>
    <t>BRGY. BOBUAN, BAYOG, ZAMBOANGA DEL SUR</t>
  </si>
  <si>
    <t>Bayog Bulilit</t>
  </si>
  <si>
    <t>JDM-6 FUEL STATION</t>
  </si>
  <si>
    <t>DELIA SAJULGA BACO</t>
  </si>
  <si>
    <t>Binoni</t>
  </si>
  <si>
    <t>BOY G FUEL REFILLING STATION</t>
  </si>
  <si>
    <t>EPIFRAS RUDAS GALLEPOSO</t>
  </si>
  <si>
    <t>BRGY. BINONI, SALUG, ZAMBOANGA DEL NORTE</t>
  </si>
  <si>
    <t>Bucana Siocon</t>
  </si>
  <si>
    <t>NAUFAR FUEL REFILLING STATION</t>
  </si>
  <si>
    <t>JULCARIM ALVAREZ CASALIN</t>
  </si>
  <si>
    <t>BRGY. BUCANA, SIOCON, ZAMBOANGA DEL NORTE</t>
  </si>
  <si>
    <t>Buug</t>
  </si>
  <si>
    <t>Calican</t>
  </si>
  <si>
    <t>FOUR ANGELS  FUEL REFILLING STATION</t>
  </si>
  <si>
    <t>FREMIE ALFON PALCONAYO</t>
  </si>
  <si>
    <t>BRGY. CALICAN, PIÑAN, ZAMBOANGA DEL NORTE</t>
  </si>
  <si>
    <t>Caracol Salug</t>
  </si>
  <si>
    <t>AZ FUEL REFILLING STATION</t>
  </si>
  <si>
    <t>SALAHUDDIN AKIL HAMBALI</t>
  </si>
  <si>
    <t>BRGY. CARACOL, SALUG, ZAMBOANGA DEL NORTE</t>
  </si>
  <si>
    <t>Clarin Settlement</t>
  </si>
  <si>
    <t>COUNTRYROAD FUEL REFILLING STATION</t>
  </si>
  <si>
    <t>ASHLEY NICOLE REAMBONANZA LLERIN</t>
  </si>
  <si>
    <t>BRGY. CLARIN SETTLEMENT, OROQUIETA CITY, MISAMIS OCCIDENTAL</t>
  </si>
  <si>
    <t>CNR-Gcash</t>
  </si>
  <si>
    <t>CLYDE N. REBOLLOS</t>
  </si>
  <si>
    <t>Cogon</t>
  </si>
  <si>
    <t xml:space="preserve">DJ FUEL REFILLING STATION </t>
  </si>
  <si>
    <t xml:space="preserve">DAPHNE CLAIRE ABARCA MARQUINA </t>
  </si>
  <si>
    <t>BRGY. COGON, DIPOLOG CITY, ZAMBOANGA DEL NORTE</t>
  </si>
  <si>
    <t>Coloran Siay</t>
  </si>
  <si>
    <t>LIA-FRAN-LILY FUEL STATION</t>
  </si>
  <si>
    <t>LILIA CAMBE UNITO</t>
  </si>
  <si>
    <t>BRGY. COLORAN, SIAY, ZAMBOANGA DEL SUR</t>
  </si>
  <si>
    <t>Dampalan (Osmena)</t>
  </si>
  <si>
    <t>Dampalan DAPITAN</t>
  </si>
  <si>
    <t>RAMAD FUEL REFILLING STATION</t>
  </si>
  <si>
    <t>RAMIL QUIGUING ADANTE</t>
  </si>
  <si>
    <t>BRGY. DAMPALAN, DAPITAN CITY, ZAMBOANGA DEL NORTE</t>
  </si>
  <si>
    <t>Dansulyan</t>
  </si>
  <si>
    <t>GD FUEL REFILLING STATION</t>
  </si>
  <si>
    <t>DOUET PEPITO AMARILLE</t>
  </si>
  <si>
    <t>BRGY. DANSULLAN, POLANCO, ZAMBOANGA DEL NORTE</t>
  </si>
  <si>
    <t>Dansulyan-Awa</t>
  </si>
  <si>
    <t>JERELYN MONTEZA AWA</t>
  </si>
  <si>
    <t>Del Pilar</t>
  </si>
  <si>
    <t>ARLEGUI FUEL REFILLING STATION</t>
  </si>
  <si>
    <t>SANDY LOU TRANSMIL ARLEGUI</t>
  </si>
  <si>
    <t>BRGY. DEL PILAR, PIÑAN, ZAMBOANGA DEL NORTE</t>
  </si>
  <si>
    <t>Denuyan siayan</t>
  </si>
  <si>
    <t>Detulan</t>
  </si>
  <si>
    <t>B &amp; J GAS REFILLING STATION</t>
  </si>
  <si>
    <t>ISAGANI BARAZON LEDESMA</t>
  </si>
  <si>
    <t>BRGY. DITULAN, DUMINGAG, ZAMBOANGA DEL SUR</t>
  </si>
  <si>
    <t>Dicayo</t>
  </si>
  <si>
    <t>MJ HABAGAT GAS STATION</t>
  </si>
  <si>
    <t>THERESA MEE SARENAS HABAGAT</t>
  </si>
  <si>
    <t>BRGY. DAANGLUNGSOD, KATIPUNAN, ZAMBOANGA DEL NORTE</t>
  </si>
  <si>
    <t>Dicoyong</t>
  </si>
  <si>
    <t>PIPZ GAS REFILLING STATION</t>
  </si>
  <si>
    <t>JEMWEL TAMAN ZAMORA</t>
  </si>
  <si>
    <t>BRGY. DICOYONG, SINDANGAN, ZAMBOANGA DEL NORTE</t>
  </si>
  <si>
    <t>Dilawa</t>
  </si>
  <si>
    <t>G-P GAS REFILLING STATION</t>
  </si>
  <si>
    <t>JAYNALYN GUIO PACAÑA</t>
  </si>
  <si>
    <t>BRGY. DILAWA, PIÑAN, ZAMBOANGA DEL NORTE</t>
  </si>
  <si>
    <t>Dinas Sur</t>
  </si>
  <si>
    <t>KRD MICRO GAS STATION</t>
  </si>
  <si>
    <t>KELVIN ENOT DULA</t>
  </si>
  <si>
    <t>BRGY. LEGARDA 1, DINAS, ZAMBOANGA DEL SUR</t>
  </si>
  <si>
    <t>Dinasan</t>
  </si>
  <si>
    <t>JRG GAS REFILLING STATION</t>
  </si>
  <si>
    <t>JUDY ASISTER GONDULA</t>
  </si>
  <si>
    <t>BRGY. DINASAN, JOSE DALMAN, ZAMBOANGA DEL NORTE</t>
  </si>
  <si>
    <t>Dipili Bayog</t>
  </si>
  <si>
    <t>MG'S FUEL REFILLING STATION</t>
  </si>
  <si>
    <t>NORMITA DELA CERNA</t>
  </si>
  <si>
    <t>BRGY. DIPILI, BAYOG, ZAMBOANGA DEL SUR</t>
  </si>
  <si>
    <t>Dohinob</t>
  </si>
  <si>
    <t>LJ GAS REFILLING STATION</t>
  </si>
  <si>
    <t>LEONARDO BAYBAY UGNIT III</t>
  </si>
  <si>
    <t>BRGY. DOHINOB, PRES. MANUEL A. ROXAS, ZAMBOANGA DEL NORTE</t>
  </si>
  <si>
    <t>Dohinob-Madasigon</t>
  </si>
  <si>
    <t>TONY GAS REFILLING STATION</t>
  </si>
  <si>
    <t>ANTONIO VALLECER GONZALES</t>
  </si>
  <si>
    <t>PUROK MADASIGON, DOHINOB, ROXAS, ZAMBOANGA DEL SUR</t>
  </si>
  <si>
    <t>Don Victoriano</t>
  </si>
  <si>
    <t>3DS &amp; B GAS REFILLING STATION</t>
  </si>
  <si>
    <t>DENNIS RAMIREZ DELOS SANTOS</t>
  </si>
  <si>
    <t>BRGY. TUNO, DON VICTORIANO, MISAMIS OCCIDENTAL</t>
  </si>
  <si>
    <t>Dona Josefa</t>
  </si>
  <si>
    <t>PATRICK &amp; BRYLE FUEL REFILLING STATION</t>
  </si>
  <si>
    <t>BOB DALMAN PAGENTE</t>
  </si>
  <si>
    <t>BRGY. DOÑA JOSEFA, SINDANGAN, ZAMBOANGA DEL NORTE</t>
  </si>
  <si>
    <t>Dumingag Bulilit</t>
  </si>
  <si>
    <t>K2J2 GAS REFILLING STATION</t>
  </si>
  <si>
    <t>JENIE FE BALOGBOG ALINSUG</t>
  </si>
  <si>
    <t>BRGY. SAN PEDRO, DUMINGAG, ZAMBOANGA DEL SUR</t>
  </si>
  <si>
    <t>Eunice</t>
  </si>
  <si>
    <t>Fatima Liloy</t>
  </si>
  <si>
    <t>ENCAR GASOLINE STATION</t>
  </si>
  <si>
    <t>REY ENRICO ORIOLA EROY</t>
  </si>
  <si>
    <t>BRGY. FATIMA, LILOY, ZAMBOANGA DEL NORTE</t>
  </si>
  <si>
    <t>Gampis</t>
  </si>
  <si>
    <t>AM-MON FUEL STATION</t>
  </si>
  <si>
    <t>LUCILLE MANANQUIL  SINARILLOS</t>
  </si>
  <si>
    <t>BRGY. SICAYAB, DIPOLOG CITY, ZAMBOANGA DEL NORTE</t>
  </si>
  <si>
    <t>Guipos SDJ</t>
  </si>
  <si>
    <t>SDJ 77 GAS STATION</t>
  </si>
  <si>
    <t>JAYSON BAJAO URBINA</t>
  </si>
  <si>
    <t>BRGY. BALONGATING, GUIPOS, ZAMBOANGA DEL SUR</t>
  </si>
  <si>
    <t>Guipos-Jr</t>
  </si>
  <si>
    <t>JR FUEL STATION</t>
  </si>
  <si>
    <t>ALVIN RAMIREZ LAMOSA JR.</t>
  </si>
  <si>
    <t>BRGY. POBLACION, GUIPOS, ZAMBOANGA DEL SUR</t>
  </si>
  <si>
    <t>Guisokan</t>
  </si>
  <si>
    <t>JK GAS REFILLING STATION</t>
  </si>
  <si>
    <t>REZA ZAMORAS BATION</t>
  </si>
  <si>
    <t>Guitran</t>
  </si>
  <si>
    <t>QUADRU FUEL REFILLING STATION</t>
  </si>
  <si>
    <t>ALJUN LATA SUERTE</t>
  </si>
  <si>
    <t>BRGY. GUITRAN, DUMINGAG, ZAMBOANGA DEL SUR</t>
  </si>
  <si>
    <t>Ilaya</t>
  </si>
  <si>
    <t>4J'S MICRO GAS REFILLING STATION</t>
  </si>
  <si>
    <t>HEPHER CALASANG BAEL</t>
  </si>
  <si>
    <t>BRGY. ILAYA, DAPITAN CITY, ZAMBOANGA DEL NORTE</t>
  </si>
  <si>
    <t>Ilihan</t>
  </si>
  <si>
    <t>CHAVISU GAS REFILLING STATION</t>
  </si>
  <si>
    <t>CHATERINE VILLARIN SULIMAN</t>
  </si>
  <si>
    <t>BRGY. ILIHAN, JOSE DALMAN, ZAMBOANGA DEL NORTE</t>
  </si>
  <si>
    <t>Imelda Sibugay</t>
  </si>
  <si>
    <t>JICKA GAS STATION</t>
  </si>
  <si>
    <t>JEFFREY SONZA DELA CRUZ</t>
  </si>
  <si>
    <t>BRGY. GANDIANGAN, IMELDA,  ZAMBOANGA SIBUGAY</t>
  </si>
  <si>
    <t>Josefina (Helen)</t>
  </si>
  <si>
    <t>LENLEN GASOLINE STATION</t>
  </si>
  <si>
    <t>HELEN ESTORIOSO</t>
  </si>
  <si>
    <t>BRGY.MORADJE, JOSEFINA ZAMBOANGA DEL SUR</t>
  </si>
  <si>
    <t>Josefina (Malindang)</t>
  </si>
  <si>
    <t>MT. MALINDANG GAS REFILLING STATION</t>
  </si>
  <si>
    <t>GILBERTH DANDOY LAURE</t>
  </si>
  <si>
    <t>BRGY. LEONARDO, JOSEFINA, ZAMBOANGA DEL SUR</t>
  </si>
  <si>
    <t>Josefina Dlime</t>
  </si>
  <si>
    <t>DLIME GASOLINE STATION</t>
  </si>
  <si>
    <t>LEX IVOR MANGOMPIT ETAC</t>
  </si>
  <si>
    <t>BRGY. UPPER BAGONG TUDELA, JOSEFINA, ZAMBOANGA DEL SUR</t>
  </si>
  <si>
    <t>Josefina FT</t>
  </si>
  <si>
    <t>ADEV GAS STATION</t>
  </si>
  <si>
    <t>GLORIA PERATER CUARTO</t>
  </si>
  <si>
    <t>Kalawit</t>
  </si>
  <si>
    <t>MACDROF FUEL REFILLING STATION</t>
  </si>
  <si>
    <t>BIDULITA TELMO AGUILAR</t>
  </si>
  <si>
    <t>La libertad</t>
  </si>
  <si>
    <t>3J'S GASOLINE STATION</t>
  </si>
  <si>
    <t>JUNNEL JUMALON JUMAWAN</t>
  </si>
  <si>
    <t>BRGY. POBLACION, LA LIBERTAD, ZAMBOANGA DEL NORTE</t>
  </si>
  <si>
    <t>Labakid</t>
  </si>
  <si>
    <t>M &amp; J GAS STATION</t>
  </si>
  <si>
    <t>IVY MAESTRE OMOS</t>
  </si>
  <si>
    <t>BRGY. LABAKID, SINDANGAN, ZAMBOANGA DEL NORTE</t>
  </si>
  <si>
    <t>Labason (Daguplo)</t>
  </si>
  <si>
    <t>DJ FUEL REFILLING STATION</t>
  </si>
  <si>
    <t>DANIEL DAGUPLO</t>
  </si>
  <si>
    <t>BRGY. MALINTUBOAN, LABASON, ZAMBOANGA DEL NORTE</t>
  </si>
  <si>
    <t>LABASON BULILIT</t>
  </si>
  <si>
    <t>S/R GASOLINE STATION</t>
  </si>
  <si>
    <t>DAVID ALAIN ORTEGA MORGIA</t>
  </si>
  <si>
    <t>BRGY. IMELDA, LABASON, ZAMBOANGA DEL NORTE</t>
  </si>
  <si>
    <t>Labason Panos (Ubay)</t>
  </si>
  <si>
    <t>PANOS GAS REFILLING STATION</t>
  </si>
  <si>
    <t>HEROINAE JOY DIGAMOS PANOS</t>
  </si>
  <si>
    <t>BRGY. UBAY, LABASON, ZAMBOANGA DEL NORTE</t>
  </si>
  <si>
    <t>Lapuyan Sur</t>
  </si>
  <si>
    <t>ZAHRA'S GAS REFILLING STATION</t>
  </si>
  <si>
    <t>ZAHRA KATE MENDIOLA</t>
  </si>
  <si>
    <t>BRGY. POBLACION, LAPUYAN, ZAMBOANGA DEL SUR</t>
  </si>
  <si>
    <t>Liba Bayog</t>
  </si>
  <si>
    <t>KELTEX GAS REFILLING STATION</t>
  </si>
  <si>
    <t>LOVELY BERNARDO FABIANTES</t>
  </si>
  <si>
    <t>BRGY. LIBA, BAYOG, ZAMBOANGA DEL SUR</t>
  </si>
  <si>
    <t>Libertad D.</t>
  </si>
  <si>
    <t>PUMP-N-GO LIBERTAD GAS REFILLING STATION</t>
  </si>
  <si>
    <t>WARLY BACLAY DELA RAIZ</t>
  </si>
  <si>
    <t>BRGY. LIBERTAD, DUMINGAG, ZAMBOANGA DEL SUR</t>
  </si>
  <si>
    <t>Liloan</t>
  </si>
  <si>
    <t>BUD'S GAS REFILLING STATION</t>
  </si>
  <si>
    <t>DOREEN KAAMIÑO FRIGILLANO</t>
  </si>
  <si>
    <t>BRGY. LILOAN, BONIFACIO, MISAMIS OCCIDENTAL</t>
  </si>
  <si>
    <t>Lingasad</t>
  </si>
  <si>
    <t>ARQUIZA FUEL REFILLING STATION</t>
  </si>
  <si>
    <t>ANTONIO MANINGO ARQUIZA</t>
  </si>
  <si>
    <t>BRGY. LINGASAD, POLANCO, ZAMBOANGA DEL NORTE</t>
  </si>
  <si>
    <t xml:space="preserve">Lipakan </t>
  </si>
  <si>
    <t>JGCJ FUEL REFILLING STATION</t>
  </si>
  <si>
    <t>JOSEPH ALBON MAATA</t>
  </si>
  <si>
    <t>BRGY. LIPAKAN, ROXAS, ZAMBOANGA DEL NORTE</t>
  </si>
  <si>
    <t>Lituban Siocon</t>
  </si>
  <si>
    <t>AM GAS REFILLING STATION</t>
  </si>
  <si>
    <t>ANGELITO ORNATES CAMION</t>
  </si>
  <si>
    <t>BRGY. NEW LITUBAN, SIOCON, ZAMBOANGA DEL NORTE</t>
  </si>
  <si>
    <t>Lower Landing</t>
  </si>
  <si>
    <t>TANAKAMI GAS STATION</t>
  </si>
  <si>
    <t>WEDILYN ONRADA ROSALES</t>
  </si>
  <si>
    <t>BRGY. LOWER LANDING, DUMINGAG, ZAMBOANGA DEL SUR</t>
  </si>
  <si>
    <t>Lutiman Alicia</t>
  </si>
  <si>
    <t>Madalag</t>
  </si>
  <si>
    <t>FUELGO GAS REFILLING STATION</t>
  </si>
  <si>
    <t>RODMAR VERTUDEZ FUEGO</t>
  </si>
  <si>
    <t>BRGY. MADALAG, JOSE DALMAN , ZAMBOANGA DEL NORTE</t>
  </si>
  <si>
    <t>MAHAYAG BULILIT</t>
  </si>
  <si>
    <t>E &amp; R  GAS REFILLING STATION</t>
  </si>
  <si>
    <t>ELVIE TALOCOD SALADAGA</t>
  </si>
  <si>
    <t>BRGY. POBLACION, MAHAYAG, ZAMBOANGA DEL SUR</t>
  </si>
  <si>
    <t>Malala (San pedro)</t>
  </si>
  <si>
    <t>KL GAS REFILLING STATION</t>
  </si>
  <si>
    <t>MIKE JAPHET FERNANDEZ BARBASO</t>
  </si>
  <si>
    <t>BRGY. SAN PEDRO, POLANCO, ZAMBOANGA DEL NORTE</t>
  </si>
  <si>
    <t>Malintubuan (Bustillos)</t>
  </si>
  <si>
    <t>B-PRO GASOLINE STATION</t>
  </si>
  <si>
    <t>DIVINE MAY SALAZAR BUSTILLOS</t>
  </si>
  <si>
    <t>Mandih</t>
  </si>
  <si>
    <t>JANUAORYZA MICRO GAS STATION</t>
  </si>
  <si>
    <t>RUFINO ANDUS MUKOD</t>
  </si>
  <si>
    <t>BRGY. MANDIH, SINDANGAN, ZAMBOANGA DEL NORTE</t>
  </si>
  <si>
    <t>Mandih Bulilit</t>
  </si>
  <si>
    <t>Maralag</t>
  </si>
  <si>
    <t>GUNIX GAS STATION</t>
  </si>
  <si>
    <t>SEM UDTOHAN PANGASIAN</t>
  </si>
  <si>
    <t>BRGY. MARALAG, DUMINGAG, ZAMBOANGA DEL SUR</t>
  </si>
  <si>
    <t>Margos sa Tubig / Guipos Vistal</t>
  </si>
  <si>
    <t>VISTAL-MICRO GAS STATION</t>
  </si>
  <si>
    <t>CHRIS JOHN PARMIS VISTAL</t>
  </si>
  <si>
    <t>BRGY. CANUNAN, GUIPOS, ZAMBOANGA DEL SUR</t>
  </si>
  <si>
    <t>MBB Siayan</t>
  </si>
  <si>
    <t>MBB FUEL REFILLING STATION</t>
  </si>
  <si>
    <t>BRENDO BIASCA MALAHAY</t>
  </si>
  <si>
    <t>BRGY. POBLACION, SIAYAN, ZAMBONGA DEL NORTE</t>
  </si>
  <si>
    <t>Midsalip</t>
  </si>
  <si>
    <t>AA'S GAS REFILLING STATION</t>
  </si>
  <si>
    <t>ARNEL DELA CERNA CALEXTERIO</t>
  </si>
  <si>
    <t>BRGY. BIBILOP, MIDSALIP, ZAMBOANGA DEL SUR</t>
  </si>
  <si>
    <t>Milanid Talinga</t>
  </si>
  <si>
    <t>Misom Baliangao</t>
  </si>
  <si>
    <t>RIVAS GAS REFILLING STATION</t>
  </si>
  <si>
    <t>RIEL MONTEFALCON RIVAS</t>
  </si>
  <si>
    <t>BRGY. MOTIBOT, SINDANGAN, ZAMBOANGA DEL NORTE</t>
  </si>
  <si>
    <t>Mucas</t>
  </si>
  <si>
    <t>RM GASOLINE STATION</t>
  </si>
  <si>
    <t>HAMIR GUMANDOL JAAPAL</t>
  </si>
  <si>
    <t>BRGY. MUCAS, SALUG, ZAMBONGA DEL NORTE</t>
  </si>
  <si>
    <t>Mutia</t>
  </si>
  <si>
    <t>FREECOPE FUEL REFILLING STATION</t>
  </si>
  <si>
    <t>LERNIE SAMSON FREJOLEZ</t>
  </si>
  <si>
    <t>BRGY. POBLACION, MUTIA, ZAMBOANGA DEL NORTE</t>
  </si>
  <si>
    <t>Napo Dapitan</t>
  </si>
  <si>
    <t>GIAN'S FUEL STATION</t>
  </si>
  <si>
    <t>HELGREG LINGO TINNAE</t>
  </si>
  <si>
    <t>BRGY. NAPO, DAPITAN CITY, ZAMBONGA DEL NORTE</t>
  </si>
  <si>
    <t>New Sicayab</t>
  </si>
  <si>
    <t>FAME GAS REFILLING STATION</t>
  </si>
  <si>
    <t>FERNANDO DELA ROSA PARAN</t>
  </si>
  <si>
    <t>BRGY. NEW SICAYAB, POLANCO, ZAMBOANGA DEL NORTE</t>
  </si>
  <si>
    <t>Olingan</t>
  </si>
  <si>
    <t>ENZO'S GAS REFILLING STATION</t>
  </si>
  <si>
    <t>CLEMENTE COPE GUIO</t>
  </si>
  <si>
    <t>Osukan Labason</t>
  </si>
  <si>
    <t>GD GASOLINE STATION</t>
  </si>
  <si>
    <t>BRGY. OSUKAN, LABASON, ZAMBOANGA DEL NORTE</t>
  </si>
  <si>
    <t>Palandok</t>
  </si>
  <si>
    <t>KJ FUEL REFILLING STATION</t>
  </si>
  <si>
    <t>MARCOS MABANSAG ARAGON</t>
  </si>
  <si>
    <t>BRGY. PALANDOK, LEON POSTIGO, ZAMBOANGA DEL NORTE</t>
  </si>
  <si>
    <t>Palandok BULILIT</t>
  </si>
  <si>
    <t>SR GAS STATION</t>
  </si>
  <si>
    <t>RADHATA SALBANI HAMBALI</t>
  </si>
  <si>
    <t>BRGY. RIZON, BACUNGAN, ZAMBOANGA DEL NORTE</t>
  </si>
  <si>
    <t>Pangalalan</t>
  </si>
  <si>
    <t>C &amp; N GAS REFILLING STATION</t>
  </si>
  <si>
    <t>WILSON ENOJARDO PLANTERAS</t>
  </si>
  <si>
    <t>BRGY. PANGALALAN, SINDANGAN, ZAMBOANGA DEL NORTE</t>
  </si>
  <si>
    <t>Paruk Siay</t>
  </si>
  <si>
    <t>CRILOUR FUEL REFILLING STATION</t>
  </si>
  <si>
    <t>ELSON ENRIQUEZ BASCO</t>
  </si>
  <si>
    <t>BRGY. PARUK, SIAY, ZAMBOANGA SIBUGAY</t>
  </si>
  <si>
    <t>Queenex B.</t>
  </si>
  <si>
    <t>QUEENEX M GAS STATION</t>
  </si>
  <si>
    <t xml:space="preserve">MYLO OLIDIANA QUINTO </t>
  </si>
  <si>
    <t>BRGY. BAGUMBANG, BONIFACIO, MISAMIS OCCIDENTAL</t>
  </si>
  <si>
    <t>RM Bulilit</t>
  </si>
  <si>
    <t>DIALTEX GASOLINE STATION</t>
  </si>
  <si>
    <t>IVAN RHEE E. DIALO</t>
  </si>
  <si>
    <t>PUROK 1, RAMON MAGSAYSAY, SALUG, ZAMBOANGA DEL NORTE</t>
  </si>
  <si>
    <t>San Antonio Titay</t>
  </si>
  <si>
    <t>JMS FUEL REFILLING STATION</t>
  </si>
  <si>
    <t>JESSA CAMAC ACAYLAR</t>
  </si>
  <si>
    <t>BRGY. SAN ANTONIO, TITAY, ZAMBOANGA SIBUGAY</t>
  </si>
  <si>
    <t>San Jose (Mahayag)</t>
  </si>
  <si>
    <t>LOLOY GAS REFILLING STATION</t>
  </si>
  <si>
    <t>TEOTIMO NAMUAG ACLON JR.</t>
  </si>
  <si>
    <t>BRGY. SAN JOSE, MAHAYAG, ZAMBOANGA DEL SUR</t>
  </si>
  <si>
    <t>San Juan</t>
  </si>
  <si>
    <t>TAMPARONG GAS STATION</t>
  </si>
  <si>
    <t>ROMNICK DEBUYAN TAMPARONG</t>
  </si>
  <si>
    <t>BRGY. SAN JUAN, SERGIO OSMEÑA, ZAMBOANGA DEL NORTE</t>
  </si>
  <si>
    <t>San Miguel Sur</t>
  </si>
  <si>
    <t>JANE GAS STATION</t>
  </si>
  <si>
    <t>EMILY RUBIO HERNANE</t>
  </si>
  <si>
    <t>BRGY. LIMONAN, SAN MIGUEL, ZAMBOANGA DEL SUR</t>
  </si>
  <si>
    <t>San Pablo BL</t>
  </si>
  <si>
    <t>JOEF GAS STATION</t>
  </si>
  <si>
    <t>JONATHAN BOTER MEDICO</t>
  </si>
  <si>
    <t>BRGY. PANTAD, SAN PABLO, ZAMBOANGA DEL SUR</t>
  </si>
  <si>
    <t>San Pablo Sur</t>
  </si>
  <si>
    <t>RHOIE GAS STATION</t>
  </si>
  <si>
    <t>LEROY CAYASAN EGONIA</t>
  </si>
  <si>
    <t>BRGY. SAGASAN, SAN PABLO, ZAMBOANGA DEL SUR</t>
  </si>
  <si>
    <t>San Pedro bulilit</t>
  </si>
  <si>
    <t>JANA'S FUEL STATION</t>
  </si>
  <si>
    <t>TOM JERRY TIMBOL SAGARIO</t>
  </si>
  <si>
    <t>BRGY. SAN PEDRO, DAPITAN,  ZAMBOANGA DEL NORTE</t>
  </si>
  <si>
    <t>Sawang Sibutad</t>
  </si>
  <si>
    <t>ROADSIDE GAS REFILLING STATION</t>
  </si>
  <si>
    <t>LORINE LEGADOS SANGUAL</t>
  </si>
  <si>
    <t>BRGY. SAWANG, SIBUTAD, ZAMBOANGA DEL NORTE</t>
  </si>
  <si>
    <t>Siari</t>
  </si>
  <si>
    <t>GAZ-N-GO FUEL STATION</t>
  </si>
  <si>
    <t xml:space="preserve">GESELLE GLORIAN BAYAWA </t>
  </si>
  <si>
    <t>BRGY. SIARI, SINDANGAN, ZAMBOANGA DEL NORTE</t>
  </si>
  <si>
    <t>Siay Siocon</t>
  </si>
  <si>
    <t>RASHMAN'S MICRO GAS STATION</t>
  </si>
  <si>
    <t>HALAD BUA MINDOON</t>
  </si>
  <si>
    <t>BRGY. SIAY, SIOCON, ZAMBOANGA DEL NORTE</t>
  </si>
  <si>
    <t>Sicpao</t>
  </si>
  <si>
    <t>RRA GAS REFILLING STATION</t>
  </si>
  <si>
    <t>REYNALDO DANAOTO HILOT</t>
  </si>
  <si>
    <t>BRGY. SICPAO, MAHAYAG, ZAMBOANGA DEL SUR</t>
  </si>
  <si>
    <t>Sikal Tuno</t>
  </si>
  <si>
    <t>4J'S &amp; MW GAS STATION</t>
  </si>
  <si>
    <t>WILMA PELAYO SIKAL</t>
  </si>
  <si>
    <t>Singaran</t>
  </si>
  <si>
    <t>ED-ZEL FUEL REFILLING STATION</t>
  </si>
  <si>
    <t>HAZEL NAMIT CABOVERDE</t>
  </si>
  <si>
    <t>BRGY. SINGARAN, LA LIBERTAD, ZAMBOANGA DEL NORTE</t>
  </si>
  <si>
    <t>Sinuyak</t>
  </si>
  <si>
    <t xml:space="preserve">GAS DISTRIBUTION SERVICES D-BROTHERS GASOLINAHAN </t>
  </si>
  <si>
    <t>DEMOSTHENES SIARON CASTILLON SR.</t>
  </si>
  <si>
    <t>BRGY. SINUYAK, KATIPUNAN, ZAMBOANGA DEL NORTE</t>
  </si>
  <si>
    <t>Siparok</t>
  </si>
  <si>
    <t>LMR GAS REFILLING STATION</t>
  </si>
  <si>
    <t>MARIA CARA CHRISTY JATICO RECOSOSA</t>
  </si>
  <si>
    <t>BRGY. SIPAROK, JOSE DALMAN, ZAMBONGA DEL NORTE</t>
  </si>
  <si>
    <t>Sitio Sapa Indian</t>
  </si>
  <si>
    <t>R &amp; R FUEL STATION</t>
  </si>
  <si>
    <t>RUBEN SARAJENA YURONG JR.</t>
  </si>
  <si>
    <t>BRGY. SUGUILON, SIAYAN, ZAMBOANGA DEL NORTE</t>
  </si>
  <si>
    <t>STPC-San Pedro</t>
  </si>
  <si>
    <t>SEVEN-TRENT PETROLEUM CORP.</t>
  </si>
  <si>
    <t>Suguilon Siayan</t>
  </si>
  <si>
    <t>RG'S GASOLINE STATION</t>
  </si>
  <si>
    <t>GRETCHEN RONQUILLO ALIMPONG</t>
  </si>
  <si>
    <t>Suertes-Guitran</t>
  </si>
  <si>
    <t>SUERTE GAS STATION</t>
  </si>
  <si>
    <t>Tabon</t>
  </si>
  <si>
    <t>JC GAS REFILLING STATION</t>
  </si>
  <si>
    <t>JESRELL SYBECO CANOY</t>
  </si>
  <si>
    <t>BRGY. TABON, JOSE DALMAN, ZAMBOANGA DEL NORTE</t>
  </si>
  <si>
    <t>Tamil</t>
  </si>
  <si>
    <t>LAV'S GAS REFILLING STATION</t>
  </si>
  <si>
    <t>ARSENIO BAYAWA REGENCIA</t>
  </si>
  <si>
    <t>BRGY. TAMIL, JOSE DALMAN, ZAMBOANGA DEL NORTE</t>
  </si>
  <si>
    <t>Tigbao Gwen</t>
  </si>
  <si>
    <t>GWEN FUEL STATION</t>
  </si>
  <si>
    <t>ROBELYN LENIS ABO ABO</t>
  </si>
  <si>
    <t>BRGY. POBLACION, TIGBAO ZAMBOANGA DEL SUR</t>
  </si>
  <si>
    <t xml:space="preserve">Tigbao Norte </t>
  </si>
  <si>
    <t>JOHNSMARF GAS REFILLING STATION</t>
  </si>
  <si>
    <t>JONARD DIALO LAJERA</t>
  </si>
  <si>
    <t>BRGY. TIGBAO, SINDANGAN, ZAMBOANGA DEL NORTE</t>
  </si>
  <si>
    <t>Tigbao Sur (Oilers)</t>
  </si>
  <si>
    <t>OILERS FUEL STATION</t>
  </si>
  <si>
    <t>KIMBERLY MONG SABAL</t>
  </si>
  <si>
    <t>BRGY. BEGONG, TIGBAO, ZAMBOANGA DEL SUR</t>
  </si>
  <si>
    <t>Timan</t>
  </si>
  <si>
    <t>CHUCK GAS REFILLING STATION</t>
  </si>
  <si>
    <t>MAREBEL VILLACURA HICALDE</t>
  </si>
  <si>
    <t>BRGY. TIMAN, LILOY, ZAMBOANGA DEL NORTE</t>
  </si>
  <si>
    <t>Tipolo-Claritas</t>
  </si>
  <si>
    <t>CLARITA'S FUEL  STATION</t>
  </si>
  <si>
    <t>HEINZ  BERNHARD  YUMOL MANREZ</t>
  </si>
  <si>
    <t>BRGY. TIPOLO,  PLARIDEL, MISAMIS OCCIDENTAL</t>
  </si>
  <si>
    <t>Upper Inuman (bulilit)</t>
  </si>
  <si>
    <t>RJ-CEL FUEL STATION</t>
  </si>
  <si>
    <t>REY JEVIER GAÑOLON CELERINOS</t>
  </si>
  <si>
    <t>PUROK 3, BRGY. UPPER INUMAN, SINDANGAN, ZAMBOANGA DEL NORTE</t>
  </si>
  <si>
    <t>Valencia</t>
  </si>
  <si>
    <t>CMT' FUEL STATION</t>
  </si>
  <si>
    <t>FEBRA PACALIOGA ENANORIA</t>
  </si>
  <si>
    <t>BRGY. VALENCIA, DUMINGAG, ZAMBOANGA DEL SUR</t>
  </si>
  <si>
    <t>Villaflor Oroquieta</t>
  </si>
  <si>
    <t>AYA G MICRO GAS STATION</t>
  </si>
  <si>
    <t>ARTIUS TALADUA GALINDO</t>
  </si>
  <si>
    <t>BRGY. VILLAFLOR, OROQUIETA CITY, MISAMIS OCCIDENTAL</t>
  </si>
  <si>
    <t>Villahermosa</t>
  </si>
  <si>
    <t>CM-POWER FUEL REFILLING STATION</t>
  </si>
  <si>
    <t>CHARLENE ESTRADA MANDANTES</t>
  </si>
  <si>
    <t>BRGY. VILLAHERMOSA, POLANCO, ZAMBOANGA DEL NORTE</t>
  </si>
  <si>
    <t>Villarico</t>
  </si>
  <si>
    <t>TRIPLE Z GAS STATION</t>
  </si>
  <si>
    <t>ANNIE ATIS JUMAWAN</t>
  </si>
  <si>
    <t>BRGY. VILLARICO, PIÑAN, ZAMBOANGA DEL NORTE</t>
  </si>
  <si>
    <t>Villaflor-Len</t>
  </si>
  <si>
    <t>LEN GASOLINE STATION</t>
  </si>
  <si>
    <t>ARLENE EDIOS UBA</t>
  </si>
  <si>
    <t>San Miguel Aishi</t>
  </si>
  <si>
    <t>AISHI FUEL STATION</t>
  </si>
  <si>
    <t>NOELANE SALAGUSTE BATINGAL</t>
  </si>
  <si>
    <t>BRGY. POBLACION, SAN MIGUEL, ZAMBOANGA DEL SUR</t>
  </si>
  <si>
    <t>Tudela G-max</t>
  </si>
  <si>
    <t>G-MAX GASOLINE STATION</t>
  </si>
  <si>
    <t>RUFINO MAINE III OCAPAN GONZALEZ</t>
  </si>
  <si>
    <t>BRGY. BASIRANG, TUDELA, MISAMIS OCCIDENTAL</t>
  </si>
  <si>
    <t>Bongon Sirawai</t>
  </si>
  <si>
    <t>SALWA GAS STATION</t>
  </si>
  <si>
    <t>AISA AMBALI BAID</t>
  </si>
  <si>
    <t>BRGY. BONGON, SIRAWAI, ZAMBOANGA DEL NORTE</t>
  </si>
  <si>
    <t xml:space="preserve">Bogabongan </t>
  </si>
  <si>
    <t>O'S FUEL REFILLING STATION</t>
  </si>
  <si>
    <t>OGIE S. SAGBED</t>
  </si>
  <si>
    <t>BRGY.  BOGABONGAN, LEON B. POSTIGO</t>
  </si>
  <si>
    <t>Tamil Jrm</t>
  </si>
  <si>
    <t>JRM FUEL REFILLING STATION</t>
  </si>
  <si>
    <t>MELVA MACAPAZ NICOLAS</t>
  </si>
  <si>
    <t>Compra Liloy</t>
  </si>
  <si>
    <t>K.M. GAS REFILLING STATION</t>
  </si>
  <si>
    <t>MANUEL LUCANAS DELOS SANTOS JR.</t>
  </si>
  <si>
    <t>BRGY. COMPRA, LILOY, ZAMBOANGA DEL NORTE</t>
  </si>
  <si>
    <t>Malintubuan-Chivi</t>
  </si>
  <si>
    <t>CHIVI GAS STATION</t>
  </si>
  <si>
    <t>DARYL JAY TIZON VILLARIN</t>
  </si>
  <si>
    <t>ABES,LILOY</t>
  </si>
  <si>
    <t>ABES GAS REFILLING STATION</t>
  </si>
  <si>
    <t>KRISTINE JOY DOMOGHO ABES</t>
  </si>
  <si>
    <t>BRGY. COMMUNAL, LILOY, ZAMBOANGA DEL NORTE</t>
  </si>
  <si>
    <t>PANTALAN</t>
  </si>
  <si>
    <t>J POWER GAS STATION</t>
  </si>
  <si>
    <t>JUNEL MANGOMPIT BAGALANON</t>
  </si>
  <si>
    <t xml:space="preserve">MP POWER </t>
  </si>
  <si>
    <t>MP POWER GAS STATION</t>
  </si>
  <si>
    <t>BIENVENIDO MATUTE</t>
  </si>
  <si>
    <t>POBLACION, SEGIO OSMENA, ZAMBOANGA DEL NORTE</t>
  </si>
  <si>
    <t>DULOP</t>
  </si>
  <si>
    <t>BP GASOLINE STATION</t>
  </si>
  <si>
    <t>LYNDELLE P. REQUINA</t>
  </si>
  <si>
    <t>BRGY. DULOP, DUMINGAG, ZAMBOANGA DEL SUR</t>
  </si>
  <si>
    <t>CASHIER</t>
  </si>
  <si>
    <t>ETHELANE MANUEL</t>
  </si>
  <si>
    <t>BOOKKEEPER</t>
  </si>
  <si>
    <t>ALYWIN AIDAN BAJE</t>
  </si>
  <si>
    <t>KL</t>
  </si>
  <si>
    <t>at</t>
  </si>
  <si>
    <t>pesos</t>
  </si>
  <si>
    <t>ARC SIOCON</t>
  </si>
  <si>
    <t>A R C GAS STATION</t>
  </si>
  <si>
    <t>ADRIANO ROLAN CHUA</t>
  </si>
  <si>
    <t>BRGY. POBLACION, SIOCON, ZAMBOANGA DEL NORTE</t>
  </si>
  <si>
    <t>MUTIA-OROQUIETA</t>
  </si>
  <si>
    <t>MUTIA RANGERS FUEL RETAILING</t>
  </si>
  <si>
    <t>JULIE ANN CONING MUTIA</t>
  </si>
  <si>
    <t>BRGY. DOLIPOS, BAJO, OROQUIETA CITY</t>
  </si>
  <si>
    <t>ADDD</t>
  </si>
  <si>
    <t>AR GAS- PONOT</t>
  </si>
  <si>
    <t>AR GAS REFILLING STATION</t>
  </si>
  <si>
    <t>MARK BELAGANTOL</t>
  </si>
  <si>
    <t>BRGY. POBLACION, JOSE DALMAN, ZAMBOANGA DEL NORTE</t>
  </si>
  <si>
    <t>TAMPILISAN</t>
  </si>
  <si>
    <t>JG POWERS  CO.</t>
  </si>
  <si>
    <t>GILBERT B. MAGONDAYA</t>
  </si>
  <si>
    <t>BRGY. FARMINGTON, TAMPILISAN, ZAMBOANGA DEL NORTE</t>
  </si>
  <si>
    <t>BERJEN FUEL STATION</t>
  </si>
  <si>
    <t>BRGY. KALAWIT, ZAMBOANGA DEL NORTE</t>
  </si>
  <si>
    <t>BERJEN- KALAWIT</t>
  </si>
  <si>
    <t>DESIN</t>
  </si>
  <si>
    <t>GB FUEL REFILLING STATION</t>
  </si>
  <si>
    <t>GILBERT CALALANG BAGATUA</t>
  </si>
  <si>
    <t>BRGY. DESIN, PIÑAN, ZAMBOANGA DEL NORTE</t>
  </si>
  <si>
    <t>GUINABOT</t>
  </si>
  <si>
    <t>PHIL GAMZ GAS REFILLING STATION</t>
  </si>
  <si>
    <t>CRYSTALL MAE PAUNDOG</t>
  </si>
  <si>
    <t>BRGY. GUINABUT, SAPANGDALAGA, MISAMIS OCCIDENTAL</t>
  </si>
  <si>
    <t>EASTERN TELECOMMUNICATIONS PHILIPPINES,INC.</t>
  </si>
  <si>
    <t>316 SEN. GIL J. PUYAT AVENUE, SALCEDO VILLAGE, MAKATI CITY</t>
  </si>
  <si>
    <t>6D 5659</t>
  </si>
  <si>
    <t>PARTIAL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</si>
</sst>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F800]dddd\,\ mmmm\ dd\,\ yyyy"/>
  </numFmts>
  <fonts count="3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6.5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6"/>
      <name val="Arial"/>
      <family val="2"/>
    </font>
    <font>
      <sz val="8"/>
      <name val="Arial"/>
      <family val="2"/>
    </font>
    <font>
      <sz val="12"/>
      <color rgb="FF0070C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24"/>
      <name val="Arial"/>
      <family val="2"/>
    </font>
    <font>
      <sz val="11"/>
      <name val="Arial"/>
      <family val="2"/>
    </font>
    <font>
      <sz val="24"/>
      <name val="Arial"/>
      <family val="2"/>
    </font>
    <font>
      <b/>
      <sz val="9"/>
      <color rgb="FFC0000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color rgb="FFFF0000"/>
      <name val="Calibri"/>
      <family val="2"/>
      <scheme val="minor"/>
    </font>
    <font>
      <b/>
      <sz val="7"/>
      <name val="Arial"/>
      <family val="2"/>
    </font>
    <font>
      <i/>
      <sz val="8"/>
      <name val="Arial"/>
      <family val="2"/>
    </font>
    <font>
      <sz val="10"/>
      <name val="Tahoma"/>
      <family val="2"/>
    </font>
    <font>
      <b/>
      <sz val="14"/>
      <name val="Arial"/>
      <family val="2"/>
    </font>
    <font>
      <sz val="9"/>
      <name val="Adobe Myungjo Std M"/>
      <charset val="134"/>
    </font>
    <font>
      <b/>
      <sz val="11"/>
      <color rgb="FF00000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theme="3" tint="0.79979857783745845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79857783745845"/>
        <bgColor rgb="FF000000"/>
      </patternFill>
    </fill>
    <fill>
      <patternFill patternType="solid">
        <fgColor theme="7" tint="0.79979857783745845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7" tint="0.39979247413556324"/>
        <bgColor rgb="FF000000"/>
      </patternFill>
    </fill>
    <fill>
      <patternFill patternType="solid">
        <fgColor theme="7" tint="0.39979247413556324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8" tint="0.79979857783745845"/>
        <bgColor indexed="64"/>
      </patternFill>
    </fill>
    <fill>
      <patternFill patternType="solid">
        <fgColor theme="4" tint="0.39979247413556324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2">
    <xf numFmtId="0" fontId="0" fillId="0" borderId="0"/>
    <xf numFmtId="43" fontId="6" fillId="0" borderId="0" applyFont="0" applyFill="0" applyBorder="0" applyAlignment="0" applyProtection="0"/>
    <xf numFmtId="0" fontId="32" fillId="0" borderId="0" applyAlignment="0"/>
    <xf numFmtId="0" fontId="17" fillId="16" borderId="0">
      <alignment horizontal="center" vertical="top"/>
    </xf>
    <xf numFmtId="0" fontId="32" fillId="16" borderId="0"/>
    <xf numFmtId="0" fontId="14" fillId="16" borderId="0">
      <alignment horizontal="center"/>
    </xf>
    <xf numFmtId="0" fontId="14" fillId="16" borderId="21">
      <alignment horizontal="left" vertical="center"/>
    </xf>
    <xf numFmtId="0" fontId="17" fillId="16" borderId="0">
      <alignment horizontal="left" vertical="center"/>
    </xf>
    <xf numFmtId="0" fontId="14" fillId="16" borderId="0">
      <alignment horizontal="left" vertical="center"/>
    </xf>
    <xf numFmtId="0" fontId="17" fillId="16" borderId="0">
      <alignment horizontal="right" vertical="center"/>
    </xf>
    <xf numFmtId="0" fontId="17" fillId="16" borderId="0">
      <alignment horizontal="left" vertical="top"/>
    </xf>
    <xf numFmtId="0" fontId="14" fillId="16" borderId="0">
      <alignment horizontal="left" vertical="top"/>
    </xf>
  </cellStyleXfs>
  <cellXfs count="202">
    <xf numFmtId="0" fontId="0" fillId="0" borderId="0" xfId="0"/>
    <xf numFmtId="0" fontId="5" fillId="0" borderId="0" xfId="0" applyFont="1"/>
    <xf numFmtId="0" fontId="6" fillId="0" borderId="0" xfId="0" applyFont="1"/>
    <xf numFmtId="0" fontId="8" fillId="4" borderId="4" xfId="0" applyFont="1" applyFill="1" applyBorder="1"/>
    <xf numFmtId="0" fontId="8" fillId="5" borderId="5" xfId="0" applyFont="1" applyFill="1" applyBorder="1" applyAlignment="1">
      <alignment horizontal="left" vertical="top"/>
    </xf>
    <xf numFmtId="0" fontId="8" fillId="6" borderId="5" xfId="0" applyFont="1" applyFill="1" applyBorder="1"/>
    <xf numFmtId="0" fontId="8" fillId="7" borderId="5" xfId="0" applyFont="1" applyFill="1" applyBorder="1" applyAlignment="1">
      <alignment horizontal="left"/>
    </xf>
    <xf numFmtId="0" fontId="8" fillId="7" borderId="5" xfId="0" applyFont="1" applyFill="1" applyBorder="1"/>
    <xf numFmtId="0" fontId="8" fillId="7" borderId="5" xfId="0" applyFont="1" applyFill="1" applyBorder="1" applyAlignment="1">
      <alignment horizontal="left" vertical="top"/>
    </xf>
    <xf numFmtId="0" fontId="8" fillId="5" borderId="5" xfId="0" applyFont="1" applyFill="1" applyBorder="1"/>
    <xf numFmtId="0" fontId="8" fillId="8" borderId="5" xfId="0" applyFont="1" applyFill="1" applyBorder="1" applyAlignment="1">
      <alignment horizontal="left" vertical="top"/>
    </xf>
    <xf numFmtId="0" fontId="8" fillId="9" borderId="5" xfId="0" applyFont="1" applyFill="1" applyBorder="1"/>
    <xf numFmtId="0" fontId="0" fillId="4" borderId="5" xfId="0" applyFill="1" applyBorder="1"/>
    <xf numFmtId="0" fontId="8" fillId="4" borderId="5" xfId="0" applyFont="1" applyFill="1" applyBorder="1"/>
    <xf numFmtId="0" fontId="8" fillId="10" borderId="5" xfId="0" applyFont="1" applyFill="1" applyBorder="1"/>
    <xf numFmtId="0" fontId="9" fillId="5" borderId="5" xfId="0" applyFont="1" applyFill="1" applyBorder="1" applyAlignment="1">
      <alignment horizontal="left" vertical="top"/>
    </xf>
    <xf numFmtId="0" fontId="8" fillId="11" borderId="5" xfId="0" applyFont="1" applyFill="1" applyBorder="1"/>
    <xf numFmtId="0" fontId="8" fillId="12" borderId="5" xfId="0" applyFont="1" applyFill="1" applyBorder="1"/>
    <xf numFmtId="0" fontId="8" fillId="13" borderId="5" xfId="0" applyFont="1" applyFill="1" applyBorder="1"/>
    <xf numFmtId="0" fontId="8" fillId="4" borderId="6" xfId="0" applyFont="1" applyFill="1" applyBorder="1"/>
    <xf numFmtId="0" fontId="8" fillId="13" borderId="5" xfId="0" applyFont="1" applyFill="1" applyBorder="1" applyAlignment="1">
      <alignment horizontal="left" vertical="top"/>
    </xf>
    <xf numFmtId="0" fontId="8" fillId="13" borderId="7" xfId="0" applyFont="1" applyFill="1" applyBorder="1"/>
    <xf numFmtId="0" fontId="8" fillId="10" borderId="7" xfId="0" applyFont="1" applyFill="1" applyBorder="1"/>
    <xf numFmtId="0" fontId="8" fillId="12" borderId="5" xfId="0" applyFont="1" applyFill="1" applyBorder="1" applyAlignment="1">
      <alignment horizontal="left" vertical="top"/>
    </xf>
    <xf numFmtId="0" fontId="8" fillId="10" borderId="8" xfId="0" applyFont="1" applyFill="1" applyBorder="1" applyAlignment="1">
      <alignment horizontal="left" vertical="top"/>
    </xf>
    <xf numFmtId="0" fontId="8" fillId="10" borderId="8" xfId="0" applyFont="1" applyFill="1" applyBorder="1"/>
    <xf numFmtId="0" fontId="8" fillId="12" borderId="9" xfId="0" applyFont="1" applyFill="1" applyBorder="1" applyAlignment="1">
      <alignment horizontal="left" vertical="top"/>
    </xf>
    <xf numFmtId="0" fontId="8" fillId="13" borderId="9" xfId="0" applyFont="1" applyFill="1" applyBorder="1"/>
    <xf numFmtId="0" fontId="8" fillId="7" borderId="9" xfId="0" applyFont="1" applyFill="1" applyBorder="1" applyAlignment="1">
      <alignment horizontal="left" vertical="top"/>
    </xf>
    <xf numFmtId="0" fontId="8" fillId="7" borderId="9" xfId="0" applyFont="1" applyFill="1" applyBorder="1"/>
    <xf numFmtId="0" fontId="8" fillId="12" borderId="9" xfId="0" applyFont="1" applyFill="1" applyBorder="1"/>
    <xf numFmtId="0" fontId="8" fillId="5" borderId="9" xfId="0" applyFont="1" applyFill="1" applyBorder="1" applyAlignment="1">
      <alignment horizontal="left" vertical="top"/>
    </xf>
    <xf numFmtId="0" fontId="8" fillId="6" borderId="9" xfId="0" applyFont="1" applyFill="1" applyBorder="1"/>
    <xf numFmtId="0" fontId="8" fillId="10" borderId="9" xfId="0" applyFont="1" applyFill="1" applyBorder="1"/>
    <xf numFmtId="0" fontId="8" fillId="4" borderId="9" xfId="0" applyFont="1" applyFill="1" applyBorder="1"/>
    <xf numFmtId="0" fontId="8" fillId="11" borderId="9" xfId="0" applyFont="1" applyFill="1" applyBorder="1"/>
    <xf numFmtId="0" fontId="8" fillId="11" borderId="9" xfId="0" applyFont="1" applyFill="1" applyBorder="1" applyAlignment="1">
      <alignment horizontal="left" vertical="top"/>
    </xf>
    <xf numFmtId="0" fontId="8" fillId="14" borderId="9" xfId="0" applyFont="1" applyFill="1" applyBorder="1"/>
    <xf numFmtId="0" fontId="8" fillId="14" borderId="5" xfId="0" applyFont="1" applyFill="1" applyBorder="1"/>
    <xf numFmtId="0" fontId="10" fillId="7" borderId="9" xfId="0" applyFont="1" applyFill="1" applyBorder="1" applyAlignment="1">
      <alignment horizontal="left" vertical="top"/>
    </xf>
    <xf numFmtId="0" fontId="8" fillId="15" borderId="9" xfId="0" applyFont="1" applyFill="1" applyBorder="1"/>
    <xf numFmtId="0" fontId="8" fillId="0" borderId="9" xfId="0" applyFont="1" applyBorder="1"/>
    <xf numFmtId="0" fontId="8" fillId="0" borderId="5" xfId="0" applyFont="1" applyBorder="1"/>
    <xf numFmtId="0" fontId="0" fillId="4" borderId="9" xfId="0" applyFill="1" applyBorder="1"/>
    <xf numFmtId="0" fontId="8" fillId="15" borderId="10" xfId="0" applyFont="1" applyFill="1" applyBorder="1" applyAlignment="1">
      <alignment horizontal="left" vertical="top"/>
    </xf>
    <xf numFmtId="0" fontId="8" fillId="0" borderId="10" xfId="0" applyFont="1" applyBorder="1"/>
    <xf numFmtId="0" fontId="8" fillId="14" borderId="10" xfId="0" applyFont="1" applyFill="1" applyBorder="1"/>
    <xf numFmtId="0" fontId="0" fillId="4" borderId="1" xfId="0" applyFill="1" applyBorder="1"/>
    <xf numFmtId="0" fontId="0" fillId="4" borderId="4" xfId="0" applyFill="1" applyBorder="1"/>
    <xf numFmtId="0" fontId="0" fillId="4" borderId="6" xfId="0" applyFill="1" applyBorder="1"/>
    <xf numFmtId="0" fontId="8" fillId="11" borderId="10" xfId="0" applyFont="1" applyFill="1" applyBorder="1" applyAlignment="1">
      <alignment horizontal="left" vertical="top"/>
    </xf>
    <xf numFmtId="0" fontId="8" fillId="4" borderId="10" xfId="0" applyFont="1" applyFill="1" applyBorder="1"/>
    <xf numFmtId="0" fontId="8" fillId="11" borderId="1" xfId="0" applyFont="1" applyFill="1" applyBorder="1" applyAlignment="1">
      <alignment horizontal="left" vertical="top"/>
    </xf>
    <xf numFmtId="0" fontId="8" fillId="4" borderId="1" xfId="0" applyFont="1" applyFill="1" applyBorder="1"/>
    <xf numFmtId="0" fontId="8" fillId="11" borderId="6" xfId="0" applyFont="1" applyFill="1" applyBorder="1" applyAlignment="1">
      <alignment horizontal="left" vertical="top"/>
    </xf>
    <xf numFmtId="0" fontId="8" fillId="11" borderId="10" xfId="0" applyFont="1" applyFill="1" applyBorder="1"/>
    <xf numFmtId="0" fontId="8" fillId="11" borderId="1" xfId="0" applyFont="1" applyFill="1" applyBorder="1"/>
    <xf numFmtId="0" fontId="8" fillId="15" borderId="10" xfId="0" applyFont="1" applyFill="1" applyBorder="1"/>
    <xf numFmtId="0" fontId="8" fillId="0" borderId="0" xfId="0" applyFont="1"/>
    <xf numFmtId="0" fontId="8" fillId="0" borderId="0" xfId="0" applyFont="1" applyAlignment="1">
      <alignment wrapText="1"/>
    </xf>
    <xf numFmtId="0" fontId="0" fillId="0" borderId="0" xfId="0" applyProtection="1">
      <protection locked="0"/>
    </xf>
    <xf numFmtId="0" fontId="11" fillId="0" borderId="0" xfId="2" applyFont="1" applyAlignment="1" applyProtection="1">
      <alignment vertical="center"/>
      <protection locked="0"/>
    </xf>
    <xf numFmtId="43" fontId="15" fillId="16" borderId="4" xfId="1" applyFont="1" applyFill="1" applyBorder="1" applyAlignment="1" applyProtection="1">
      <alignment vertical="center"/>
    </xf>
    <xf numFmtId="0" fontId="16" fillId="16" borderId="12" xfId="3" applyFont="1" applyBorder="1" applyAlignment="1">
      <alignment horizontal="center" vertical="center"/>
    </xf>
    <xf numFmtId="43" fontId="15" fillId="16" borderId="14" xfId="1" applyFont="1" applyFill="1" applyBorder="1" applyAlignment="1" applyProtection="1">
      <alignment vertical="center"/>
    </xf>
    <xf numFmtId="0" fontId="15" fillId="16" borderId="15" xfId="3" applyFont="1" applyBorder="1" applyAlignment="1">
      <alignment horizontal="right" vertical="center"/>
    </xf>
    <xf numFmtId="0" fontId="0" fillId="0" borderId="1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5" xfId="0" applyBorder="1" applyProtection="1">
      <protection locked="0"/>
    </xf>
    <xf numFmtId="43" fontId="17" fillId="16" borderId="8" xfId="1" applyFont="1" applyFill="1" applyBorder="1" applyAlignment="1" applyProtection="1">
      <alignment vertical="center"/>
    </xf>
    <xf numFmtId="1" fontId="18" fillId="16" borderId="18" xfId="3" applyNumberFormat="1" applyFont="1" applyBorder="1" applyAlignment="1">
      <alignment horizontal="center" vertical="center"/>
    </xf>
    <xf numFmtId="0" fontId="5" fillId="0" borderId="14" xfId="0" applyFont="1" applyBorder="1" applyProtection="1">
      <protection locked="0"/>
    </xf>
    <xf numFmtId="14" fontId="7" fillId="17" borderId="19" xfId="0" applyNumberFormat="1" applyFont="1" applyFill="1" applyBorder="1" applyProtection="1">
      <protection locked="0"/>
    </xf>
    <xf numFmtId="3" fontId="5" fillId="4" borderId="19" xfId="0" applyNumberFormat="1" applyFont="1" applyFill="1" applyBorder="1" applyAlignment="1" applyProtection="1">
      <alignment horizontal="right"/>
      <protection locked="0"/>
    </xf>
    <xf numFmtId="3" fontId="0" fillId="0" borderId="0" xfId="0" applyNumberFormat="1" applyBorder="1" applyProtection="1">
      <protection locked="0"/>
    </xf>
    <xf numFmtId="0" fontId="11" fillId="0" borderId="4" xfId="2" applyFont="1" applyBorder="1" applyAlignment="1">
      <alignment vertical="center"/>
    </xf>
    <xf numFmtId="0" fontId="11" fillId="0" borderId="11" xfId="2" applyFont="1" applyBorder="1" applyAlignment="1">
      <alignment vertical="center"/>
    </xf>
    <xf numFmtId="0" fontId="11" fillId="0" borderId="12" xfId="2" applyFont="1" applyBorder="1" applyAlignment="1">
      <alignment vertical="center"/>
    </xf>
    <xf numFmtId="0" fontId="11" fillId="0" borderId="14" xfId="2" applyFont="1" applyBorder="1" applyAlignment="1">
      <alignment vertical="center"/>
    </xf>
    <xf numFmtId="0" fontId="20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2" fontId="5" fillId="4" borderId="19" xfId="0" applyNumberFormat="1" applyFont="1" applyFill="1" applyBorder="1" applyAlignment="1" applyProtection="1">
      <alignment horizontal="right"/>
      <protection locked="0"/>
    </xf>
    <xf numFmtId="0" fontId="5" fillId="0" borderId="0" xfId="0" applyFont="1" applyBorder="1" applyProtection="1">
      <protection locked="0"/>
    </xf>
    <xf numFmtId="43" fontId="21" fillId="0" borderId="18" xfId="1" applyFont="1" applyBorder="1" applyAlignment="1" applyProtection="1">
      <alignment horizontal="center"/>
      <protection locked="0"/>
    </xf>
    <xf numFmtId="43" fontId="0" fillId="0" borderId="0" xfId="0" applyNumberFormat="1" applyProtection="1">
      <protection locked="0"/>
    </xf>
    <xf numFmtId="0" fontId="20" fillId="0" borderId="15" xfId="2" applyFont="1" applyBorder="1" applyAlignment="1">
      <alignment vertical="center"/>
    </xf>
    <xf numFmtId="4" fontId="0" fillId="0" borderId="0" xfId="0" applyNumberFormat="1" applyProtection="1">
      <protection locked="0"/>
    </xf>
    <xf numFmtId="0" fontId="11" fillId="0" borderId="14" xfId="2" applyFont="1" applyBorder="1" applyAlignment="1">
      <alignment horizontal="right" vertical="center"/>
    </xf>
    <xf numFmtId="0" fontId="11" fillId="0" borderId="14" xfId="2" applyFont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43" fontId="22" fillId="0" borderId="13" xfId="1" applyFont="1" applyFill="1" applyBorder="1" applyAlignment="1" applyProtection="1">
      <alignment horizontal="center" vertical="center"/>
    </xf>
    <xf numFmtId="0" fontId="23" fillId="0" borderId="0" xfId="3" applyFont="1" applyFill="1" applyAlignment="1">
      <alignment horizontal="center" vertical="center"/>
    </xf>
    <xf numFmtId="0" fontId="24" fillId="0" borderId="0" xfId="3" applyFont="1" applyFill="1" applyAlignment="1">
      <alignment horizontal="right" vertical="center"/>
    </xf>
    <xf numFmtId="0" fontId="24" fillId="0" borderId="0" xfId="3" applyFont="1" applyFill="1" applyAlignment="1">
      <alignment horizontal="center" vertical="center"/>
    </xf>
    <xf numFmtId="43" fontId="17" fillId="0" borderId="15" xfId="1" applyFont="1" applyFill="1" applyBorder="1" applyAlignment="1" applyProtection="1">
      <alignment horizontal="center" vertical="center"/>
    </xf>
    <xf numFmtId="0" fontId="23" fillId="0" borderId="0" xfId="3" applyFont="1" applyFill="1" applyAlignment="1">
      <alignment vertical="center"/>
    </xf>
    <xf numFmtId="43" fontId="17" fillId="0" borderId="0" xfId="1" applyFont="1" applyFill="1" applyBorder="1" applyAlignment="1" applyProtection="1">
      <alignment vertical="center"/>
    </xf>
    <xf numFmtId="0" fontId="17" fillId="0" borderId="15" xfId="3" applyFill="1" applyBorder="1" applyAlignment="1">
      <alignment vertical="center"/>
    </xf>
    <xf numFmtId="0" fontId="11" fillId="0" borderId="0" xfId="3" applyFont="1" applyFill="1" applyAlignment="1">
      <alignment vertical="center"/>
    </xf>
    <xf numFmtId="43" fontId="12" fillId="0" borderId="17" xfId="1" applyFont="1" applyFill="1" applyBorder="1" applyAlignment="1" applyProtection="1">
      <alignment horizontal="center" vertical="center"/>
    </xf>
    <xf numFmtId="0" fontId="11" fillId="0" borderId="0" xfId="3" applyFont="1" applyFill="1" applyAlignment="1">
      <alignment horizontal="left" vertical="center"/>
    </xf>
    <xf numFmtId="0" fontId="20" fillId="0" borderId="0" xfId="3" applyFont="1" applyFill="1" applyAlignment="1">
      <alignment horizontal="left" vertical="center"/>
    </xf>
    <xf numFmtId="0" fontId="11" fillId="0" borderId="0" xfId="2" applyFont="1" applyAlignment="1">
      <alignment horizontal="right" vertical="center"/>
    </xf>
    <xf numFmtId="0" fontId="5" fillId="0" borderId="14" xfId="0" applyFont="1" applyBorder="1" applyAlignment="1" applyProtection="1">
      <alignment horizontal="left"/>
      <protection locked="0"/>
    </xf>
    <xf numFmtId="43" fontId="12" fillId="0" borderId="16" xfId="1" applyFont="1" applyFill="1" applyBorder="1" applyAlignment="1" applyProtection="1">
      <alignment horizontal="center" vertical="center"/>
    </xf>
    <xf numFmtId="43" fontId="0" fillId="0" borderId="15" xfId="0" applyNumberFormat="1" applyBorder="1" applyProtection="1">
      <protection locked="0"/>
    </xf>
    <xf numFmtId="0" fontId="25" fillId="0" borderId="0" xfId="3" applyFont="1" applyFill="1" applyAlignment="1">
      <alignment vertical="center"/>
    </xf>
    <xf numFmtId="0" fontId="14" fillId="0" borderId="14" xfId="5" applyFill="1" applyBorder="1" applyAlignment="1">
      <alignment vertical="center"/>
    </xf>
    <xf numFmtId="0" fontId="14" fillId="0" borderId="0" xfId="5" applyFill="1" applyAlignment="1">
      <alignment vertical="center"/>
    </xf>
    <xf numFmtId="0" fontId="11" fillId="0" borderId="0" xfId="4" applyFont="1" applyFill="1" applyAlignment="1">
      <alignment vertical="center"/>
    </xf>
    <xf numFmtId="0" fontId="26" fillId="0" borderId="15" xfId="0" applyFont="1" applyBorder="1" applyAlignment="1">
      <alignment vertical="center"/>
    </xf>
    <xf numFmtId="0" fontId="27" fillId="0" borderId="14" xfId="6" applyFont="1" applyFill="1" applyBorder="1" applyAlignment="1">
      <alignment vertical="center"/>
    </xf>
    <xf numFmtId="0" fontId="27" fillId="0" borderId="0" xfId="6" applyFont="1" applyFill="1" applyBorder="1" applyAlignment="1">
      <alignment vertical="center"/>
    </xf>
    <xf numFmtId="0" fontId="28" fillId="0" borderId="0" xfId="7" applyFont="1" applyFill="1" applyAlignment="1">
      <alignment vertical="center"/>
    </xf>
    <xf numFmtId="0" fontId="28" fillId="0" borderId="0" xfId="4" applyFont="1" applyFill="1" applyAlignment="1">
      <alignment vertical="center"/>
    </xf>
    <xf numFmtId="0" fontId="27" fillId="0" borderId="0" xfId="8" applyFont="1" applyFill="1" applyAlignment="1">
      <alignment vertical="center"/>
    </xf>
    <xf numFmtId="0" fontId="28" fillId="0" borderId="15" xfId="9" applyFont="1" applyFill="1" applyBorder="1" applyAlignment="1">
      <alignment vertical="center"/>
    </xf>
    <xf numFmtId="0" fontId="29" fillId="0" borderId="0" xfId="0" applyFont="1" applyBorder="1" applyProtection="1">
      <protection locked="0"/>
    </xf>
    <xf numFmtId="0" fontId="27" fillId="0" borderId="4" xfId="8" applyFont="1" applyFill="1" applyBorder="1" applyAlignment="1">
      <alignment vertical="center"/>
    </xf>
    <xf numFmtId="0" fontId="28" fillId="0" borderId="11" xfId="8" applyFont="1" applyFill="1" applyBorder="1" applyAlignment="1">
      <alignment vertical="center"/>
    </xf>
    <xf numFmtId="0" fontId="27" fillId="0" borderId="11" xfId="8" applyFont="1" applyFill="1" applyBorder="1" applyAlignment="1">
      <alignment vertical="center"/>
    </xf>
    <xf numFmtId="0" fontId="28" fillId="0" borderId="11" xfId="9" applyFont="1" applyFill="1" applyBorder="1" applyAlignment="1">
      <alignment vertical="center"/>
    </xf>
    <xf numFmtId="0" fontId="28" fillId="0" borderId="12" xfId="9" applyFont="1" applyFill="1" applyBorder="1" applyAlignment="1">
      <alignment vertical="center"/>
    </xf>
    <xf numFmtId="1" fontId="0" fillId="18" borderId="0" xfId="0" applyNumberFormat="1" applyFill="1" applyBorder="1"/>
    <xf numFmtId="0" fontId="0" fillId="0" borderId="0" xfId="0" applyBorder="1" applyAlignment="1" applyProtection="1">
      <alignment horizontal="right"/>
      <protection locked="0"/>
    </xf>
    <xf numFmtId="1" fontId="5" fillId="0" borderId="15" xfId="0" applyNumberFormat="1" applyFont="1" applyBorder="1" applyAlignment="1" applyProtection="1">
      <alignment horizontal="center"/>
      <protection locked="0"/>
    </xf>
    <xf numFmtId="0" fontId="27" fillId="0" borderId="14" xfId="8" applyFont="1" applyFill="1" applyBorder="1">
      <alignment horizontal="left" vertical="center"/>
    </xf>
    <xf numFmtId="0" fontId="28" fillId="0" borderId="0" xfId="8" applyFont="1" applyFill="1" applyAlignment="1">
      <alignment vertical="center"/>
    </xf>
    <xf numFmtId="0" fontId="28" fillId="0" borderId="15" xfId="8" applyFont="1" applyFill="1" applyBorder="1" applyAlignment="1">
      <alignment vertical="center"/>
    </xf>
    <xf numFmtId="0" fontId="27" fillId="0" borderId="0" xfId="8" applyFont="1" applyFill="1">
      <alignment horizontal="left" vertical="center"/>
    </xf>
    <xf numFmtId="0" fontId="28" fillId="0" borderId="15" xfId="9" applyFont="1" applyFill="1" applyBorder="1">
      <alignment horizontal="right" vertical="center"/>
    </xf>
    <xf numFmtId="0" fontId="0" fillId="0" borderId="8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8" fillId="0" borderId="0" xfId="6" applyFont="1" applyFill="1" applyBorder="1" applyAlignment="1">
      <alignment horizontal="center" vertical="center"/>
    </xf>
    <xf numFmtId="0" fontId="27" fillId="0" borderId="0" xfId="4" applyFont="1" applyFill="1" applyAlignment="1">
      <alignment horizontal="center" vertical="center"/>
    </xf>
    <xf numFmtId="0" fontId="27" fillId="0" borderId="0" xfId="8" applyFont="1" applyFill="1" applyAlignment="1">
      <alignment horizontal="center" vertical="center"/>
    </xf>
    <xf numFmtId="0" fontId="27" fillId="0" borderId="15" xfId="8" applyFont="1" applyFill="1" applyBorder="1" applyAlignment="1">
      <alignment horizontal="center" vertical="center"/>
    </xf>
    <xf numFmtId="0" fontId="27" fillId="0" borderId="0" xfId="4" applyFont="1" applyFill="1" applyAlignment="1">
      <alignment horizontal="right" vertical="center"/>
    </xf>
    <xf numFmtId="43" fontId="28" fillId="0" borderId="15" xfId="1" applyFont="1" applyFill="1" applyBorder="1" applyAlignment="1" applyProtection="1">
      <alignment horizontal="right" vertical="center"/>
    </xf>
    <xf numFmtId="0" fontId="15" fillId="0" borderId="11" xfId="8" applyFont="1" applyFill="1" applyBorder="1">
      <alignment horizontal="left" vertical="center"/>
    </xf>
    <xf numFmtId="0" fontId="30" fillId="0" borderId="11" xfId="8" applyFont="1" applyFill="1" applyBorder="1">
      <alignment horizontal="left" vertical="center"/>
    </xf>
    <xf numFmtId="43" fontId="15" fillId="0" borderId="15" xfId="1" applyFont="1" applyFill="1" applyBorder="1" applyAlignment="1" applyProtection="1">
      <alignment horizontal="right" vertical="center"/>
    </xf>
    <xf numFmtId="0" fontId="31" fillId="0" borderId="8" xfId="8" applyFont="1" applyFill="1" applyBorder="1">
      <alignment horizontal="left" vertical="center"/>
    </xf>
    <xf numFmtId="0" fontId="17" fillId="0" borderId="17" xfId="8" applyFont="1" applyFill="1" applyBorder="1">
      <alignment horizontal="left" vertical="center"/>
    </xf>
    <xf numFmtId="0" fontId="17" fillId="0" borderId="17" xfId="4" applyFont="1" applyFill="1" applyBorder="1" applyAlignment="1">
      <alignment vertical="center"/>
    </xf>
    <xf numFmtId="0" fontId="17" fillId="0" borderId="17" xfId="4" applyFont="1" applyFill="1" applyBorder="1" applyAlignment="1">
      <alignment horizontal="right" vertical="center"/>
    </xf>
    <xf numFmtId="0" fontId="28" fillId="0" borderId="17" xfId="4" applyFont="1" applyFill="1" applyBorder="1" applyAlignment="1">
      <alignment horizontal="right" vertical="center"/>
    </xf>
    <xf numFmtId="43" fontId="28" fillId="0" borderId="18" xfId="1" applyFont="1" applyFill="1" applyBorder="1" applyAlignment="1" applyProtection="1">
      <alignment horizontal="center" vertical="center"/>
    </xf>
    <xf numFmtId="0" fontId="27" fillId="0" borderId="0" xfId="8" applyFont="1" applyFill="1" applyProtection="1">
      <alignment horizontal="left" vertical="center"/>
      <protection locked="0"/>
    </xf>
    <xf numFmtId="0" fontId="28" fillId="0" borderId="0" xfId="4" applyFont="1" applyFill="1" applyAlignment="1" applyProtection="1">
      <alignment vertical="center"/>
      <protection locked="0"/>
    </xf>
    <xf numFmtId="0" fontId="28" fillId="0" borderId="0" xfId="4" applyFont="1" applyFill="1" applyAlignment="1" applyProtection="1">
      <alignment horizontal="right" vertical="center"/>
      <protection locked="0"/>
    </xf>
    <xf numFmtId="43" fontId="28" fillId="0" borderId="0" xfId="1" applyFont="1" applyFill="1" applyBorder="1" applyAlignment="1" applyProtection="1">
      <alignment horizontal="right" vertical="center"/>
      <protection locked="0"/>
    </xf>
    <xf numFmtId="0" fontId="5" fillId="0" borderId="0" xfId="0" applyFont="1" applyProtection="1">
      <protection locked="0"/>
    </xf>
    <xf numFmtId="0" fontId="8" fillId="15" borderId="10" xfId="0" applyFont="1" applyFill="1" applyBorder="1" applyAlignment="1">
      <alignment wrapText="1"/>
    </xf>
    <xf numFmtId="0" fontId="4" fillId="0" borderId="0" xfId="0" applyFont="1" applyProtection="1">
      <protection locked="0"/>
    </xf>
    <xf numFmtId="0" fontId="3" fillId="0" borderId="0" xfId="0" applyFont="1" applyBorder="1" applyProtection="1">
      <protection locked="0"/>
    </xf>
    <xf numFmtId="0" fontId="2" fillId="0" borderId="0" xfId="0" applyFont="1" applyBorder="1" applyProtection="1">
      <protection locked="0"/>
    </xf>
    <xf numFmtId="0" fontId="8" fillId="0" borderId="0" xfId="0" applyFont="1" applyFill="1" applyBorder="1"/>
    <xf numFmtId="0" fontId="1" fillId="0" borderId="0" xfId="0" applyFont="1" applyProtection="1">
      <protection locked="0"/>
    </xf>
    <xf numFmtId="0" fontId="14" fillId="16" borderId="9" xfId="3" applyFont="1" applyBorder="1" applyAlignment="1">
      <alignment horizontal="center" vertical="center"/>
    </xf>
    <xf numFmtId="0" fontId="14" fillId="16" borderId="13" xfId="3" applyFont="1" applyBorder="1" applyAlignment="1">
      <alignment horizontal="center" vertical="center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0" fontId="5" fillId="0" borderId="13" xfId="0" applyFont="1" applyBorder="1" applyAlignment="1" applyProtection="1">
      <alignment horizontal="center"/>
      <protection locked="0"/>
    </xf>
    <xf numFmtId="4" fontId="12" fillId="0" borderId="17" xfId="1" applyNumberFormat="1" applyFont="1" applyBorder="1" applyAlignment="1">
      <alignment horizontal="center"/>
    </xf>
    <xf numFmtId="4" fontId="12" fillId="0" borderId="18" xfId="1" applyNumberFormat="1" applyFont="1" applyBorder="1" applyAlignment="1">
      <alignment horizontal="center"/>
    </xf>
    <xf numFmtId="0" fontId="12" fillId="0" borderId="14" xfId="2" applyFont="1" applyBorder="1" applyAlignment="1">
      <alignment horizontal="center" vertical="center"/>
    </xf>
    <xf numFmtId="0" fontId="12" fillId="0" borderId="19" xfId="2" applyFont="1" applyBorder="1" applyAlignment="1">
      <alignment horizontal="center" vertical="center"/>
    </xf>
    <xf numFmtId="0" fontId="11" fillId="0" borderId="17" xfId="3" applyFont="1" applyFill="1" applyBorder="1" applyAlignment="1">
      <alignment horizontal="left" vertical="center"/>
    </xf>
    <xf numFmtId="0" fontId="11" fillId="0" borderId="18" xfId="3" applyFont="1" applyFill="1" applyBorder="1" applyAlignment="1">
      <alignment horizontal="left" vertical="center"/>
    </xf>
    <xf numFmtId="0" fontId="12" fillId="16" borderId="4" xfId="3" applyFont="1" applyBorder="1" applyAlignment="1">
      <alignment horizontal="center" vertical="center" wrapText="1"/>
    </xf>
    <xf numFmtId="0" fontId="13" fillId="16" borderId="11" xfId="3" applyFont="1" applyBorder="1" applyAlignment="1">
      <alignment horizontal="center" vertical="center" wrapText="1"/>
    </xf>
    <xf numFmtId="0" fontId="13" fillId="16" borderId="12" xfId="3" applyFont="1" applyBorder="1" applyAlignment="1">
      <alignment horizontal="center" vertical="center" wrapText="1"/>
    </xf>
    <xf numFmtId="0" fontId="13" fillId="16" borderId="14" xfId="3" applyFont="1" applyBorder="1" applyAlignment="1">
      <alignment horizontal="center" vertical="center" wrapText="1"/>
    </xf>
    <xf numFmtId="0" fontId="13" fillId="16" borderId="0" xfId="3" applyFont="1" applyAlignment="1">
      <alignment horizontal="center" vertical="center" wrapText="1"/>
    </xf>
    <xf numFmtId="0" fontId="13" fillId="16" borderId="15" xfId="3" applyFont="1" applyBorder="1" applyAlignment="1">
      <alignment horizontal="center" vertical="center" wrapText="1"/>
    </xf>
    <xf numFmtId="0" fontId="13" fillId="16" borderId="8" xfId="3" applyFont="1" applyBorder="1" applyAlignment="1">
      <alignment horizontal="center" vertical="center" wrapText="1"/>
    </xf>
    <xf numFmtId="0" fontId="13" fillId="16" borderId="17" xfId="3" applyFont="1" applyBorder="1" applyAlignment="1">
      <alignment horizontal="center" vertical="center" wrapText="1"/>
    </xf>
    <xf numFmtId="0" fontId="13" fillId="16" borderId="18" xfId="3" applyFont="1" applyBorder="1" applyAlignment="1">
      <alignment horizontal="center" vertical="center" wrapText="1"/>
    </xf>
    <xf numFmtId="0" fontId="19" fillId="16" borderId="4" xfId="11" applyFont="1" applyBorder="1" applyAlignment="1">
      <alignment horizontal="center" vertical="center"/>
    </xf>
    <xf numFmtId="0" fontId="19" fillId="16" borderId="11" xfId="11" applyFont="1" applyBorder="1" applyAlignment="1">
      <alignment horizontal="center" vertical="center"/>
    </xf>
    <xf numFmtId="0" fontId="19" fillId="16" borderId="12" xfId="11" applyFont="1" applyBorder="1" applyAlignment="1">
      <alignment horizontal="center" vertical="center"/>
    </xf>
    <xf numFmtId="0" fontId="19" fillId="16" borderId="8" xfId="11" applyFont="1" applyBorder="1" applyAlignment="1">
      <alignment horizontal="center" vertical="center"/>
    </xf>
    <xf numFmtId="0" fontId="19" fillId="16" borderId="17" xfId="11" applyFont="1" applyBorder="1" applyAlignment="1">
      <alignment horizontal="center" vertical="center"/>
    </xf>
    <xf numFmtId="0" fontId="19" fillId="16" borderId="18" xfId="11" applyFont="1" applyBorder="1" applyAlignment="1">
      <alignment horizontal="center" vertical="center"/>
    </xf>
    <xf numFmtId="0" fontId="11" fillId="0" borderId="16" xfId="3" applyFont="1" applyFill="1" applyBorder="1" applyAlignment="1">
      <alignment horizontal="left" vertical="center"/>
    </xf>
    <xf numFmtId="43" fontId="11" fillId="0" borderId="17" xfId="1" applyFont="1" applyBorder="1" applyAlignment="1" applyProtection="1">
      <alignment horizontal="left" vertical="center"/>
    </xf>
    <xf numFmtId="43" fontId="11" fillId="0" borderId="18" xfId="1" applyFont="1" applyBorder="1" applyAlignment="1" applyProtection="1">
      <alignment horizontal="left" vertical="center"/>
    </xf>
    <xf numFmtId="164" fontId="12" fillId="0" borderId="17" xfId="4" applyNumberFormat="1" applyFont="1" applyFill="1" applyBorder="1" applyAlignment="1">
      <alignment horizontal="center" vertical="center"/>
    </xf>
    <xf numFmtId="0" fontId="24" fillId="0" borderId="14" xfId="8" applyFont="1" applyFill="1" applyBorder="1">
      <alignment horizontal="left" vertical="center"/>
    </xf>
    <xf numFmtId="0" fontId="24" fillId="0" borderId="0" xfId="8" applyFont="1" applyFill="1">
      <alignment horizontal="left" vertical="center"/>
    </xf>
    <xf numFmtId="0" fontId="12" fillId="0" borderId="19" xfId="8" applyFont="1" applyFill="1" applyBorder="1" applyAlignment="1">
      <alignment horizontal="center" vertical="center"/>
    </xf>
    <xf numFmtId="0" fontId="12" fillId="0" borderId="20" xfId="6" applyFont="1" applyFill="1" applyBorder="1" applyAlignment="1">
      <alignment horizontal="center" vertical="center"/>
    </xf>
    <xf numFmtId="0" fontId="28" fillId="0" borderId="14" xfId="6" applyFont="1" applyFill="1" applyBorder="1" applyAlignment="1">
      <alignment horizontal="center" vertical="center"/>
    </xf>
    <xf numFmtId="0" fontId="28" fillId="0" borderId="0" xfId="6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</cellXfs>
  <cellStyles count="12">
    <cellStyle name="Comma" xfId="1" builtinId="3"/>
    <cellStyle name="Normal" xfId="0" builtinId="0"/>
    <cellStyle name="Normal 2" xfId="2"/>
    <cellStyle name="Style 33" xfId="3"/>
    <cellStyle name="Style 34" xfId="4"/>
    <cellStyle name="Style 35" xfId="5"/>
    <cellStyle name="Style 36" xfId="6"/>
    <cellStyle name="Style 37" xfId="7"/>
    <cellStyle name="Style 38" xfId="8"/>
    <cellStyle name="Style 39" xfId="9"/>
    <cellStyle name="Style 42" xfId="10"/>
    <cellStyle name="Style 50" xfId="11"/>
  </cellStyles>
  <dxfs count="0"/>
  <tableStyles count="0" defaultTableStyle="TableStyleMedium2" defaultPivotStyle="PivotStyleLight16"/>
  <colors>
    <mruColors>
      <color rgb="FFF7F7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215349</xdr:colOff>
      <xdr:row>20</xdr:row>
      <xdr:rowOff>6627</xdr:rowOff>
    </xdr:from>
    <xdr:to>
      <xdr:col>13</xdr:col>
      <xdr:colOff>8283</xdr:colOff>
      <xdr:row>22</xdr:row>
      <xdr:rowOff>92103</xdr:rowOff>
    </xdr:to>
    <xdr:grpSp>
      <xdr:nvGrpSpPr>
        <xdr:cNvPr id="4" name="Group 3"/>
        <xdr:cNvGrpSpPr/>
      </xdr:nvGrpSpPr>
      <xdr:grpSpPr>
        <a:xfrm>
          <a:off x="9686345" y="3020228"/>
          <a:ext cx="1098596" cy="332111"/>
          <a:chOff x="9375872" y="3054440"/>
          <a:chExt cx="1068461" cy="33395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9375872" y="3054440"/>
                <a:ext cx="1068461" cy="33395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Next Invoice</a:t>
                </a:r>
              </a:p>
            </xdr:txBody>
          </xdr:sp>
        </mc:Choice>
        <mc:Fallback/>
      </mc:AlternateContent>
      <xdr:pic>
        <xdr:nvPicPr>
          <xdr:cNvPr id="3" name="Graphic 2" descr="Document with solid fill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10171045" y="3097696"/>
            <a:ext cx="256761" cy="256761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173935</xdr:colOff>
      <xdr:row>10</xdr:row>
      <xdr:rowOff>33130</xdr:rowOff>
    </xdr:from>
    <xdr:to>
      <xdr:col>19</xdr:col>
      <xdr:colOff>414131</xdr:colOff>
      <xdr:row>21</xdr:row>
      <xdr:rowOff>20706</xdr:rowOff>
    </xdr:to>
    <xdr:sp macro="" textlink="">
      <xdr:nvSpPr>
        <xdr:cNvPr id="2" name="Add-in 1"/>
        <xdr:cNvSpPr>
          <a:spLocks noGrp="1"/>
        </xdr:cNvSpPr>
      </xdr:nvSpPr>
      <xdr:spPr>
        <a:xfrm>
          <a:off x="13317855" y="1844040"/>
          <a:ext cx="1421765" cy="1527175"/>
        </a:xfr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T51"/>
  <sheetViews>
    <sheetView tabSelected="1" view="pageBreakPreview" topLeftCell="K1" zoomScaleNormal="100" workbookViewId="0">
      <selection activeCell="M16" sqref="M16"/>
    </sheetView>
  </sheetViews>
  <sheetFormatPr defaultColWidth="8.85546875" defaultRowHeight="15"/>
  <cols>
    <col min="1" max="1" width="8.85546875" style="60"/>
    <col min="2" max="2" width="2" style="61" customWidth="1"/>
    <col min="3" max="3" width="8.42578125" style="61" customWidth="1"/>
    <col min="4" max="4" width="10.7109375" style="61" customWidth="1"/>
    <col min="5" max="5" width="12.7109375" style="61" customWidth="1"/>
    <col min="6" max="6" width="7" style="61" customWidth="1"/>
    <col min="7" max="7" width="13" style="61" customWidth="1"/>
    <col min="8" max="8" width="9.42578125" style="61" customWidth="1"/>
    <col min="9" max="9" width="13.28515625" style="61" customWidth="1"/>
    <col min="10" max="10" width="16.28515625" style="61" customWidth="1"/>
    <col min="11" max="11" width="8.85546875" style="60"/>
    <col min="12" max="12" width="22.28515625" style="60" customWidth="1"/>
    <col min="13" max="13" width="18.5703125" style="60" customWidth="1"/>
    <col min="14" max="15" width="8.85546875" style="60"/>
    <col min="16" max="16" width="12.7109375" style="60" customWidth="1"/>
    <col min="17" max="17" width="15.28515625" style="60" customWidth="1"/>
    <col min="18" max="19" width="8.85546875" style="60"/>
    <col min="20" max="20" width="12.140625" style="60" customWidth="1"/>
    <col min="21" max="16384" width="8.85546875" style="60"/>
  </cols>
  <sheetData>
    <row r="1" spans="2:20">
      <c r="B1" s="171" t="s">
        <v>0</v>
      </c>
      <c r="C1" s="172"/>
      <c r="D1" s="172"/>
      <c r="E1" s="172"/>
      <c r="F1" s="172"/>
      <c r="G1" s="172"/>
      <c r="H1" s="173"/>
      <c r="I1" s="160" t="s">
        <v>1</v>
      </c>
      <c r="J1" s="161"/>
    </row>
    <row r="2" spans="2:20">
      <c r="B2" s="174"/>
      <c r="C2" s="175"/>
      <c r="D2" s="175"/>
      <c r="E2" s="175"/>
      <c r="F2" s="175"/>
      <c r="G2" s="175"/>
      <c r="H2" s="176"/>
      <c r="I2" s="62" t="s">
        <v>2</v>
      </c>
      <c r="J2" s="63" t="s">
        <v>3</v>
      </c>
      <c r="L2" s="162" t="s">
        <v>4</v>
      </c>
      <c r="M2" s="163"/>
      <c r="N2" s="163"/>
      <c r="O2" s="163"/>
      <c r="P2" s="163"/>
      <c r="Q2" s="164"/>
    </row>
    <row r="3" spans="2:20" ht="13.9" customHeight="1">
      <c r="B3" s="174"/>
      <c r="C3" s="175"/>
      <c r="D3" s="175"/>
      <c r="E3" s="175"/>
      <c r="F3" s="175"/>
      <c r="G3" s="175"/>
      <c r="H3" s="176"/>
      <c r="I3" s="64" t="s">
        <v>5</v>
      </c>
      <c r="J3" s="65"/>
      <c r="L3" s="66"/>
      <c r="M3" s="67"/>
      <c r="N3" s="67"/>
      <c r="O3" s="67"/>
      <c r="P3" s="67"/>
      <c r="Q3" s="68"/>
    </row>
    <row r="4" spans="2:20" ht="10.9" customHeight="1">
      <c r="B4" s="177"/>
      <c r="C4" s="178"/>
      <c r="D4" s="178"/>
      <c r="E4" s="178"/>
      <c r="F4" s="178"/>
      <c r="G4" s="178"/>
      <c r="H4" s="179"/>
      <c r="I4" s="69" t="s">
        <v>6</v>
      </c>
      <c r="J4" s="70">
        <f>M21</f>
        <v>55581</v>
      </c>
      <c r="L4" s="71" t="s">
        <v>7</v>
      </c>
      <c r="M4" s="72">
        <v>46197</v>
      </c>
      <c r="N4" s="67"/>
      <c r="O4" s="67"/>
      <c r="P4" s="67"/>
      <c r="Q4" s="68"/>
    </row>
    <row r="5" spans="2:20">
      <c r="B5" s="180" t="s">
        <v>8</v>
      </c>
      <c r="C5" s="181"/>
      <c r="D5" s="181"/>
      <c r="E5" s="181"/>
      <c r="F5" s="181"/>
      <c r="G5" s="181"/>
      <c r="H5" s="181"/>
      <c r="I5" s="181"/>
      <c r="J5" s="182"/>
      <c r="L5" s="71" t="s">
        <v>9</v>
      </c>
      <c r="M5" s="73" t="s">
        <v>586</v>
      </c>
      <c r="N5" s="67"/>
      <c r="O5" s="67"/>
      <c r="P5" s="67"/>
      <c r="Q5" s="68"/>
    </row>
    <row r="6" spans="2:20">
      <c r="B6" s="183"/>
      <c r="C6" s="184"/>
      <c r="D6" s="184"/>
      <c r="E6" s="184"/>
      <c r="F6" s="184"/>
      <c r="G6" s="184"/>
      <c r="H6" s="184"/>
      <c r="I6" s="184"/>
      <c r="J6" s="185"/>
      <c r="L6" s="71" t="s">
        <v>10</v>
      </c>
      <c r="M6" s="73">
        <v>103500</v>
      </c>
      <c r="N6" s="74"/>
      <c r="O6" s="67"/>
      <c r="P6" s="67"/>
      <c r="Q6" s="68"/>
    </row>
    <row r="7" spans="2:20">
      <c r="B7" s="75"/>
      <c r="C7" s="76"/>
      <c r="D7" s="76"/>
      <c r="E7" s="76"/>
      <c r="F7" s="76"/>
      <c r="G7" s="76"/>
      <c r="H7" s="76"/>
      <c r="I7" s="76"/>
      <c r="J7" s="77"/>
      <c r="L7" s="71" t="s">
        <v>11</v>
      </c>
      <c r="M7" s="73" t="s">
        <v>320</v>
      </c>
      <c r="N7" s="67"/>
      <c r="O7" s="67"/>
      <c r="P7" s="67"/>
      <c r="Q7" s="68"/>
    </row>
    <row r="8" spans="2:20">
      <c r="B8" s="78"/>
      <c r="C8" s="79" t="s">
        <v>13</v>
      </c>
      <c r="D8" s="80"/>
      <c r="E8" s="80"/>
      <c r="F8" s="80"/>
      <c r="G8" s="165">
        <f>M6</f>
        <v>103500</v>
      </c>
      <c r="H8" s="165"/>
      <c r="I8" s="165"/>
      <c r="J8" s="166"/>
      <c r="L8" s="71" t="s">
        <v>14</v>
      </c>
      <c r="M8" s="81">
        <v>1</v>
      </c>
      <c r="N8" s="67"/>
      <c r="O8" s="82" t="s">
        <v>15</v>
      </c>
      <c r="P8" s="67"/>
      <c r="Q8" s="83">
        <v>69.75</v>
      </c>
      <c r="T8" s="84">
        <f>M8*Q8*1000</f>
        <v>69750</v>
      </c>
    </row>
    <row r="9" spans="2:20" ht="13.9" customHeight="1">
      <c r="B9" s="167" t="str">
        <f>CHOOSE(LEFT(TEXT(M6,"000000000.00"))+1,,"One","Two","Three","Four","Five","Six","Seven","Eight","Nine")&amp;IF(--LEFT(TEXT(M6,"000000000.00"))=0,,IF(AND(--MID(TEXT(M6,"000000000.00"),2,1)=0,--MID(TEXT(M6,"000000000.00"),3,1)=0)," Hundred"," Hundred and "))&amp;CHOOSE(MID(TEXT(M6,"000000000.00"),2,1)+1,,,"Twenty ","Thirty ","Forty ","Fifty ","Sixty ","Seventy ","Eighty ","Ninety ")&amp;IF(--MID(TEXT(M6,"000000000.00"),2,1)&lt;&gt;1,CHOOSE(MID(TEXT(M6,"000000000.00"),3,1)+1,,"One","Two","Three","Four","Five","Six","Seven","Eight","Nine"),CHOOSE(MID(TEXT(M6,"000000000.00"),3,1)+1,"Ten","Eleven","Twelve","Thirteen","Fourteen","Fifteen","Sixteen","Seventeen","Eighteen","Nineteen"))&amp;IF((--LEFT(TEXT(M6,"000000000.00"))+MID(TEXT(M6,"000000000.00"),2,1)+MID(TEXT(M6,"000000000.00"),3,1))=0,,IF(AND((--MID(TEXT(M6,"000000000.00"),4,1)+MID(TEXT(M6,"000000000.00"),5,1)+MID(TEXT(M6,"000000000.00"),6,1)+MID(TEXT(M6,"000000000.00"),7,1))=0,(--MID(TEXT(M6,"000000000.00"),8,1)+RIGHT(TEXT(M6,"000000000.00")))&gt;0)," Million and "," Million "))&amp;CHOOSE(MID(TEXT(M6,"000000000.00"),4,1)+1,,"One","Two","Three","Four","Five","Six","Seven","Eight","Nine")&amp;IF(--MID(TEXT(M6,"000000000.00"),4,1)=0,,IF(AND(--MID(TEXT(M6,"000000000.00"),5,1)=0,--MID(TEXT(M6,"000000000.00"),6,1)=0)," Hundred"," Hundred and"))&amp;CHOOSE(MID(TEXT(M6,"000000000.00"),5,1)+1,,," Twenty"," Thirty"," Forty"," Fifty"," Sixty"," Seventy"," Eighty"," Ninety")&amp;IF(--MID(TEXT(M6,"000000000.00"),5,1)&lt;&gt;1,CHOOSE(MID(TEXT(M6,"000000000.00"),6,1)+1,," One"," Two"," Three"," Four"," Five"," Six"," Seven"," Eight"," Nine"),CHOOSE(MID(TEXT(M6,"000000000.00"),6,1)+1," Ten"," Eleven"," Twelve"," Thirteen"," Fourteen"," Fifteen"," Sixteen"," Seventeen"," Eighteen"," Nineteen"))&amp;IF((--MID(TEXT(M6,"000000000.00"),4,1)+MID(TEXT(M6,"000000000.00"),5,1)+MID(TEXT(M6,"000000000.00"),6,1))=0,,IF(OR((--MID(TEXT(M6,"000000000.00"),7,1)+MID(TEXT(M6,"000000000.00"),8,1)+MID(TEXT(M6,"000000000.00"),9,1))=0,--MID(TEXT(M6,"000000000.00"),7,1)&lt;&gt;0)," Thousand "," Thousand and "))&amp;CHOOSE(MID(TEXT(M6,"000000000.00"),7,1)+1,,"One","Two","Three","Four","Five","Six","Seven","Eight","Nine")&amp;IF(--MID(TEXT(M6,"000000000.00"),7,1)=0,,IF(AND(--MID(TEXT(M6,"000000000.00"),8,1)=0,--MID(TEXT(M6,"000000000.00"),9,1)=0)," Hundred "," Hundred and "))&amp;CHOOSE(MID(TEXT(M6,"000000000.00"),8,1)+1,,,"Twenty ","Thirty ","Forty ","Fifty ","Sixty ","Seventy ","Eighty ","Ninety ")&amp;IF(--MID(TEXT(M6,"000000000.00"),8,1)&lt;&gt;1,CHOOSE(MID(TEXT(M6,"000000000.00"),9,1)+1,,"One","Two","Three","Four","Five","Six","Seven","Eight","Nine"),CHOOSE(MID(TEXT(M6,"000000000.00"),9,1)+1,"Ten","Eleven","Twelve","Thirteen","Fourteen","Fifteen","Sixteen","Seventeen","Eighteen","Nineteen"))&amp;IF(MOD(M6,1)=0,""," and "&amp;TEXT(MOD(M6,1)*100,"00")&amp;"/100")</f>
        <v xml:space="preserve">One Hundred and Three Thousand Five Hundred </v>
      </c>
      <c r="C9" s="168"/>
      <c r="D9" s="168"/>
      <c r="E9" s="168"/>
      <c r="F9" s="168"/>
      <c r="G9" s="168"/>
      <c r="H9" s="168"/>
      <c r="I9" s="168"/>
      <c r="J9" s="85" t="s">
        <v>16</v>
      </c>
      <c r="L9" s="71" t="s">
        <v>17</v>
      </c>
      <c r="M9" s="81">
        <v>0.5</v>
      </c>
      <c r="N9" s="67"/>
      <c r="O9" s="82" t="s">
        <v>18</v>
      </c>
      <c r="P9" s="67"/>
      <c r="Q9" s="83">
        <v>69.25</v>
      </c>
      <c r="T9" s="86">
        <f>M9*Q9*1000</f>
        <v>34625</v>
      </c>
    </row>
    <row r="10" spans="2:20" ht="13.9" customHeight="1">
      <c r="B10" s="87"/>
      <c r="C10" s="169" t="str">
        <f>Sheet2!F2</f>
        <v>Maralag | GUNIX GAS STATION | SEM UDTOHAN PANGASIAN</v>
      </c>
      <c r="D10" s="169"/>
      <c r="E10" s="169"/>
      <c r="F10" s="169"/>
      <c r="G10" s="169"/>
      <c r="H10" s="169"/>
      <c r="I10" s="169"/>
      <c r="J10" s="170"/>
      <c r="L10" s="71" t="s">
        <v>19</v>
      </c>
      <c r="M10" s="81"/>
      <c r="N10" s="67"/>
      <c r="O10" s="82" t="s">
        <v>20</v>
      </c>
      <c r="P10" s="67"/>
      <c r="Q10" s="83"/>
      <c r="T10" s="86">
        <f>M10*Q10*1000</f>
        <v>0</v>
      </c>
    </row>
    <row r="11" spans="2:20" ht="12.6" customHeight="1">
      <c r="B11" s="88"/>
      <c r="C11" s="186" t="str">
        <f>Sheet2!C4</f>
        <v>BRGY. MARALAG, DUMINGAG, ZAMBOANGA DEL SUR</v>
      </c>
      <c r="D11" s="186"/>
      <c r="E11" s="186"/>
      <c r="F11" s="186"/>
      <c r="G11" s="186"/>
      <c r="H11" s="186"/>
      <c r="I11" s="89" t="s">
        <v>21</v>
      </c>
      <c r="J11" s="90" t="str">
        <f>L5&amp;" "&amp;M5</f>
        <v>PO NO: 6D 5659</v>
      </c>
      <c r="L11" s="71"/>
      <c r="M11" s="73"/>
      <c r="N11" s="67"/>
      <c r="O11" s="82"/>
      <c r="P11" s="67"/>
      <c r="Q11" s="68"/>
    </row>
    <row r="12" spans="2:20" ht="4.1500000000000004" customHeight="1">
      <c r="B12" s="78"/>
      <c r="C12" s="91"/>
      <c r="D12" s="91"/>
      <c r="E12" s="91"/>
      <c r="F12" s="91"/>
      <c r="G12" s="91"/>
      <c r="H12" s="92"/>
      <c r="I12" s="93"/>
      <c r="J12" s="94"/>
      <c r="L12" s="66"/>
      <c r="M12" s="73" t="s">
        <v>22</v>
      </c>
      <c r="N12" s="156" t="s">
        <v>23</v>
      </c>
      <c r="O12" s="67">
        <v>0</v>
      </c>
      <c r="P12" s="67"/>
      <c r="Q12" s="68"/>
    </row>
    <row r="13" spans="2:20" ht="12.6" customHeight="1">
      <c r="B13" s="78"/>
      <c r="C13" s="80" t="s">
        <v>24</v>
      </c>
      <c r="D13" s="80"/>
      <c r="E13" s="80"/>
      <c r="F13" s="80"/>
      <c r="G13" s="95"/>
      <c r="H13" s="95"/>
      <c r="I13" s="96"/>
      <c r="J13" s="97"/>
      <c r="L13" s="66"/>
      <c r="M13" s="73"/>
      <c r="N13" s="67"/>
      <c r="O13" s="157" t="s">
        <v>23</v>
      </c>
      <c r="P13" s="67"/>
      <c r="Q13" s="68"/>
    </row>
    <row r="14" spans="2:20" ht="4.9000000000000004" customHeight="1">
      <c r="B14" s="78"/>
      <c r="C14" s="80"/>
      <c r="D14" s="80"/>
      <c r="E14" s="80"/>
      <c r="F14" s="80"/>
      <c r="G14" s="95"/>
      <c r="H14" s="95"/>
      <c r="I14" s="96"/>
      <c r="J14" s="97"/>
      <c r="L14" s="66"/>
      <c r="M14" s="73" t="s">
        <v>564</v>
      </c>
      <c r="N14" s="67"/>
      <c r="O14" s="67"/>
      <c r="P14" s="67"/>
      <c r="Q14" s="68"/>
    </row>
    <row r="15" spans="2:20" ht="12.6" customHeight="1">
      <c r="B15" s="88"/>
      <c r="C15" s="98" t="s">
        <v>25</v>
      </c>
      <c r="D15" s="99" t="str">
        <f>IF(M8=0,"",M8&amp;" "&amp;Sheet2!$C$14)</f>
        <v>1 KL</v>
      </c>
      <c r="E15" s="100" t="str">
        <f>IF(OR(Sheet2!$G$14=0,$Q8=0,Sheet2!$G$15=0),"",Sheet2!$G$14&amp;" "&amp;TEXT($Q8,"0.00")&amp;" "&amp;Sheet2!$G$15)</f>
        <v>at 69.75 pesos</v>
      </c>
      <c r="F15" s="101"/>
      <c r="G15" s="80"/>
      <c r="H15" s="102" t="s">
        <v>26</v>
      </c>
      <c r="I15" s="187" t="str">
        <f>IF(M16=0,"",M16)</f>
        <v>PARTIAL PAYMENT</v>
      </c>
      <c r="J15" s="188"/>
      <c r="L15" s="103" t="s">
        <v>27</v>
      </c>
      <c r="M15" s="73"/>
      <c r="O15" s="67"/>
      <c r="P15" s="67"/>
      <c r="Q15" s="68"/>
    </row>
    <row r="16" spans="2:20" ht="12.6" customHeight="1">
      <c r="B16" s="88"/>
      <c r="C16" s="80" t="s">
        <v>28</v>
      </c>
      <c r="D16" s="104" t="str">
        <f>IF(M9=0,"",M9&amp;" "&amp;Sheet2!$C$14)</f>
        <v>0.5 KL</v>
      </c>
      <c r="E16" s="100" t="str">
        <f>IF(OR(Sheet2!$G$14=0,$Q9=0,Sheet2!$G$15=0),"",Sheet2!$G$14&amp;" "&amp;TEXT($Q9,"0.00")&amp;" "&amp;Sheet2!$G$15)</f>
        <v>at 69.25 pesos</v>
      </c>
      <c r="F16" s="101"/>
      <c r="G16" s="80"/>
      <c r="H16" s="80"/>
      <c r="I16" s="187" t="e">
        <f>IF(#REF!=0,"",#REF!)</f>
        <v>#REF!</v>
      </c>
      <c r="J16" s="188"/>
      <c r="L16" s="103" t="s">
        <v>27</v>
      </c>
      <c r="M16" s="73" t="s">
        <v>587</v>
      </c>
      <c r="N16" s="67"/>
      <c r="O16" s="67"/>
      <c r="P16" s="67"/>
      <c r="Q16" s="105">
        <f>SUM(T8:T10)</f>
        <v>104375</v>
      </c>
    </row>
    <row r="17" spans="2:18" ht="12.6" customHeight="1">
      <c r="B17" s="88"/>
      <c r="C17" s="80" t="s">
        <v>29</v>
      </c>
      <c r="D17" s="104" t="str">
        <f>IF(M10=0,"",M10&amp;" "&amp;Sheet2!$C$14)</f>
        <v/>
      </c>
      <c r="E17" s="100" t="str">
        <f>IF(OR(Sheet2!$G$14=0,$Q10=0,Sheet2!$G$15=0),"",Sheet2!$G$14&amp;" "&amp;TEXT($Q10,"0.00")&amp;" "&amp;Sheet2!$G$15)</f>
        <v/>
      </c>
      <c r="F17" s="101"/>
      <c r="G17" s="80"/>
      <c r="H17" s="106"/>
      <c r="I17" s="187" t="str">
        <f>IF(M17=0,"",M17)</f>
        <v/>
      </c>
      <c r="J17" s="188"/>
      <c r="L17" s="103" t="s">
        <v>27</v>
      </c>
      <c r="M17" s="73"/>
      <c r="N17" s="67" t="s">
        <v>23</v>
      </c>
      <c r="O17" s="67"/>
      <c r="P17" s="67"/>
      <c r="Q17" s="68"/>
    </row>
    <row r="18" spans="2:18" ht="12.6" customHeight="1">
      <c r="B18" s="88"/>
      <c r="C18" s="80"/>
      <c r="D18" s="80"/>
      <c r="E18" s="80"/>
      <c r="F18" s="80"/>
      <c r="G18" s="80"/>
      <c r="H18" s="106"/>
      <c r="I18" s="80"/>
      <c r="J18" s="97"/>
      <c r="L18" s="66"/>
      <c r="M18" s="73"/>
      <c r="N18" s="67"/>
      <c r="O18" s="67"/>
      <c r="P18" s="67"/>
      <c r="Q18" s="68"/>
    </row>
    <row r="19" spans="2:18" ht="12.6" customHeight="1">
      <c r="B19" s="107"/>
      <c r="C19" s="80" t="s">
        <v>30</v>
      </c>
      <c r="D19" s="108"/>
      <c r="E19" s="109"/>
      <c r="F19" s="109"/>
      <c r="G19" s="189">
        <f>M4</f>
        <v>46197</v>
      </c>
      <c r="H19" s="189"/>
      <c r="I19" s="189"/>
      <c r="J19" s="110"/>
      <c r="L19" s="103" t="s">
        <v>31</v>
      </c>
      <c r="M19" s="73" t="s">
        <v>32</v>
      </c>
      <c r="N19" s="67"/>
      <c r="O19" s="67"/>
      <c r="P19" s="67"/>
      <c r="Q19" s="68"/>
    </row>
    <row r="20" spans="2:18" ht="9" customHeight="1">
      <c r="B20" s="111"/>
      <c r="C20" s="112"/>
      <c r="D20" s="112"/>
      <c r="E20" s="113"/>
      <c r="F20" s="113"/>
      <c r="G20" s="114"/>
      <c r="H20" s="115"/>
      <c r="I20" s="115"/>
      <c r="J20" s="116"/>
      <c r="L20" s="66"/>
      <c r="M20" s="67"/>
      <c r="N20" s="67"/>
      <c r="O20" s="117"/>
      <c r="P20" s="67"/>
      <c r="Q20" s="68"/>
    </row>
    <row r="21" spans="2:18">
      <c r="B21" s="118" t="s">
        <v>33</v>
      </c>
      <c r="C21" s="119"/>
      <c r="D21" s="119"/>
      <c r="E21" s="119"/>
      <c r="F21" s="119"/>
      <c r="G21" s="120"/>
      <c r="H21" s="120"/>
      <c r="I21" s="121"/>
      <c r="J21" s="122"/>
      <c r="L21" s="71" t="s">
        <v>34</v>
      </c>
      <c r="M21" s="123">
        <v>55581</v>
      </c>
      <c r="N21" s="67"/>
      <c r="O21" s="67" t="s">
        <v>23</v>
      </c>
      <c r="P21" s="124" t="s">
        <v>35</v>
      </c>
      <c r="Q21" s="125"/>
    </row>
    <row r="22" spans="2:18" ht="5.45" customHeight="1">
      <c r="B22" s="126"/>
      <c r="C22" s="127"/>
      <c r="D22" s="127"/>
      <c r="E22" s="127"/>
      <c r="F22" s="127"/>
      <c r="G22" s="127"/>
      <c r="H22" s="127"/>
      <c r="I22" s="127"/>
      <c r="J22" s="128"/>
      <c r="L22" s="66"/>
      <c r="M22" s="67"/>
      <c r="N22" s="67"/>
      <c r="O22" s="67"/>
      <c r="P22" s="67"/>
      <c r="Q22" s="68"/>
    </row>
    <row r="23" spans="2:18">
      <c r="B23" s="190" t="s">
        <v>36</v>
      </c>
      <c r="C23" s="191"/>
      <c r="D23" s="192" t="str">
        <f>$M$19</f>
        <v>MICHELLE L. DELMEGUIZ</v>
      </c>
      <c r="E23" s="192"/>
      <c r="F23" s="192"/>
      <c r="G23" s="115"/>
      <c r="H23" s="129"/>
      <c r="I23" s="129"/>
      <c r="J23" s="130"/>
      <c r="L23" s="66"/>
      <c r="M23" s="67"/>
      <c r="N23" s="67"/>
      <c r="O23" s="67"/>
      <c r="P23" s="67" t="s">
        <v>37</v>
      </c>
      <c r="Q23" s="68"/>
    </row>
    <row r="24" spans="2:18">
      <c r="B24" s="190" t="s">
        <v>38</v>
      </c>
      <c r="C24" s="191"/>
      <c r="D24" s="193" t="str">
        <f>IF(VLOOKUP(D23,Sheet2!C8:D10,2,0)=0,"",VLOOKUP(D23,Sheet2!C8:D10,2,0))</f>
        <v>CASHIER</v>
      </c>
      <c r="E24" s="193"/>
      <c r="F24" s="193"/>
      <c r="G24" s="112"/>
      <c r="H24" s="129"/>
      <c r="I24" s="129"/>
      <c r="J24" s="130"/>
      <c r="L24" s="131"/>
      <c r="M24" s="132"/>
      <c r="N24" s="132"/>
      <c r="O24" s="132"/>
      <c r="P24" s="132"/>
      <c r="Q24" s="133"/>
    </row>
    <row r="25" spans="2:18" ht="9" customHeight="1">
      <c r="B25" s="194"/>
      <c r="C25" s="195"/>
      <c r="D25" s="195"/>
      <c r="E25" s="195"/>
      <c r="F25" s="134"/>
      <c r="G25" s="135"/>
      <c r="H25" s="136"/>
      <c r="I25" s="136"/>
      <c r="J25" s="137"/>
    </row>
    <row r="26" spans="2:18">
      <c r="B26" s="126"/>
      <c r="C26" s="129"/>
      <c r="D26" s="129"/>
      <c r="E26" s="80"/>
      <c r="F26" s="138" t="s">
        <v>39</v>
      </c>
      <c r="G26" s="114"/>
      <c r="H26" s="129"/>
      <c r="I26" s="129"/>
      <c r="J26" s="139"/>
    </row>
    <row r="27" spans="2:18">
      <c r="B27" s="78"/>
      <c r="C27" s="129"/>
      <c r="D27" s="129"/>
      <c r="E27" s="114"/>
      <c r="F27" s="114"/>
      <c r="G27" s="140" t="s">
        <v>40</v>
      </c>
      <c r="H27" s="141"/>
      <c r="I27" s="141"/>
      <c r="J27" s="142"/>
    </row>
    <row r="28" spans="2:18">
      <c r="B28" s="143" t="s">
        <v>41</v>
      </c>
      <c r="C28" s="144"/>
      <c r="D28" s="144"/>
      <c r="E28" s="145"/>
      <c r="F28" s="145"/>
      <c r="G28" s="145"/>
      <c r="H28" s="146"/>
      <c r="I28" s="147"/>
      <c r="J28" s="148"/>
      <c r="R28" s="159" t="s">
        <v>23</v>
      </c>
    </row>
    <row r="29" spans="2:18">
      <c r="B29" s="149"/>
      <c r="C29" s="149"/>
      <c r="D29" s="149"/>
      <c r="E29" s="150"/>
      <c r="F29" s="150"/>
      <c r="G29" s="150"/>
      <c r="H29" s="151"/>
      <c r="I29" s="151"/>
      <c r="J29" s="152"/>
    </row>
    <row r="31" spans="2:18">
      <c r="M31" s="153"/>
    </row>
    <row r="35" spans="12:12">
      <c r="L35" s="155" t="s">
        <v>23</v>
      </c>
    </row>
    <row r="50" spans="17:17">
      <c r="Q50" s="60">
        <v>7</v>
      </c>
    </row>
    <row r="51" spans="17:17">
      <c r="Q51" s="60">
        <v>7</v>
      </c>
    </row>
  </sheetData>
  <mergeCells count="17">
    <mergeCell ref="B23:C23"/>
    <mergeCell ref="D23:F23"/>
    <mergeCell ref="B24:C24"/>
    <mergeCell ref="D24:F24"/>
    <mergeCell ref="B25:E25"/>
    <mergeCell ref="C11:H11"/>
    <mergeCell ref="I15:J15"/>
    <mergeCell ref="I16:J16"/>
    <mergeCell ref="I17:J17"/>
    <mergeCell ref="G19:I19"/>
    <mergeCell ref="I1:J1"/>
    <mergeCell ref="L2:Q2"/>
    <mergeCell ref="G8:J8"/>
    <mergeCell ref="B9:I9"/>
    <mergeCell ref="C10:J10"/>
    <mergeCell ref="B1:H4"/>
    <mergeCell ref="B5:J6"/>
  </mergeCells>
  <pageMargins left="0.85" right="0.38" top="0.75" bottom="0.75" header="0.3" footer="0.3"/>
  <pageSetup paperSize="9" scale="95" orientation="portrait" horizontalDpi="120" verticalDpi="7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Pict="0" macro="[0]!NextInvoice">
                <anchor moveWithCells="1" sizeWithCells="1">
                  <from>
                    <xdr:col>11</xdr:col>
                    <xdr:colOff>523875</xdr:colOff>
                    <xdr:row>17</xdr:row>
                    <xdr:rowOff>28575</xdr:rowOff>
                  </from>
                  <to>
                    <xdr:col>11</xdr:col>
                    <xdr:colOff>1419225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LISTS!$B$6:$B$1048576</xm:f>
          </x14:formula1>
          <xm:sqref>M7</xm:sqref>
        </x14:dataValidation>
        <x14:dataValidation type="list" allowBlank="1" showInputMessage="1" showErrorMessage="1">
          <x14:formula1>
            <xm:f>Sheet2!$C$8:$C$12</xm:f>
          </x14:formula1>
          <xm:sqref>M19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153"/>
  <sheetViews>
    <sheetView topLeftCell="D127" workbookViewId="0">
      <selection activeCell="B145" sqref="B145:E145"/>
    </sheetView>
  </sheetViews>
  <sheetFormatPr defaultColWidth="9" defaultRowHeight="15"/>
  <cols>
    <col min="2" max="2" width="22" customWidth="1"/>
    <col min="3" max="3" width="45.7109375" customWidth="1"/>
    <col min="4" max="4" width="44.7109375" customWidth="1"/>
    <col min="5" max="5" width="64.5703125" customWidth="1"/>
  </cols>
  <sheetData>
    <row r="2" spans="2:5">
      <c r="B2" s="196" t="s">
        <v>42</v>
      </c>
      <c r="C2" s="199" t="s">
        <v>43</v>
      </c>
      <c r="D2" s="199" t="s">
        <v>44</v>
      </c>
      <c r="E2" s="199" t="s">
        <v>45</v>
      </c>
    </row>
    <row r="3" spans="2:5">
      <c r="B3" s="197"/>
      <c r="C3" s="200"/>
      <c r="D3" s="200"/>
      <c r="E3" s="200"/>
    </row>
    <row r="4" spans="2:5">
      <c r="B4" s="197"/>
      <c r="C4" s="200"/>
      <c r="D4" s="200"/>
      <c r="E4" s="200"/>
    </row>
    <row r="5" spans="2:5">
      <c r="B5" s="198"/>
      <c r="C5" s="201"/>
      <c r="D5" s="201"/>
      <c r="E5" s="201"/>
    </row>
    <row r="6" spans="2:5">
      <c r="B6" s="3" t="s">
        <v>46</v>
      </c>
      <c r="C6" s="3" t="s">
        <v>47</v>
      </c>
      <c r="D6" s="3" t="s">
        <v>47</v>
      </c>
      <c r="E6" s="3" t="s">
        <v>48</v>
      </c>
    </row>
    <row r="7" spans="2:5">
      <c r="B7" s="4" t="s">
        <v>49</v>
      </c>
      <c r="C7" s="5" t="s">
        <v>50</v>
      </c>
      <c r="D7" s="5" t="s">
        <v>51</v>
      </c>
      <c r="E7" s="5" t="s">
        <v>52</v>
      </c>
    </row>
    <row r="8" spans="2:5">
      <c r="B8" s="4" t="s">
        <v>53</v>
      </c>
      <c r="C8" s="5" t="s">
        <v>54</v>
      </c>
      <c r="D8" s="5" t="s">
        <v>55</v>
      </c>
      <c r="E8" s="5" t="s">
        <v>56</v>
      </c>
    </row>
    <row r="9" spans="2:5">
      <c r="B9" s="4" t="s">
        <v>57</v>
      </c>
      <c r="C9" s="5" t="s">
        <v>58</v>
      </c>
      <c r="D9" s="5" t="s">
        <v>59</v>
      </c>
      <c r="E9" s="5" t="s">
        <v>56</v>
      </c>
    </row>
    <row r="10" spans="2:5">
      <c r="B10" s="6" t="s">
        <v>60</v>
      </c>
      <c r="C10" s="7"/>
      <c r="D10" s="7"/>
      <c r="E10" s="7"/>
    </row>
    <row r="11" spans="2:5">
      <c r="B11" s="8" t="s">
        <v>61</v>
      </c>
      <c r="C11" s="7"/>
      <c r="D11" s="7"/>
      <c r="E11" s="7"/>
    </row>
    <row r="12" spans="2:5">
      <c r="B12" s="9" t="s">
        <v>62</v>
      </c>
      <c r="C12" s="5" t="s">
        <v>63</v>
      </c>
      <c r="D12" s="5" t="s">
        <v>64</v>
      </c>
      <c r="E12" s="5" t="s">
        <v>65</v>
      </c>
    </row>
    <row r="13" spans="2:5">
      <c r="B13" s="4" t="s">
        <v>66</v>
      </c>
      <c r="C13" s="5" t="s">
        <v>67</v>
      </c>
      <c r="D13" s="5" t="s">
        <v>68</v>
      </c>
      <c r="E13" s="5" t="s">
        <v>69</v>
      </c>
    </row>
    <row r="14" spans="2:5">
      <c r="B14" s="4" t="s">
        <v>70</v>
      </c>
      <c r="C14" s="5" t="s">
        <v>71</v>
      </c>
      <c r="D14" s="5" t="s">
        <v>72</v>
      </c>
      <c r="E14" s="5" t="s">
        <v>73</v>
      </c>
    </row>
    <row r="15" spans="2:5">
      <c r="B15" s="8" t="s">
        <v>74</v>
      </c>
      <c r="C15" s="7"/>
      <c r="D15" s="7"/>
      <c r="E15" s="7"/>
    </row>
    <row r="16" spans="2:5">
      <c r="B16" s="4" t="s">
        <v>75</v>
      </c>
      <c r="C16" s="5" t="s">
        <v>76</v>
      </c>
      <c r="D16" s="5" t="s">
        <v>77</v>
      </c>
      <c r="E16" s="5" t="s">
        <v>78</v>
      </c>
    </row>
    <row r="17" spans="2:5">
      <c r="B17" s="9" t="s">
        <v>79</v>
      </c>
      <c r="C17" s="5" t="s">
        <v>80</v>
      </c>
      <c r="D17" s="5" t="s">
        <v>81</v>
      </c>
      <c r="E17" s="5" t="s">
        <v>82</v>
      </c>
    </row>
    <row r="18" spans="2:5">
      <c r="B18" s="9" t="s">
        <v>83</v>
      </c>
      <c r="C18" s="5" t="s">
        <v>84</v>
      </c>
      <c r="D18" s="5" t="s">
        <v>85</v>
      </c>
      <c r="E18" s="5" t="s">
        <v>86</v>
      </c>
    </row>
    <row r="19" spans="2:5">
      <c r="B19" s="4" t="s">
        <v>87</v>
      </c>
      <c r="C19" s="5" t="s">
        <v>88</v>
      </c>
      <c r="D19" s="5" t="s">
        <v>89</v>
      </c>
      <c r="E19" s="5" t="s">
        <v>90</v>
      </c>
    </row>
    <row r="20" spans="2:5">
      <c r="B20" s="4" t="s">
        <v>91</v>
      </c>
      <c r="C20" s="5" t="s">
        <v>92</v>
      </c>
      <c r="D20" s="5" t="s">
        <v>93</v>
      </c>
      <c r="E20" s="5" t="s">
        <v>94</v>
      </c>
    </row>
    <row r="21" spans="2:5">
      <c r="B21" s="10" t="s">
        <v>95</v>
      </c>
      <c r="C21" s="11" t="s">
        <v>96</v>
      </c>
      <c r="D21" s="11" t="s">
        <v>97</v>
      </c>
      <c r="E21" s="11" t="s">
        <v>90</v>
      </c>
    </row>
    <row r="22" spans="2:5">
      <c r="B22" s="4" t="s">
        <v>98</v>
      </c>
      <c r="C22" s="5" t="s">
        <v>99</v>
      </c>
      <c r="D22" s="5" t="s">
        <v>100</v>
      </c>
      <c r="E22" s="5" t="s">
        <v>101</v>
      </c>
    </row>
    <row r="23" spans="2:5">
      <c r="B23" s="4" t="s">
        <v>102</v>
      </c>
      <c r="C23" s="5" t="s">
        <v>103</v>
      </c>
      <c r="D23" s="5" t="s">
        <v>104</v>
      </c>
      <c r="E23" s="5" t="s">
        <v>105</v>
      </c>
    </row>
    <row r="24" spans="2:5">
      <c r="B24" s="7" t="s">
        <v>106</v>
      </c>
      <c r="C24" s="7"/>
      <c r="D24" s="7"/>
      <c r="E24" s="7"/>
    </row>
    <row r="25" spans="2:5">
      <c r="B25" s="4" t="s">
        <v>107</v>
      </c>
      <c r="C25" s="5" t="s">
        <v>108</v>
      </c>
      <c r="D25" s="5" t="s">
        <v>109</v>
      </c>
      <c r="E25" s="5" t="s">
        <v>110</v>
      </c>
    </row>
    <row r="26" spans="2:5">
      <c r="B26" s="9" t="s">
        <v>111</v>
      </c>
      <c r="C26" s="5" t="s">
        <v>112</v>
      </c>
      <c r="D26" s="5" t="s">
        <v>113</v>
      </c>
      <c r="E26" s="5" t="s">
        <v>114</v>
      </c>
    </row>
    <row r="27" spans="2:5">
      <c r="B27" s="9" t="s">
        <v>115</v>
      </c>
      <c r="C27" s="5" t="s">
        <v>116</v>
      </c>
      <c r="D27" s="5" t="s">
        <v>117</v>
      </c>
      <c r="E27" s="5" t="s">
        <v>118</v>
      </c>
    </row>
    <row r="28" spans="2:5">
      <c r="B28" s="12" t="s">
        <v>119</v>
      </c>
      <c r="C28" s="12" t="s">
        <v>120</v>
      </c>
      <c r="D28" s="12" t="s">
        <v>120</v>
      </c>
      <c r="E28" s="12"/>
    </row>
    <row r="29" spans="2:5">
      <c r="B29" s="4" t="s">
        <v>121</v>
      </c>
      <c r="C29" s="5" t="s">
        <v>122</v>
      </c>
      <c r="D29" s="5" t="s">
        <v>123</v>
      </c>
      <c r="E29" s="5" t="s">
        <v>124</v>
      </c>
    </row>
    <row r="30" spans="2:5">
      <c r="B30" s="9" t="s">
        <v>125</v>
      </c>
      <c r="C30" s="5" t="s">
        <v>126</v>
      </c>
      <c r="D30" s="5" t="s">
        <v>127</v>
      </c>
      <c r="E30" s="5" t="s">
        <v>128</v>
      </c>
    </row>
    <row r="31" spans="2:5">
      <c r="B31" s="8" t="s">
        <v>129</v>
      </c>
      <c r="C31" s="7"/>
      <c r="D31" s="7"/>
      <c r="E31" s="7"/>
    </row>
    <row r="32" spans="2:5">
      <c r="B32" s="4" t="s">
        <v>130</v>
      </c>
      <c r="C32" s="5" t="s">
        <v>131</v>
      </c>
      <c r="D32" s="5" t="s">
        <v>132</v>
      </c>
      <c r="E32" s="5" t="s">
        <v>133</v>
      </c>
    </row>
    <row r="33" spans="2:5">
      <c r="B33" s="4" t="s">
        <v>134</v>
      </c>
      <c r="C33" s="5" t="s">
        <v>135</v>
      </c>
      <c r="D33" s="5" t="s">
        <v>136</v>
      </c>
      <c r="E33" s="5" t="s">
        <v>137</v>
      </c>
    </row>
    <row r="34" spans="2:5">
      <c r="B34" s="13" t="s">
        <v>138</v>
      </c>
      <c r="C34" s="12" t="s">
        <v>58</v>
      </c>
      <c r="D34" s="12" t="s">
        <v>139</v>
      </c>
      <c r="E34" s="12" t="s">
        <v>137</v>
      </c>
    </row>
    <row r="35" spans="2:5">
      <c r="B35" s="4" t="s">
        <v>140</v>
      </c>
      <c r="C35" s="5" t="s">
        <v>141</v>
      </c>
      <c r="D35" s="5" t="s">
        <v>142</v>
      </c>
      <c r="E35" s="5" t="s">
        <v>143</v>
      </c>
    </row>
    <row r="36" spans="2:5">
      <c r="B36" s="8" t="s">
        <v>144</v>
      </c>
      <c r="C36" s="7"/>
      <c r="D36" s="7"/>
      <c r="E36" s="7"/>
    </row>
    <row r="37" spans="2:5">
      <c r="B37" s="8" t="s">
        <v>145</v>
      </c>
      <c r="C37" s="14" t="s">
        <v>146</v>
      </c>
      <c r="D37" s="14" t="s">
        <v>147</v>
      </c>
      <c r="E37" s="14" t="s">
        <v>148</v>
      </c>
    </row>
    <row r="38" spans="2:5">
      <c r="B38" s="4" t="s">
        <v>149</v>
      </c>
      <c r="C38" s="5" t="s">
        <v>150</v>
      </c>
      <c r="D38" s="5" t="s">
        <v>151</v>
      </c>
      <c r="E38" s="5" t="s">
        <v>152</v>
      </c>
    </row>
    <row r="39" spans="2:5">
      <c r="B39" s="15" t="s">
        <v>153</v>
      </c>
      <c r="C39" s="5" t="s">
        <v>154</v>
      </c>
      <c r="D39" s="5" t="s">
        <v>155</v>
      </c>
      <c r="E39" s="5" t="s">
        <v>156</v>
      </c>
    </row>
    <row r="40" spans="2:5">
      <c r="B40" s="4" t="s">
        <v>157</v>
      </c>
      <c r="C40" s="5" t="s">
        <v>158</v>
      </c>
      <c r="D40" s="5" t="s">
        <v>159</v>
      </c>
      <c r="E40" s="5" t="s">
        <v>160</v>
      </c>
    </row>
    <row r="41" spans="2:5">
      <c r="B41" s="13" t="s">
        <v>161</v>
      </c>
      <c r="C41" s="12" t="s">
        <v>162</v>
      </c>
      <c r="D41" s="12" t="s">
        <v>163</v>
      </c>
      <c r="E41" s="12" t="s">
        <v>164</v>
      </c>
    </row>
    <row r="42" spans="2:5">
      <c r="B42" s="4" t="s">
        <v>165</v>
      </c>
      <c r="C42" s="5" t="s">
        <v>166</v>
      </c>
      <c r="D42" s="5" t="s">
        <v>167</v>
      </c>
      <c r="E42" s="5" t="s">
        <v>168</v>
      </c>
    </row>
    <row r="43" spans="2:5">
      <c r="B43" s="16" t="s">
        <v>169</v>
      </c>
      <c r="C43" s="13" t="s">
        <v>170</v>
      </c>
      <c r="D43" s="13" t="s">
        <v>171</v>
      </c>
      <c r="E43" s="13" t="s">
        <v>172</v>
      </c>
    </row>
    <row r="44" spans="2:5">
      <c r="B44" s="4" t="s">
        <v>173</v>
      </c>
      <c r="C44" s="5" t="s">
        <v>174</v>
      </c>
      <c r="D44" s="5" t="s">
        <v>175</v>
      </c>
      <c r="E44" s="5" t="s">
        <v>176</v>
      </c>
    </row>
    <row r="45" spans="2:5">
      <c r="B45" s="12" t="s">
        <v>177</v>
      </c>
      <c r="C45" s="12" t="s">
        <v>178</v>
      </c>
      <c r="D45" s="12" t="s">
        <v>179</v>
      </c>
      <c r="E45" s="12" t="s">
        <v>180</v>
      </c>
    </row>
    <row r="46" spans="2:5">
      <c r="B46" s="4" t="s">
        <v>181</v>
      </c>
      <c r="C46" s="5" t="s">
        <v>182</v>
      </c>
      <c r="D46" s="5" t="s">
        <v>183</v>
      </c>
      <c r="E46" s="5" t="s">
        <v>184</v>
      </c>
    </row>
    <row r="47" spans="2:5">
      <c r="B47" s="4" t="s">
        <v>185</v>
      </c>
      <c r="C47" s="5" t="s">
        <v>186</v>
      </c>
      <c r="D47" s="5" t="s">
        <v>187</v>
      </c>
      <c r="E47" s="5" t="s">
        <v>188</v>
      </c>
    </row>
    <row r="48" spans="2:5">
      <c r="B48" s="17" t="s">
        <v>189</v>
      </c>
      <c r="C48" s="18" t="s">
        <v>190</v>
      </c>
      <c r="D48" s="18" t="s">
        <v>191</v>
      </c>
      <c r="E48" s="18" t="s">
        <v>192</v>
      </c>
    </row>
    <row r="49" spans="2:5">
      <c r="B49" s="8" t="s">
        <v>193</v>
      </c>
      <c r="C49" s="7"/>
      <c r="D49" s="7"/>
      <c r="E49" s="7"/>
    </row>
    <row r="50" spans="2:5">
      <c r="B50" s="17" t="s">
        <v>194</v>
      </c>
      <c r="C50" s="18" t="s">
        <v>195</v>
      </c>
      <c r="D50" s="18" t="s">
        <v>196</v>
      </c>
      <c r="E50" s="18" t="s">
        <v>197</v>
      </c>
    </row>
    <row r="51" spans="2:5">
      <c r="B51" s="17" t="s">
        <v>198</v>
      </c>
      <c r="C51" s="18" t="s">
        <v>199</v>
      </c>
      <c r="D51" s="18" t="s">
        <v>200</v>
      </c>
      <c r="E51" s="18" t="s">
        <v>201</v>
      </c>
    </row>
    <row r="52" spans="2:5">
      <c r="B52" s="13" t="s">
        <v>202</v>
      </c>
      <c r="C52" s="13" t="s">
        <v>203</v>
      </c>
      <c r="D52" s="13" t="s">
        <v>204</v>
      </c>
      <c r="E52" s="13" t="s">
        <v>205</v>
      </c>
    </row>
    <row r="53" spans="2:5">
      <c r="B53" s="13" t="s">
        <v>206</v>
      </c>
      <c r="C53" s="13" t="s">
        <v>207</v>
      </c>
      <c r="D53" s="13" t="s">
        <v>208</v>
      </c>
      <c r="E53" s="19" t="s">
        <v>209</v>
      </c>
    </row>
    <row r="54" spans="2:5">
      <c r="B54" s="20" t="s">
        <v>210</v>
      </c>
      <c r="C54" s="18" t="s">
        <v>211</v>
      </c>
      <c r="D54" s="21" t="s">
        <v>212</v>
      </c>
      <c r="E54" s="18" t="s">
        <v>188</v>
      </c>
    </row>
    <row r="55" spans="2:5">
      <c r="B55" s="8" t="s">
        <v>213</v>
      </c>
      <c r="C55" s="14" t="s">
        <v>214</v>
      </c>
      <c r="D55" s="22" t="s">
        <v>215</v>
      </c>
      <c r="E55" s="14" t="s">
        <v>216</v>
      </c>
    </row>
    <row r="56" spans="2:5">
      <c r="B56" s="23" t="s">
        <v>217</v>
      </c>
      <c r="C56" s="18" t="s">
        <v>218</v>
      </c>
      <c r="D56" s="21" t="s">
        <v>219</v>
      </c>
      <c r="E56" s="18" t="s">
        <v>220</v>
      </c>
    </row>
    <row r="57" spans="2:5">
      <c r="B57" s="23" t="s">
        <v>221</v>
      </c>
      <c r="C57" s="18" t="s">
        <v>222</v>
      </c>
      <c r="D57" s="21" t="s">
        <v>223</v>
      </c>
      <c r="E57" s="18" t="s">
        <v>224</v>
      </c>
    </row>
    <row r="58" spans="2:5">
      <c r="B58" s="24" t="s">
        <v>225</v>
      </c>
      <c r="C58" s="25" t="s">
        <v>226</v>
      </c>
      <c r="D58" s="25" t="s">
        <v>227</v>
      </c>
      <c r="E58" s="14" t="s">
        <v>228</v>
      </c>
    </row>
    <row r="59" spans="2:5">
      <c r="B59" s="26" t="s">
        <v>229</v>
      </c>
      <c r="C59" s="27" t="s">
        <v>230</v>
      </c>
      <c r="D59" s="27" t="s">
        <v>231</v>
      </c>
      <c r="E59" s="18" t="s">
        <v>232</v>
      </c>
    </row>
    <row r="60" spans="2:5">
      <c r="B60" s="28" t="s">
        <v>233</v>
      </c>
      <c r="C60" s="29" t="s">
        <v>234</v>
      </c>
      <c r="D60" s="29" t="s">
        <v>235</v>
      </c>
      <c r="E60" s="7" t="s">
        <v>236</v>
      </c>
    </row>
    <row r="61" spans="2:5">
      <c r="B61" s="30" t="s">
        <v>237</v>
      </c>
      <c r="C61" s="27" t="s">
        <v>238</v>
      </c>
      <c r="D61" s="27" t="s">
        <v>239</v>
      </c>
      <c r="E61" s="18" t="s">
        <v>240</v>
      </c>
    </row>
    <row r="62" spans="2:5">
      <c r="B62" s="26" t="s">
        <v>241</v>
      </c>
      <c r="C62" s="27" t="s">
        <v>242</v>
      </c>
      <c r="D62" s="27" t="s">
        <v>243</v>
      </c>
      <c r="E62" s="18" t="s">
        <v>240</v>
      </c>
    </row>
    <row r="63" spans="2:5">
      <c r="B63" s="26" t="s">
        <v>244</v>
      </c>
      <c r="C63" s="27" t="s">
        <v>245</v>
      </c>
      <c r="D63" s="27" t="s">
        <v>246</v>
      </c>
      <c r="E63" s="18"/>
    </row>
    <row r="64" spans="2:5">
      <c r="B64" s="26" t="s">
        <v>247</v>
      </c>
      <c r="C64" s="27" t="s">
        <v>248</v>
      </c>
      <c r="D64" s="27" t="s">
        <v>249</v>
      </c>
      <c r="E64" s="18" t="s">
        <v>250</v>
      </c>
    </row>
    <row r="65" spans="2:5">
      <c r="B65" s="31" t="s">
        <v>251</v>
      </c>
      <c r="C65" s="32" t="s">
        <v>252</v>
      </c>
      <c r="D65" s="32" t="s">
        <v>253</v>
      </c>
      <c r="E65" s="5" t="s">
        <v>254</v>
      </c>
    </row>
    <row r="66" spans="2:5">
      <c r="B66" s="26" t="s">
        <v>255</v>
      </c>
      <c r="C66" s="27" t="s">
        <v>256</v>
      </c>
      <c r="D66" s="27" t="s">
        <v>257</v>
      </c>
      <c r="E66" s="18" t="s">
        <v>258</v>
      </c>
    </row>
    <row r="67" spans="2:5">
      <c r="B67" s="28" t="s">
        <v>259</v>
      </c>
      <c r="C67" s="33" t="s">
        <v>260</v>
      </c>
      <c r="D67" s="33" t="s">
        <v>261</v>
      </c>
      <c r="E67" s="14" t="s">
        <v>262</v>
      </c>
    </row>
    <row r="68" spans="2:5">
      <c r="B68" s="26" t="s">
        <v>263</v>
      </c>
      <c r="C68" s="27" t="s">
        <v>264</v>
      </c>
      <c r="D68" s="27" t="s">
        <v>265</v>
      </c>
      <c r="E68" s="18" t="s">
        <v>266</v>
      </c>
    </row>
    <row r="69" spans="2:5">
      <c r="B69" s="34" t="s">
        <v>267</v>
      </c>
      <c r="C69" s="34" t="s">
        <v>268</v>
      </c>
      <c r="D69" s="34" t="s">
        <v>269</v>
      </c>
      <c r="E69" s="13" t="s">
        <v>270</v>
      </c>
    </row>
    <row r="70" spans="2:5">
      <c r="B70" s="35" t="s">
        <v>271</v>
      </c>
      <c r="C70" s="34" t="s">
        <v>272</v>
      </c>
      <c r="D70" s="34" t="s">
        <v>273</v>
      </c>
      <c r="E70" s="13" t="s">
        <v>274</v>
      </c>
    </row>
    <row r="71" spans="2:5">
      <c r="B71" s="28" t="s">
        <v>275</v>
      </c>
      <c r="C71" s="33" t="s">
        <v>276</v>
      </c>
      <c r="D71" s="33" t="s">
        <v>277</v>
      </c>
      <c r="E71" s="14" t="s">
        <v>278</v>
      </c>
    </row>
    <row r="72" spans="2:5">
      <c r="B72" s="28" t="s">
        <v>279</v>
      </c>
      <c r="C72" s="33" t="s">
        <v>280</v>
      </c>
      <c r="D72" s="33" t="s">
        <v>281</v>
      </c>
      <c r="E72" s="14" t="s">
        <v>282</v>
      </c>
    </row>
    <row r="73" spans="2:5">
      <c r="B73" s="35" t="s">
        <v>283</v>
      </c>
      <c r="C73" s="34" t="s">
        <v>284</v>
      </c>
      <c r="D73" s="34" t="s">
        <v>285</v>
      </c>
      <c r="E73" s="13" t="s">
        <v>286</v>
      </c>
    </row>
    <row r="74" spans="2:5">
      <c r="B74" s="36" t="s">
        <v>287</v>
      </c>
      <c r="C74" s="34" t="s">
        <v>288</v>
      </c>
      <c r="D74" s="34" t="s">
        <v>289</v>
      </c>
      <c r="E74" s="13" t="s">
        <v>290</v>
      </c>
    </row>
    <row r="75" spans="2:5">
      <c r="B75" s="36" t="s">
        <v>291</v>
      </c>
      <c r="C75" s="34" t="s">
        <v>292</v>
      </c>
      <c r="D75" s="34" t="s">
        <v>293</v>
      </c>
      <c r="E75" s="13" t="s">
        <v>294</v>
      </c>
    </row>
    <row r="76" spans="2:5">
      <c r="B76" s="36" t="s">
        <v>295</v>
      </c>
      <c r="C76" s="34" t="s">
        <v>296</v>
      </c>
      <c r="D76" s="34" t="s">
        <v>297</v>
      </c>
      <c r="E76" s="13" t="s">
        <v>298</v>
      </c>
    </row>
    <row r="77" spans="2:5">
      <c r="B77" s="29" t="s">
        <v>299</v>
      </c>
      <c r="C77" s="29"/>
      <c r="D77" s="29"/>
      <c r="E77" s="7"/>
    </row>
    <row r="78" spans="2:5">
      <c r="B78" s="28" t="s">
        <v>300</v>
      </c>
      <c r="C78" s="29" t="s">
        <v>301</v>
      </c>
      <c r="D78" s="29" t="s">
        <v>302</v>
      </c>
      <c r="E78" s="7" t="s">
        <v>303</v>
      </c>
    </row>
    <row r="79" spans="2:5">
      <c r="B79" s="36" t="s">
        <v>304</v>
      </c>
      <c r="C79" s="34" t="s">
        <v>305</v>
      </c>
      <c r="D79" s="34" t="s">
        <v>306</v>
      </c>
      <c r="E79" s="13" t="s">
        <v>307</v>
      </c>
    </row>
    <row r="80" spans="2:5">
      <c r="B80" s="28" t="s">
        <v>308</v>
      </c>
      <c r="C80" s="29" t="s">
        <v>309</v>
      </c>
      <c r="D80" s="29" t="s">
        <v>310</v>
      </c>
      <c r="E80" s="7" t="s">
        <v>311</v>
      </c>
    </row>
    <row r="81" spans="2:5">
      <c r="B81" s="36" t="s">
        <v>312</v>
      </c>
      <c r="C81" s="34" t="s">
        <v>313</v>
      </c>
      <c r="D81" s="34" t="s">
        <v>314</v>
      </c>
      <c r="E81" s="13" t="s">
        <v>258</v>
      </c>
    </row>
    <row r="82" spans="2:5">
      <c r="B82" s="36" t="s">
        <v>315</v>
      </c>
      <c r="C82" s="34" t="s">
        <v>316</v>
      </c>
      <c r="D82" s="34" t="s">
        <v>317</v>
      </c>
      <c r="E82" s="13" t="s">
        <v>318</v>
      </c>
    </row>
    <row r="83" spans="2:5">
      <c r="B83" s="37" t="s">
        <v>319</v>
      </c>
      <c r="C83" s="37" t="s">
        <v>316</v>
      </c>
      <c r="D83" s="37" t="s">
        <v>317</v>
      </c>
      <c r="E83" s="38" t="s">
        <v>318</v>
      </c>
    </row>
    <row r="84" spans="2:5">
      <c r="B84" s="35" t="s">
        <v>320</v>
      </c>
      <c r="C84" s="34" t="s">
        <v>321</v>
      </c>
      <c r="D84" s="34" t="s">
        <v>322</v>
      </c>
      <c r="E84" s="13" t="s">
        <v>323</v>
      </c>
    </row>
    <row r="85" spans="2:5">
      <c r="B85" s="34" t="s">
        <v>324</v>
      </c>
      <c r="C85" s="34" t="s">
        <v>325</v>
      </c>
      <c r="D85" s="34" t="s">
        <v>326</v>
      </c>
      <c r="E85" s="13" t="s">
        <v>327</v>
      </c>
    </row>
    <row r="86" spans="2:5">
      <c r="B86" s="36" t="s">
        <v>328</v>
      </c>
      <c r="C86" s="34" t="s">
        <v>329</v>
      </c>
      <c r="D86" s="34" t="s">
        <v>330</v>
      </c>
      <c r="E86" s="13" t="s">
        <v>331</v>
      </c>
    </row>
    <row r="87" spans="2:5">
      <c r="B87" s="36" t="s">
        <v>332</v>
      </c>
      <c r="C87" s="34" t="s">
        <v>333</v>
      </c>
      <c r="D87" s="34" t="s">
        <v>334</v>
      </c>
      <c r="E87" s="13" t="s">
        <v>335</v>
      </c>
    </row>
    <row r="88" spans="2:5">
      <c r="B88" s="39" t="s">
        <v>336</v>
      </c>
      <c r="C88" s="29"/>
      <c r="D88" s="29"/>
      <c r="E88" s="7"/>
    </row>
    <row r="89" spans="2:5">
      <c r="B89" s="29" t="s">
        <v>337</v>
      </c>
      <c r="C89" s="29"/>
      <c r="D89" s="29"/>
      <c r="E89" s="7"/>
    </row>
    <row r="90" spans="2:5">
      <c r="B90" s="36" t="s">
        <v>12</v>
      </c>
      <c r="C90" s="34" t="s">
        <v>338</v>
      </c>
      <c r="D90" s="34" t="s">
        <v>339</v>
      </c>
      <c r="E90" s="13" t="s">
        <v>340</v>
      </c>
    </row>
    <row r="91" spans="2:5">
      <c r="B91" s="36" t="s">
        <v>341</v>
      </c>
      <c r="C91" s="34" t="s">
        <v>342</v>
      </c>
      <c r="D91" s="34" t="s">
        <v>343</v>
      </c>
      <c r="E91" s="13" t="s">
        <v>344</v>
      </c>
    </row>
    <row r="92" spans="2:5">
      <c r="B92" s="28" t="s">
        <v>345</v>
      </c>
      <c r="C92" s="33" t="s">
        <v>346</v>
      </c>
      <c r="D92" s="33" t="s">
        <v>347</v>
      </c>
      <c r="E92" s="14" t="s">
        <v>348</v>
      </c>
    </row>
    <row r="93" spans="2:5">
      <c r="B93" s="37" t="s">
        <v>349</v>
      </c>
      <c r="C93" s="37" t="s">
        <v>350</v>
      </c>
      <c r="D93" s="37" t="s">
        <v>351</v>
      </c>
      <c r="E93" s="38" t="s">
        <v>352</v>
      </c>
    </row>
    <row r="94" spans="2:5">
      <c r="B94" s="35" t="s">
        <v>353</v>
      </c>
      <c r="C94" s="34" t="s">
        <v>354</v>
      </c>
      <c r="D94" s="34" t="s">
        <v>355</v>
      </c>
      <c r="E94" s="13" t="s">
        <v>356</v>
      </c>
    </row>
    <row r="95" spans="2:5">
      <c r="B95" s="35" t="s">
        <v>357</v>
      </c>
      <c r="C95" s="34" t="s">
        <v>358</v>
      </c>
      <c r="D95" s="34" t="s">
        <v>359</v>
      </c>
      <c r="E95" s="13" t="s">
        <v>48</v>
      </c>
    </row>
    <row r="96" spans="2:5">
      <c r="B96" s="35" t="s">
        <v>360</v>
      </c>
      <c r="C96" s="34" t="s">
        <v>361</v>
      </c>
      <c r="D96" s="34" t="s">
        <v>261</v>
      </c>
      <c r="E96" s="13" t="s">
        <v>362</v>
      </c>
    </row>
    <row r="97" spans="2:5">
      <c r="B97" s="36" t="s">
        <v>363</v>
      </c>
      <c r="C97" s="34" t="s">
        <v>364</v>
      </c>
      <c r="D97" s="34" t="s">
        <v>365</v>
      </c>
      <c r="E97" s="13" t="s">
        <v>366</v>
      </c>
    </row>
    <row r="98" spans="2:5">
      <c r="B98" s="34" t="s">
        <v>367</v>
      </c>
      <c r="C98" s="34" t="s">
        <v>368</v>
      </c>
      <c r="D98" s="34" t="s">
        <v>369</v>
      </c>
      <c r="E98" s="13" t="s">
        <v>370</v>
      </c>
    </row>
    <row r="99" spans="2:5">
      <c r="B99" s="36" t="s">
        <v>371</v>
      </c>
      <c r="C99" s="34" t="s">
        <v>372</v>
      </c>
      <c r="D99" s="34" t="s">
        <v>373</v>
      </c>
      <c r="E99" s="13" t="s">
        <v>374</v>
      </c>
    </row>
    <row r="100" spans="2:5">
      <c r="B100" s="36" t="s">
        <v>375</v>
      </c>
      <c r="C100" s="34" t="s">
        <v>376</v>
      </c>
      <c r="D100" s="34" t="s">
        <v>377</v>
      </c>
      <c r="E100" s="13" t="s">
        <v>378</v>
      </c>
    </row>
    <row r="101" spans="2:5">
      <c r="B101" s="28" t="s">
        <v>379</v>
      </c>
      <c r="C101" s="33" t="s">
        <v>380</v>
      </c>
      <c r="D101" s="33" t="s">
        <v>381</v>
      </c>
      <c r="E101" s="14" t="s">
        <v>382</v>
      </c>
    </row>
    <row r="102" spans="2:5">
      <c r="B102" s="40" t="s">
        <v>383</v>
      </c>
      <c r="C102" s="41" t="s">
        <v>384</v>
      </c>
      <c r="D102" s="41" t="s">
        <v>385</v>
      </c>
      <c r="E102" s="42" t="s">
        <v>386</v>
      </c>
    </row>
    <row r="103" spans="2:5">
      <c r="B103" s="35" t="s">
        <v>387</v>
      </c>
      <c r="C103" s="34" t="s">
        <v>388</v>
      </c>
      <c r="D103" s="34" t="s">
        <v>389</v>
      </c>
      <c r="E103" s="13" t="s">
        <v>390</v>
      </c>
    </row>
    <row r="104" spans="2:5">
      <c r="B104" s="28" t="s">
        <v>391</v>
      </c>
      <c r="C104" s="33" t="s">
        <v>392</v>
      </c>
      <c r="D104" s="33" t="s">
        <v>393</v>
      </c>
      <c r="E104" s="14" t="s">
        <v>394</v>
      </c>
    </row>
    <row r="105" spans="2:5">
      <c r="B105" s="35" t="s">
        <v>395</v>
      </c>
      <c r="C105" s="34" t="s">
        <v>396</v>
      </c>
      <c r="D105" s="34" t="s">
        <v>397</v>
      </c>
      <c r="E105" s="13" t="s">
        <v>398</v>
      </c>
    </row>
    <row r="106" spans="2:5">
      <c r="B106" s="35" t="s">
        <v>399</v>
      </c>
      <c r="C106" s="34" t="s">
        <v>400</v>
      </c>
      <c r="D106" s="34" t="s">
        <v>401</v>
      </c>
      <c r="E106" s="13" t="s">
        <v>402</v>
      </c>
    </row>
    <row r="107" spans="2:5">
      <c r="B107" s="43" t="s">
        <v>403</v>
      </c>
      <c r="C107" s="43" t="s">
        <v>404</v>
      </c>
      <c r="D107" s="43" t="s">
        <v>405</v>
      </c>
      <c r="E107" s="12" t="s">
        <v>406</v>
      </c>
    </row>
    <row r="108" spans="2:5">
      <c r="B108" s="36" t="s">
        <v>407</v>
      </c>
      <c r="C108" s="34" t="s">
        <v>408</v>
      </c>
      <c r="D108" s="34" t="s">
        <v>409</v>
      </c>
      <c r="E108" s="13" t="s">
        <v>410</v>
      </c>
    </row>
    <row r="109" spans="2:5">
      <c r="B109" s="35" t="s">
        <v>411</v>
      </c>
      <c r="C109" s="34" t="s">
        <v>412</v>
      </c>
      <c r="D109" s="34" t="s">
        <v>413</v>
      </c>
      <c r="E109" s="13" t="s">
        <v>414</v>
      </c>
    </row>
    <row r="110" spans="2:5">
      <c r="B110" s="36" t="s">
        <v>415</v>
      </c>
      <c r="C110" s="34" t="s">
        <v>416</v>
      </c>
      <c r="D110" s="34" t="s">
        <v>417</v>
      </c>
      <c r="E110" s="13" t="s">
        <v>418</v>
      </c>
    </row>
    <row r="111" spans="2:5">
      <c r="B111" s="36" t="s">
        <v>419</v>
      </c>
      <c r="C111" s="34" t="s">
        <v>420</v>
      </c>
      <c r="D111" s="34" t="s">
        <v>421</v>
      </c>
      <c r="E111" s="13" t="s">
        <v>422</v>
      </c>
    </row>
    <row r="112" spans="2:5">
      <c r="B112" s="35" t="s">
        <v>423</v>
      </c>
      <c r="C112" s="34" t="s">
        <v>424</v>
      </c>
      <c r="D112" s="34" t="s">
        <v>425</v>
      </c>
      <c r="E112" s="13" t="s">
        <v>426</v>
      </c>
    </row>
    <row r="113" spans="2:5">
      <c r="B113" s="28" t="s">
        <v>427</v>
      </c>
      <c r="C113" s="33" t="s">
        <v>428</v>
      </c>
      <c r="D113" s="33" t="s">
        <v>429</v>
      </c>
      <c r="E113" s="14" t="s">
        <v>430</v>
      </c>
    </row>
    <row r="114" spans="2:5">
      <c r="B114" s="35" t="s">
        <v>431</v>
      </c>
      <c r="C114" s="34" t="s">
        <v>432</v>
      </c>
      <c r="D114" s="34" t="s">
        <v>433</v>
      </c>
      <c r="E114" s="13" t="s">
        <v>184</v>
      </c>
    </row>
    <row r="115" spans="2:5">
      <c r="B115" s="35" t="s">
        <v>434</v>
      </c>
      <c r="C115" s="34" t="s">
        <v>435</v>
      </c>
      <c r="D115" s="34" t="s">
        <v>436</v>
      </c>
      <c r="E115" s="13" t="s">
        <v>437</v>
      </c>
    </row>
    <row r="116" spans="2:5">
      <c r="B116" s="36" t="s">
        <v>438</v>
      </c>
      <c r="C116" s="34" t="s">
        <v>439</v>
      </c>
      <c r="D116" s="34" t="s">
        <v>440</v>
      </c>
      <c r="E116" s="13" t="s">
        <v>441</v>
      </c>
    </row>
    <row r="117" spans="2:5">
      <c r="B117" s="44" t="s">
        <v>442</v>
      </c>
      <c r="C117" s="45" t="s">
        <v>443</v>
      </c>
      <c r="D117" s="41" t="s">
        <v>444</v>
      </c>
      <c r="E117" s="42" t="s">
        <v>445</v>
      </c>
    </row>
    <row r="118" spans="2:5">
      <c r="B118" s="46" t="s">
        <v>446</v>
      </c>
      <c r="C118" s="46" t="s">
        <v>447</v>
      </c>
      <c r="D118" s="37" t="s">
        <v>448</v>
      </c>
      <c r="E118" s="38" t="s">
        <v>449</v>
      </c>
    </row>
    <row r="119" spans="2:5">
      <c r="B119" s="47" t="s">
        <v>450</v>
      </c>
      <c r="C119" s="47" t="s">
        <v>451</v>
      </c>
      <c r="D119" s="48" t="s">
        <v>451</v>
      </c>
      <c r="E119" s="49" t="s">
        <v>414</v>
      </c>
    </row>
    <row r="120" spans="2:5">
      <c r="B120" s="50" t="s">
        <v>452</v>
      </c>
      <c r="C120" s="51" t="s">
        <v>453</v>
      </c>
      <c r="D120" s="51" t="s">
        <v>454</v>
      </c>
      <c r="E120" s="51" t="s">
        <v>449</v>
      </c>
    </row>
    <row r="121" spans="2:5">
      <c r="B121" s="38" t="s">
        <v>455</v>
      </c>
      <c r="C121" s="38" t="s">
        <v>456</v>
      </c>
      <c r="D121" s="38" t="s">
        <v>215</v>
      </c>
      <c r="E121" s="38" t="s">
        <v>216</v>
      </c>
    </row>
    <row r="122" spans="2:5">
      <c r="B122" s="52" t="s">
        <v>457</v>
      </c>
      <c r="C122" s="53" t="s">
        <v>458</v>
      </c>
      <c r="D122" s="53" t="s">
        <v>459</v>
      </c>
      <c r="E122" s="53" t="s">
        <v>460</v>
      </c>
    </row>
    <row r="123" spans="2:5">
      <c r="B123" s="54" t="s">
        <v>461</v>
      </c>
      <c r="C123" s="19" t="s">
        <v>462</v>
      </c>
      <c r="D123" s="19" t="s">
        <v>463</v>
      </c>
      <c r="E123" s="19" t="s">
        <v>464</v>
      </c>
    </row>
    <row r="124" spans="2:5">
      <c r="B124" s="52" t="s">
        <v>465</v>
      </c>
      <c r="C124" s="53" t="s">
        <v>466</v>
      </c>
      <c r="D124" s="53" t="s">
        <v>467</v>
      </c>
      <c r="E124" s="53" t="s">
        <v>468</v>
      </c>
    </row>
    <row r="125" spans="2:5">
      <c r="B125" s="50" t="s">
        <v>469</v>
      </c>
      <c r="C125" s="51" t="s">
        <v>470</v>
      </c>
      <c r="D125" s="51" t="s">
        <v>471</v>
      </c>
      <c r="E125" s="51" t="s">
        <v>472</v>
      </c>
    </row>
    <row r="126" spans="2:5">
      <c r="B126" s="50" t="s">
        <v>473</v>
      </c>
      <c r="C126" s="51" t="s">
        <v>474</v>
      </c>
      <c r="D126" s="51" t="s">
        <v>475</v>
      </c>
      <c r="E126" s="51" t="s">
        <v>476</v>
      </c>
    </row>
    <row r="127" spans="2:5">
      <c r="B127" s="55" t="s">
        <v>477</v>
      </c>
      <c r="C127" s="51" t="s">
        <v>478</v>
      </c>
      <c r="D127" s="51" t="s">
        <v>479</v>
      </c>
      <c r="E127" s="51" t="s">
        <v>480</v>
      </c>
    </row>
    <row r="128" spans="2:5">
      <c r="B128" s="38" t="s">
        <v>481</v>
      </c>
      <c r="C128" s="38" t="s">
        <v>482</v>
      </c>
      <c r="D128" s="38" t="s">
        <v>483</v>
      </c>
      <c r="E128" s="38" t="s">
        <v>484</v>
      </c>
    </row>
    <row r="129" spans="2:5">
      <c r="B129" s="50" t="s">
        <v>485</v>
      </c>
      <c r="C129" s="51" t="s">
        <v>486</v>
      </c>
      <c r="D129" s="51" t="s">
        <v>487</v>
      </c>
      <c r="E129" s="51" t="s">
        <v>488</v>
      </c>
    </row>
    <row r="130" spans="2:5">
      <c r="B130" s="55" t="s">
        <v>489</v>
      </c>
      <c r="C130" s="51" t="s">
        <v>490</v>
      </c>
      <c r="D130" s="51" t="s">
        <v>491</v>
      </c>
      <c r="E130" s="51" t="s">
        <v>492</v>
      </c>
    </row>
    <row r="131" spans="2:5">
      <c r="B131" s="50" t="s">
        <v>493</v>
      </c>
      <c r="C131" s="51" t="s">
        <v>494</v>
      </c>
      <c r="D131" s="51" t="s">
        <v>495</v>
      </c>
      <c r="E131" s="51" t="s">
        <v>496</v>
      </c>
    </row>
    <row r="132" spans="2:5">
      <c r="B132" s="56" t="s">
        <v>497</v>
      </c>
      <c r="C132" s="53" t="s">
        <v>498</v>
      </c>
      <c r="D132" s="53" t="s">
        <v>499</v>
      </c>
      <c r="E132" s="53" t="s">
        <v>500</v>
      </c>
    </row>
    <row r="133" spans="2:5">
      <c r="B133" s="57" t="s">
        <v>501</v>
      </c>
      <c r="C133" s="45" t="s">
        <v>502</v>
      </c>
      <c r="D133" s="45" t="s">
        <v>503</v>
      </c>
      <c r="E133" s="45" t="s">
        <v>504</v>
      </c>
    </row>
    <row r="134" spans="2:5">
      <c r="B134" s="38" t="s">
        <v>505</v>
      </c>
      <c r="C134" s="38" t="s">
        <v>506</v>
      </c>
      <c r="D134" s="38" t="s">
        <v>507</v>
      </c>
      <c r="E134" s="38" t="s">
        <v>496</v>
      </c>
    </row>
    <row r="135" spans="2:5">
      <c r="B135" s="46" t="s">
        <v>508</v>
      </c>
      <c r="C135" s="46" t="s">
        <v>509</v>
      </c>
      <c r="D135" s="46" t="s">
        <v>510</v>
      </c>
      <c r="E135" s="46" t="s">
        <v>511</v>
      </c>
    </row>
    <row r="136" spans="2:5">
      <c r="B136" s="46" t="s">
        <v>512</v>
      </c>
      <c r="C136" s="46" t="s">
        <v>513</v>
      </c>
      <c r="D136" s="46" t="s">
        <v>514</v>
      </c>
      <c r="E136" s="46" t="s">
        <v>515</v>
      </c>
    </row>
    <row r="137" spans="2:5">
      <c r="B137" s="46" t="s">
        <v>516</v>
      </c>
      <c r="C137" s="45" t="s">
        <v>517</v>
      </c>
      <c r="D137" s="45" t="s">
        <v>518</v>
      </c>
      <c r="E137" s="46" t="s">
        <v>519</v>
      </c>
    </row>
    <row r="138" spans="2:5">
      <c r="B138" s="38" t="s">
        <v>520</v>
      </c>
      <c r="C138" s="38" t="s">
        <v>521</v>
      </c>
      <c r="D138" s="38" t="s">
        <v>522</v>
      </c>
      <c r="E138" s="38" t="s">
        <v>523</v>
      </c>
    </row>
    <row r="139" spans="2:5">
      <c r="B139" s="46" t="s">
        <v>524</v>
      </c>
      <c r="C139" s="46" t="s">
        <v>525</v>
      </c>
      <c r="D139" s="46" t="s">
        <v>526</v>
      </c>
      <c r="E139" s="46" t="s">
        <v>464</v>
      </c>
    </row>
    <row r="140" spans="2:5">
      <c r="B140" s="46" t="s">
        <v>527</v>
      </c>
      <c r="C140" s="46" t="s">
        <v>528</v>
      </c>
      <c r="D140" s="46" t="s">
        <v>529</v>
      </c>
      <c r="E140" s="46" t="s">
        <v>530</v>
      </c>
    </row>
    <row r="141" spans="2:5">
      <c r="B141" s="46" t="s">
        <v>531</v>
      </c>
      <c r="C141" s="46" t="s">
        <v>532</v>
      </c>
      <c r="D141" s="46" t="s">
        <v>533</v>
      </c>
      <c r="E141" s="46" t="s">
        <v>258</v>
      </c>
    </row>
    <row r="142" spans="2:5">
      <c r="B142" s="58" t="s">
        <v>534</v>
      </c>
      <c r="C142" s="58" t="s">
        <v>535</v>
      </c>
      <c r="D142" s="58" t="s">
        <v>536</v>
      </c>
      <c r="E142" s="58" t="s">
        <v>537</v>
      </c>
    </row>
    <row r="143" spans="2:5">
      <c r="B143" s="58" t="s">
        <v>538</v>
      </c>
      <c r="C143" s="58" t="s">
        <v>539</v>
      </c>
      <c r="D143" s="58" t="s">
        <v>540</v>
      </c>
      <c r="E143" s="58" t="s">
        <v>414</v>
      </c>
    </row>
    <row r="144" spans="2:5">
      <c r="B144" s="58" t="s">
        <v>541</v>
      </c>
      <c r="C144" s="58" t="s">
        <v>542</v>
      </c>
      <c r="D144" s="58" t="s">
        <v>543</v>
      </c>
      <c r="E144" s="59" t="s">
        <v>544</v>
      </c>
    </row>
    <row r="145" spans="2:5">
      <c r="B145" s="58" t="s">
        <v>545</v>
      </c>
      <c r="C145" s="58" t="s">
        <v>546</v>
      </c>
      <c r="D145" s="58" t="s">
        <v>547</v>
      </c>
      <c r="E145" s="58" t="s">
        <v>548</v>
      </c>
    </row>
    <row r="146" spans="2:5">
      <c r="B146" s="58" t="s">
        <v>556</v>
      </c>
      <c r="C146" s="58" t="s">
        <v>557</v>
      </c>
      <c r="D146" s="58" t="s">
        <v>558</v>
      </c>
      <c r="E146" s="58" t="s">
        <v>559</v>
      </c>
    </row>
    <row r="147" spans="2:5">
      <c r="B147" s="58" t="s">
        <v>560</v>
      </c>
      <c r="C147" s="59" t="s">
        <v>561</v>
      </c>
      <c r="D147" s="58" t="s">
        <v>562</v>
      </c>
      <c r="E147" s="154" t="s">
        <v>563</v>
      </c>
    </row>
    <row r="148" spans="2:5">
      <c r="B148" s="58" t="s">
        <v>565</v>
      </c>
      <c r="C148" s="58" t="s">
        <v>566</v>
      </c>
      <c r="D148" s="58" t="s">
        <v>567</v>
      </c>
      <c r="E148" s="46" t="s">
        <v>568</v>
      </c>
    </row>
    <row r="149" spans="2:5">
      <c r="B149" s="58" t="s">
        <v>569</v>
      </c>
      <c r="C149" s="58" t="s">
        <v>570</v>
      </c>
      <c r="D149" s="58" t="s">
        <v>571</v>
      </c>
      <c r="E149" s="58" t="s">
        <v>572</v>
      </c>
    </row>
    <row r="150" spans="2:5">
      <c r="B150" s="58" t="s">
        <v>575</v>
      </c>
      <c r="C150" s="58" t="s">
        <v>573</v>
      </c>
      <c r="D150" s="58" t="s">
        <v>571</v>
      </c>
      <c r="E150" s="58" t="s">
        <v>574</v>
      </c>
    </row>
    <row r="151" spans="2:5">
      <c r="B151" s="58" t="s">
        <v>576</v>
      </c>
      <c r="C151" s="58" t="s">
        <v>577</v>
      </c>
      <c r="D151" s="58" t="s">
        <v>578</v>
      </c>
      <c r="E151" s="58" t="s">
        <v>579</v>
      </c>
    </row>
    <row r="152" spans="2:5">
      <c r="B152" s="58" t="s">
        <v>580</v>
      </c>
      <c r="C152" s="58" t="s">
        <v>581</v>
      </c>
      <c r="D152" s="58" t="s">
        <v>582</v>
      </c>
      <c r="E152" s="58" t="s">
        <v>583</v>
      </c>
    </row>
    <row r="153" spans="2:5">
      <c r="B153" s="58" t="s">
        <v>584</v>
      </c>
      <c r="C153" s="58"/>
      <c r="E153" s="158" t="s">
        <v>585</v>
      </c>
    </row>
  </sheetData>
  <autoFilter ref="B2:E145">
    <sortState ref="B2:E145">
      <sortCondition ref="B2:B128"/>
    </sortState>
  </autoFilter>
  <mergeCells count="4">
    <mergeCell ref="B2:B5"/>
    <mergeCell ref="C2:C5"/>
    <mergeCell ref="D2:D5"/>
    <mergeCell ref="E2:E5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G15"/>
  <sheetViews>
    <sheetView workbookViewId="0">
      <selection activeCell="G14" sqref="G14"/>
    </sheetView>
  </sheetViews>
  <sheetFormatPr defaultColWidth="9" defaultRowHeight="15"/>
  <cols>
    <col min="3" max="3" width="32.7109375" customWidth="1"/>
  </cols>
  <sheetData>
    <row r="1" spans="3:7">
      <c r="C1" s="1" t="str">
        <f>AR!M7</f>
        <v>Maralag</v>
      </c>
    </row>
    <row r="2" spans="3:7">
      <c r="C2" t="str">
        <f>VLOOKUP(AR!M7,LISTS!B:E,2,0)</f>
        <v>GUNIX GAS STATION</v>
      </c>
      <c r="F2" t="str">
        <f>C1&amp;" | "&amp;C2&amp;" | "&amp;C3</f>
        <v>Maralag | GUNIX GAS STATION | SEM UDTOHAN PANGASIAN</v>
      </c>
    </row>
    <row r="3" spans="3:7">
      <c r="C3" t="str">
        <f>VLOOKUP(AR!M7,LISTS!B:E,3,0)</f>
        <v>SEM UDTOHAN PANGASIAN</v>
      </c>
    </row>
    <row r="4" spans="3:7">
      <c r="C4" t="str">
        <f>VLOOKUP(AR!M7,LISTS!B:E,4,0)</f>
        <v>BRGY. MARALAG, DUMINGAG, ZAMBOANGA DEL SUR</v>
      </c>
    </row>
    <row r="8" spans="3:7">
      <c r="C8" s="2" t="s">
        <v>32</v>
      </c>
      <c r="D8" t="s">
        <v>549</v>
      </c>
    </row>
    <row r="9" spans="3:7">
      <c r="C9" t="s">
        <v>550</v>
      </c>
      <c r="D9" t="s">
        <v>551</v>
      </c>
    </row>
    <row r="10" spans="3:7">
      <c r="C10" t="s">
        <v>552</v>
      </c>
    </row>
    <row r="14" spans="3:7">
      <c r="C14" t="s">
        <v>553</v>
      </c>
      <c r="G14" t="s">
        <v>554</v>
      </c>
    </row>
    <row r="15" spans="3:7">
      <c r="G15" t="s">
        <v>555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" master="" otherUserPermission="visible"/>
  <rangeList sheetStid="5" master="" otherUserPermission="visible"/>
  <rangeList sheetStid="3" master="" otherUserPermission="visible"/>
  <rangeList sheetStid="4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AR</vt:lpstr>
      <vt:lpstr>Sheet1</vt:lpstr>
      <vt:lpstr>LISTS</vt:lpstr>
      <vt:lpstr>Sheet2</vt:lpstr>
      <vt:lpstr>AR!Print_Area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</dc:title>
  <dc:creator>Alywin Aidan Baje</dc:creator>
  <cp:lastModifiedBy>user</cp:lastModifiedBy>
  <cp:lastPrinted>2026-06-30T02:36:57Z</cp:lastPrinted>
  <dcterms:created xsi:type="dcterms:W3CDTF">2025-06-16T23:42:00Z</dcterms:created>
  <dcterms:modified xsi:type="dcterms:W3CDTF">2026-06-30T02:36:57Z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6E47380DC19C4AF490BD1CCC4D6FF89E_12</vt:lpwstr>
  </property>
  <property fmtid="{D5CDD505-2E9C-101B-9397-08002B2CF9AE}" pid="3" name="KSOProductBuildVer">
    <vt:lpwstr>1033-12.1.0.25242</vt:lpwstr>
  </property>
  <property fmtid="{D5CDD505-2E9C-101B-9397-08002B2CF9AE}" pid="4" name="CalculationRule">
    <vt:i4>0</vt:i4>
  </property>
</Properties>
</file>