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 V (2)" sheetId="1" r:id="rId4"/>
    <sheet state="visible" name="Sheet1" sheetId="2" r:id="rId5"/>
    <sheet state="visible" name="PETTY CASH V" sheetId="3" r:id="rId6"/>
    <sheet state="visible" name="PCF TEMP" sheetId="4" r:id="rId7"/>
    <sheet state="visible" name="salary" sheetId="5" r:id="rId8"/>
    <sheet state="visible" name="PCF" sheetId="6" r:id="rId9"/>
    <sheet state="visible" name="GASPAY" sheetId="7" r:id="rId10"/>
    <sheet state="visible" name="RON" sheetId="8" r:id="rId11"/>
    <sheet state="visible" name="LEITOURGOS" sheetId="9" r:id="rId12"/>
    <sheet state="visible" name="VILLANUEVA" sheetId="10" r:id="rId13"/>
    <sheet state="visible" name="CARTRACK" sheetId="11" r:id="rId14"/>
    <sheet state="visible" name="CELESTIAL" sheetId="12" r:id="rId15"/>
    <sheet state="visible" name="SAILES" sheetId="13" r:id="rId16"/>
    <sheet state="visible" name="BAGATUA" sheetId="14" r:id="rId17"/>
    <sheet state="hidden" name="GUIDELINES" sheetId="15" r:id="rId18"/>
  </sheets>
  <definedNames/>
  <calcPr/>
  <extLst>
    <ext uri="GoogleSheetsCustomDataVersion2">
      <go:sheetsCustomData xmlns:go="http://customooxmlschemas.google.com/" r:id="rId19" roundtripDataChecksum="5KyMYbbD0DbnhX5jiyu7I3BTbX+tVmprawbLwoS75VY="/>
    </ext>
  </extLst>
</workbook>
</file>

<file path=xl/sharedStrings.xml><?xml version="1.0" encoding="utf-8"?>
<sst xmlns="http://schemas.openxmlformats.org/spreadsheetml/2006/main" count="821" uniqueCount="182">
  <si>
    <t>CHECK VOUCHER</t>
  </si>
  <si>
    <t>ACCOUNTING DEPARTMENT</t>
  </si>
  <si>
    <t>Document No.:</t>
  </si>
  <si>
    <t>ACCTG-FOR-010</t>
  </si>
  <si>
    <t>Effective Date:</t>
  </si>
  <si>
    <t>08.18.2022</t>
  </si>
  <si>
    <t>Revision No.:</t>
  </si>
  <si>
    <t>02</t>
  </si>
  <si>
    <t>SN:</t>
  </si>
  <si>
    <t>PAYEE INFORMATION</t>
  </si>
  <si>
    <t>NAME:</t>
  </si>
  <si>
    <t>WINEFREDO S. SAILES</t>
  </si>
  <si>
    <t>DATE OF REQUEST:</t>
  </si>
  <si>
    <t>POSITION:</t>
  </si>
  <si>
    <t>IT</t>
  </si>
  <si>
    <t xml:space="preserve">CHECK ISSUED &amp; NO: </t>
  </si>
  <si>
    <t>DISTRIBUTION CHARGES:</t>
  </si>
  <si>
    <t>PURPOSE OF PAYMENT</t>
  </si>
  <si>
    <t>ENTITY</t>
  </si>
  <si>
    <t>SEGMENT</t>
  </si>
  <si>
    <t>COST CENTER</t>
  </si>
  <si>
    <t>GL ACCOUNT</t>
  </si>
  <si>
    <t>AMOUNT</t>
  </si>
  <si>
    <t>NKC4763 PMS</t>
  </si>
  <si>
    <t>STMIET</t>
  </si>
  <si>
    <t>DHPP</t>
  </si>
  <si>
    <t>OS</t>
  </si>
  <si>
    <t>isuzu dipolog</t>
  </si>
  <si>
    <t>OTHER REMARKS:</t>
  </si>
  <si>
    <t>TOTAL AMOUNT</t>
  </si>
  <si>
    <t>Each check issued shall be supported with sufficient documentation. Failure to do so shall constitute  neglect  to the requester and/or the department.</t>
  </si>
  <si>
    <t>REQUESTED BY:</t>
  </si>
  <si>
    <t>NOTED BY:</t>
  </si>
  <si>
    <t>CHECKED BY  /  RECOMMENDING APPROVAL:</t>
  </si>
  <si>
    <t>APPROVED BY:</t>
  </si>
  <si>
    <t>PAYMENT RECEIVED BY:</t>
  </si>
  <si>
    <t>Clyde N. Rebollos</t>
  </si>
  <si>
    <t>Winefredo S. Sailes</t>
  </si>
  <si>
    <t>Alwyn D. Baje</t>
  </si>
  <si>
    <t>Print Name/Sign/Date</t>
  </si>
  <si>
    <t>DEPARTMENT HEAD</t>
  </si>
  <si>
    <t>FINANCE &amp; ACCTG HEAD</t>
  </si>
  <si>
    <t>COO</t>
  </si>
  <si>
    <t>SIGNATURE OVER PRINTED NAME</t>
  </si>
  <si>
    <t>WINEFREDO S. SAILES C/O CNR</t>
  </si>
  <si>
    <t>Angle bar 1.5"× 1.5" x 2mm 4pcs</t>
  </si>
  <si>
    <t>STMIET/STPC</t>
  </si>
  <si>
    <t>Rectangular tube 2" x 1" x 1.5mm 2pc</t>
  </si>
  <si>
    <t>Square tube 1" x 1" × 1.5mm 2pcs</t>
  </si>
  <si>
    <t>PETTY CASH VOUCHER</t>
  </si>
  <si>
    <t>ACCTG-FOR-002</t>
  </si>
  <si>
    <t>09.24.2024</t>
  </si>
  <si>
    <t>00</t>
  </si>
  <si>
    <t>ADRIANO SILVA</t>
  </si>
  <si>
    <t>REFERENCE:</t>
  </si>
  <si>
    <t>PTO CABLE FOR MAW7645</t>
  </si>
  <si>
    <t xml:space="preserve"> </t>
  </si>
  <si>
    <t>Petty cash voucher shall be submitted with sufficient supporting documents. Failure to do so shall constitute neglect by the requester and/or the department.</t>
  </si>
  <si>
    <t>TOTAL LIQUIDATED EXPENSES:</t>
  </si>
  <si>
    <t>TOTAL CASH RETURNED:</t>
  </si>
  <si>
    <t>TOTAL UNLIQUIDATED EXPENSES:</t>
  </si>
  <si>
    <t>APPROVING OFFICERS:</t>
  </si>
  <si>
    <t>ADELITA GASPAY c/o STMIET</t>
  </si>
  <si>
    <t>11/14/2024</t>
  </si>
  <si>
    <t>N/A</t>
  </si>
  <si>
    <t>FUND TRANSFER FROM PNB TO EWEST.</t>
  </si>
  <si>
    <t>CASH</t>
  </si>
  <si>
    <t>BUDGET FOR AMORTIZATION FEE 24KL</t>
  </si>
  <si>
    <t xml:space="preserve">                                  /   </t>
  </si>
  <si>
    <t>CNR</t>
  </si>
  <si>
    <t>ALYWIN  AIDAN D. BAJE</t>
  </si>
  <si>
    <t>10/24/2024</t>
  </si>
  <si>
    <t>FINANCE AND ACCTG MANAGER</t>
  </si>
  <si>
    <t>ONLINE / MBTC 1244198460</t>
  </si>
  <si>
    <t>Salary for the period October 1-15, 2024</t>
  </si>
  <si>
    <t>STPC</t>
  </si>
  <si>
    <t>ALL</t>
  </si>
  <si>
    <t>Salary</t>
  </si>
  <si>
    <t>IPPC</t>
  </si>
  <si>
    <t xml:space="preserve">                                  /</t>
  </si>
  <si>
    <t>ALYWIN   AIDAN D.  BAJE</t>
  </si>
  <si>
    <t>10/21/2024</t>
  </si>
  <si>
    <t>FINANCE AND ACCTG HEAD.</t>
  </si>
  <si>
    <t>PNB 2000001121</t>
  </si>
  <si>
    <t>Replenishment of PCF dtd October 21, 2024</t>
  </si>
  <si>
    <t>Cash in Bank</t>
  </si>
  <si>
    <t>A. BAJE</t>
  </si>
  <si>
    <t xml:space="preserve">                                  /    A. BAJE</t>
  </si>
  <si>
    <t>ADELITA  A. GASPAY</t>
  </si>
  <si>
    <t>10/17/2024</t>
  </si>
  <si>
    <t>LIASON OFFICER</t>
  </si>
  <si>
    <t>Payment for  Bookeeping Services (July 2024-Sept 2024)</t>
  </si>
  <si>
    <t>AS</t>
  </si>
  <si>
    <t>PF</t>
  </si>
  <si>
    <t>Payment for VAT (3rd Quarter)</t>
  </si>
  <si>
    <t>Tax</t>
  </si>
  <si>
    <t>Payment for Income Tax (3rd Quater)</t>
  </si>
  <si>
    <t>JERRONE B. SALAC</t>
  </si>
  <si>
    <t>10/11/2024</t>
  </si>
  <si>
    <t>EW 101870</t>
  </si>
  <si>
    <t xml:space="preserve">Professional Fee for Dumingag Bulilit Station </t>
  </si>
  <si>
    <t>DMIE</t>
  </si>
  <si>
    <t>LEITOURGOS INDUSTRIES PHILS. INC</t>
  </si>
  <si>
    <t>11/07/2024</t>
  </si>
  <si>
    <t>Contractor</t>
  </si>
  <si>
    <t>EW 101874</t>
  </si>
  <si>
    <t>Paayment for progress billing Janas Fuel Station</t>
  </si>
  <si>
    <t>AP / Cash</t>
  </si>
  <si>
    <t>Brgy. San Pedro, Dapitan City</t>
  </si>
  <si>
    <t>MARIANO A. VILLANUEVA II</t>
  </si>
  <si>
    <t>10/18/2024</t>
  </si>
  <si>
    <t>SERVICE PROVIDER</t>
  </si>
  <si>
    <t>Payment for Contract of Service  (Re: Repairs of JAR 1707)</t>
  </si>
  <si>
    <t>VRM</t>
  </si>
  <si>
    <t>CARTRACK TECHNOLOGIES PHL. INC.</t>
  </si>
  <si>
    <t>10/04/2024</t>
  </si>
  <si>
    <t>Service Provider</t>
  </si>
  <si>
    <t>Subscription Fees (September 01 - 30, 2024)</t>
  </si>
  <si>
    <t>Subscription</t>
  </si>
  <si>
    <t xml:space="preserve">                                  /               A. BAJE</t>
  </si>
  <si>
    <t>CELESTIAL FABRICATED METALS MANUFACTURING INC.</t>
  </si>
  <si>
    <t>11/11/2024</t>
  </si>
  <si>
    <t>MANUFACTURER</t>
  </si>
  <si>
    <t>EASTWEST #101761</t>
  </si>
  <si>
    <t>Partial payment for 2 Hoses 3kl (1.5kl/1.5kl)</t>
  </si>
  <si>
    <t>AR SUPPLIERS</t>
  </si>
  <si>
    <t>WILFREDO S. SAILES</t>
  </si>
  <si>
    <t>FVB</t>
  </si>
  <si>
    <t>ADDITIONAL PAYMENT CONTRACT OF SERVICE (JOB ORDER 0001)</t>
  </si>
  <si>
    <t>PREPAID EXP.</t>
  </si>
  <si>
    <t>Previous Payments:</t>
  </si>
  <si>
    <t>11/05/2024</t>
  </si>
  <si>
    <t xml:space="preserve">                                  /     A. BAJE</t>
  </si>
  <si>
    <t>MA. NELMA P. BAGATUA</t>
  </si>
  <si>
    <t>10/31/2024</t>
  </si>
  <si>
    <t>CLIENT</t>
  </si>
  <si>
    <t>Full payment re: Purchase of 3kl Tank Standing</t>
  </si>
  <si>
    <t>AP/Cash</t>
  </si>
  <si>
    <t>Brgy. Baloc, Sindangan, Zamboanga del Norte</t>
  </si>
  <si>
    <t>GUIDELINES ON HOW TO  FILL-OUT THE FORM:</t>
  </si>
  <si>
    <t>PAYEE INFORMATION:</t>
  </si>
  <si>
    <t>REMARKS:</t>
  </si>
  <si>
    <t>Required field.</t>
  </si>
  <si>
    <t>CHECK ISSUED AND NO:</t>
  </si>
  <si>
    <t>Do not fill out. ( Finance/Acctg)</t>
  </si>
  <si>
    <t>PURPOSE OF PAYMENT:</t>
  </si>
  <si>
    <t>FILL OUT THE FORM.</t>
  </si>
  <si>
    <t>ENTITY:</t>
  </si>
  <si>
    <t>EITHER OF THE FF:</t>
  </si>
  <si>
    <t>SEGMENT:</t>
  </si>
  <si>
    <t>OPS</t>
  </si>
  <si>
    <t>COST CENTER:</t>
  </si>
  <si>
    <t>ANNELYN</t>
  </si>
  <si>
    <t>DH</t>
  </si>
  <si>
    <t>DISTRIBUTION AND HAULING</t>
  </si>
  <si>
    <t>SS</t>
  </si>
  <si>
    <t>SALES</t>
  </si>
  <si>
    <t>MG</t>
  </si>
  <si>
    <t>MARKETING</t>
  </si>
  <si>
    <t>LIRA</t>
  </si>
  <si>
    <t>HR</t>
  </si>
  <si>
    <t>HUMAN RESOURCES</t>
  </si>
  <si>
    <t>LS</t>
  </si>
  <si>
    <t>LOGISTICS</t>
  </si>
  <si>
    <t>WG</t>
  </si>
  <si>
    <t>WAREHOUSING</t>
  </si>
  <si>
    <t>AK</t>
  </si>
  <si>
    <t>AUDIT CLERK (MONITORING FOR TANKER)</t>
  </si>
  <si>
    <t>ERMIE</t>
  </si>
  <si>
    <t>TL</t>
  </si>
  <si>
    <t>TECHNICAL</t>
  </si>
  <si>
    <t>ALYWIN</t>
  </si>
  <si>
    <t>AG</t>
  </si>
  <si>
    <t>ACCOUNTING</t>
  </si>
  <si>
    <t>FE</t>
  </si>
  <si>
    <t>FINANCE</t>
  </si>
  <si>
    <t>INFORMATION TECHNOLOGY</t>
  </si>
  <si>
    <t>EO</t>
  </si>
  <si>
    <t>EXECUTIVE OFFICER</t>
  </si>
  <si>
    <t>NA/A</t>
  </si>
  <si>
    <t>AT</t>
  </si>
  <si>
    <t>AUDIT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</si>
</sst>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.00_);_(* \(#,##0.00\);_(* &quot;-&quot;??_);_(@_)"/>
    <numFmt numFmtId="165" formatCode="[$-3409]dd\-mmm\-yy"/>
    <numFmt numFmtId="166" formatCode="#,##0.00;(#,##0.00)"/>
    <numFmt numFmtId="167" formatCode="[$₱]#,##0.00"/>
    <numFmt numFmtId="168" formatCode="_-* #,##0.00_-;\-* #,##0.00_-;_-* &quot;-&quot;??_-;_-@"/>
    <numFmt numFmtId="169" formatCode="_(* #,##0_);_(* \(#,##0\);_(* &quot;-&quot;??_);_(@_)"/>
    <numFmt numFmtId="170" formatCode="m-d-yyyy"/>
    <numFmt numFmtId="171" formatCode="_-&quot;₱&quot;* #,##0.00_-;\-&quot;₱&quot;* #,##0.00_-;_-&quot;₱&quot;* &quot;-&quot;??_-;_-@"/>
  </numFmts>
  <fonts count="37">
    <font>
      <sz val="11.0"/>
      <color theme="1"/>
      <name val="Calibri"/>
      <scheme val="minor"/>
    </font>
    <font>
      <sz val="10.0"/>
      <color theme="1"/>
      <name val="Arial"/>
    </font>
    <font>
      <b/>
      <sz val="22.0"/>
      <color theme="1"/>
      <name val="Arial"/>
    </font>
    <font>
      <b/>
      <sz val="36.0"/>
      <color theme="1"/>
      <name val="Arial"/>
    </font>
    <font/>
    <font>
      <b/>
      <sz val="8.0"/>
      <color theme="1"/>
      <name val="Arial"/>
    </font>
    <font>
      <sz val="8.0"/>
      <color theme="1"/>
      <name val="Arial"/>
    </font>
    <font>
      <sz val="7.0"/>
      <color theme="1"/>
      <name val="Arial"/>
    </font>
    <font>
      <b/>
      <sz val="10.0"/>
      <color theme="1"/>
      <name val="Arial"/>
    </font>
    <font>
      <b/>
      <sz val="9.0"/>
      <color rgb="FFC00000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2.0"/>
      <color theme="1"/>
      <name val="Calibri"/>
      <scheme val="minor"/>
    </font>
    <font>
      <sz val="12.0"/>
      <color theme="1"/>
      <name val="Arial"/>
    </font>
    <font>
      <sz val="11.0"/>
      <color rgb="FF000000"/>
      <name val="Arial"/>
    </font>
    <font>
      <color theme="1"/>
      <name val="Calibri"/>
      <scheme val="minor"/>
    </font>
    <font>
      <b/>
      <sz val="11.0"/>
      <color theme="1"/>
      <name val="Arial"/>
    </font>
    <font>
      <b/>
      <sz val="14.0"/>
      <color theme="1"/>
      <name val="Arial"/>
    </font>
    <font>
      <sz val="8.0"/>
      <color rgb="FFFF0000"/>
      <name val="Arial"/>
    </font>
    <font>
      <sz val="5.0"/>
      <color theme="1"/>
      <name val="Arial"/>
    </font>
    <font>
      <u/>
      <sz val="9.0"/>
      <color theme="1"/>
      <name val="Arial"/>
    </font>
    <font>
      <u/>
      <sz val="9.0"/>
      <color theme="1"/>
      <name val="Arial"/>
    </font>
    <font>
      <b/>
      <sz val="30.0"/>
      <color theme="1"/>
      <name val="Arial"/>
    </font>
    <font>
      <sz val="11.0"/>
      <color rgb="FF1C1E21"/>
      <name val="Inherit"/>
    </font>
    <font>
      <sz val="7.0"/>
      <color rgb="FFFF0000"/>
      <name val="Arial"/>
    </font>
    <font>
      <b/>
      <sz val="16.0"/>
      <color theme="1"/>
      <name val="Arial"/>
    </font>
    <font>
      <b/>
      <sz val="8.0"/>
      <color rgb="FFFF0000"/>
      <name val="Arial"/>
    </font>
    <font>
      <b/>
      <u/>
      <sz val="9.0"/>
      <color theme="1"/>
      <name val="Arial"/>
    </font>
    <font>
      <b/>
      <sz val="24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b/>
      <u/>
      <sz val="11.0"/>
      <color theme="1"/>
      <name val="Arial"/>
    </font>
    <font>
      <b/>
      <i/>
      <sz val="11.0"/>
      <color theme="1"/>
      <name val="Calibri"/>
    </font>
    <font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</fills>
  <borders count="8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/>
    </border>
    <border>
      <left style="thin">
        <color rgb="FF000000"/>
      </left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bottom/>
    </border>
    <border>
      <left style="thin">
        <color rgb="FF000000"/>
      </left>
      <right/>
      <bottom/>
    </border>
    <border>
      <left style="thin">
        <color rgb="FF000000"/>
      </left>
      <top/>
    </border>
    <border>
      <left/>
      <right/>
    </border>
    <border>
      <left/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4" fillId="2" fontId="2" numFmtId="0" xfId="0" applyAlignment="1" applyBorder="1" applyFill="1" applyFont="1">
      <alignment vertical="center"/>
    </xf>
    <xf borderId="5" fillId="2" fontId="2" numFmtId="0" xfId="0" applyAlignment="1" applyBorder="1" applyFont="1">
      <alignment vertical="center"/>
    </xf>
    <xf borderId="6" fillId="2" fontId="3" numFmtId="0" xfId="0" applyAlignment="1" applyBorder="1" applyFon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7" fillId="2" fontId="5" numFmtId="0" xfId="0" applyAlignment="1" applyBorder="1" applyFont="1">
      <alignment horizontal="center" vertical="center"/>
    </xf>
    <xf borderId="8" fillId="0" fontId="4" numFmtId="0" xfId="0" applyBorder="1" applyFont="1"/>
    <xf borderId="9" fillId="2" fontId="2" numFmtId="0" xfId="0" applyAlignment="1" applyBorder="1" applyFont="1">
      <alignment vertical="center"/>
    </xf>
    <xf borderId="10" fillId="2" fontId="2" numFmtId="0" xfId="0" applyAlignment="1" applyBorder="1" applyFont="1">
      <alignment vertical="center"/>
    </xf>
    <xf borderId="11" fillId="2" fontId="3" numFmtId="0" xfId="0" applyAlignment="1" applyBorder="1" applyFont="1">
      <alignment shrinkToFit="0" vertical="center" wrapText="1"/>
    </xf>
    <xf borderId="12" fillId="0" fontId="4" numFmtId="0" xfId="0" applyBorder="1" applyFont="1"/>
    <xf borderId="13" fillId="0" fontId="4" numFmtId="0" xfId="0" applyBorder="1" applyFont="1"/>
    <xf borderId="4" fillId="2" fontId="6" numFmtId="164" xfId="0" applyAlignment="1" applyBorder="1" applyFont="1" applyNumberFormat="1">
      <alignment vertical="center"/>
    </xf>
    <xf borderId="14" fillId="2" fontId="7" numFmtId="0" xfId="0" applyAlignment="1" applyBorder="1" applyFont="1">
      <alignment horizontal="right" vertical="center"/>
    </xf>
    <xf borderId="9" fillId="2" fontId="6" numFmtId="164" xfId="0" applyAlignment="1" applyBorder="1" applyFont="1" applyNumberFormat="1">
      <alignment vertical="center"/>
    </xf>
    <xf borderId="15" fillId="2" fontId="6" numFmtId="0" xfId="0" applyAlignment="1" applyBorder="1" applyFont="1">
      <alignment vertical="center"/>
    </xf>
    <xf borderId="16" fillId="2" fontId="2" numFmtId="0" xfId="0" applyAlignment="1" applyBorder="1" applyFont="1">
      <alignment vertical="center"/>
    </xf>
    <xf borderId="17" fillId="2" fontId="2" numFmtId="0" xfId="0" applyAlignment="1" applyBorder="1" applyFont="1">
      <alignment vertical="center"/>
    </xf>
    <xf borderId="18" fillId="2" fontId="3" numFmtId="0" xfId="0" applyAlignment="1" applyBorder="1" applyFont="1">
      <alignment shrinkToFit="0" vertical="center" wrapText="1"/>
    </xf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16" fillId="2" fontId="6" numFmtId="164" xfId="0" applyAlignment="1" applyBorder="1" applyFont="1" applyNumberFormat="1">
      <alignment vertical="center"/>
    </xf>
    <xf quotePrefix="1" borderId="22" fillId="2" fontId="6" numFmtId="49" xfId="0" applyAlignment="1" applyBorder="1" applyFont="1" applyNumberFormat="1">
      <alignment vertical="center"/>
    </xf>
    <xf borderId="9" fillId="2" fontId="5" numFmtId="0" xfId="0" applyAlignment="1" applyBorder="1" applyFont="1">
      <alignment horizontal="left" vertical="center"/>
    </xf>
    <xf borderId="10" fillId="2" fontId="5" numFmtId="0" xfId="0" applyAlignment="1" applyBorder="1" applyFont="1">
      <alignment horizontal="left" vertical="center"/>
    </xf>
    <xf borderId="23" fillId="2" fontId="1" numFmtId="0" xfId="0" applyAlignment="1" applyBorder="1" applyFont="1">
      <alignment vertical="center"/>
    </xf>
    <xf borderId="10" fillId="2" fontId="8" numFmtId="0" xfId="0" applyAlignment="1" applyBorder="1" applyFont="1">
      <alignment vertical="center"/>
    </xf>
    <xf borderId="13" fillId="0" fontId="9" numFmtId="0" xfId="0" applyAlignment="1" applyBorder="1" applyFont="1">
      <alignment vertical="center"/>
    </xf>
    <xf borderId="4" fillId="3" fontId="10" numFmtId="0" xfId="0" applyAlignment="1" applyBorder="1" applyFont="1">
      <alignment horizontal="left" vertical="center"/>
    </xf>
    <xf borderId="5" fillId="3" fontId="10" numFmtId="0" xfId="0" applyAlignment="1" applyBorder="1" applyFont="1">
      <alignment horizontal="left" vertical="center"/>
    </xf>
    <xf borderId="5" fillId="3" fontId="11" numFmtId="0" xfId="0" applyAlignment="1" applyBorder="1" applyFont="1">
      <alignment horizontal="left" vertical="center"/>
    </xf>
    <xf borderId="5" fillId="3" fontId="11" numFmtId="0" xfId="0" applyAlignment="1" applyBorder="1" applyFont="1">
      <alignment vertical="center"/>
    </xf>
    <xf borderId="14" fillId="3" fontId="11" numFmtId="0" xfId="0" applyAlignment="1" applyBorder="1" applyFont="1">
      <alignment horizontal="right" vertical="center"/>
    </xf>
    <xf borderId="24" fillId="2" fontId="10" numFmtId="0" xfId="0" applyAlignment="1" applyBorder="1" applyFont="1">
      <alignment horizontal="left" vertical="center"/>
    </xf>
    <xf borderId="25" fillId="2" fontId="12" numFmtId="0" xfId="0" applyAlignment="1" applyBorder="1" applyFont="1">
      <alignment horizontal="left" readingOrder="0" shrinkToFit="0" vertical="center" wrapText="1"/>
    </xf>
    <xf borderId="26" fillId="0" fontId="4" numFmtId="0" xfId="0" applyBorder="1" applyFont="1"/>
    <xf borderId="27" fillId="0" fontId="4" numFmtId="0" xfId="0" applyBorder="1" applyFont="1"/>
    <xf borderId="7" fillId="2" fontId="10" numFmtId="0" xfId="0" applyAlignment="1" applyBorder="1" applyFont="1">
      <alignment horizontal="left" vertical="center"/>
    </xf>
    <xf borderId="25" fillId="2" fontId="13" numFmtId="165" xfId="0" applyAlignment="1" applyBorder="1" applyFont="1" applyNumberFormat="1">
      <alignment horizontal="center" readingOrder="0" vertical="center"/>
    </xf>
    <xf borderId="25" fillId="2" fontId="11" numFmtId="0" xfId="0" applyAlignment="1" applyBorder="1" applyFont="1">
      <alignment horizontal="left" readingOrder="0" vertical="center"/>
    </xf>
    <xf borderId="25" fillId="2" fontId="13" numFmtId="0" xfId="0" applyAlignment="1" applyBorder="1" applyFont="1">
      <alignment horizontal="left" vertical="center"/>
    </xf>
    <xf borderId="28" fillId="3" fontId="10" numFmtId="0" xfId="0" applyAlignment="1" applyBorder="1" applyFont="1">
      <alignment horizontal="left" vertical="center"/>
    </xf>
    <xf borderId="29" fillId="3" fontId="10" numFmtId="0" xfId="0" applyAlignment="1" applyBorder="1" applyFont="1">
      <alignment horizontal="left" vertical="center"/>
    </xf>
    <xf borderId="29" fillId="3" fontId="11" numFmtId="0" xfId="0" applyAlignment="1" applyBorder="1" applyFont="1">
      <alignment horizontal="left" vertical="center"/>
    </xf>
    <xf borderId="29" fillId="3" fontId="11" numFmtId="0" xfId="0" applyAlignment="1" applyBorder="1" applyFont="1">
      <alignment vertical="center"/>
    </xf>
    <xf borderId="30" fillId="3" fontId="11" numFmtId="0" xfId="0" applyAlignment="1" applyBorder="1" applyFont="1">
      <alignment horizontal="right" vertical="center"/>
    </xf>
    <xf borderId="0" fillId="2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166" xfId="0" applyAlignment="1" applyFont="1" applyNumberFormat="1">
      <alignment horizontal="right" vertical="bottom"/>
    </xf>
    <xf borderId="7" fillId="3" fontId="10" numFmtId="0" xfId="0" applyAlignment="1" applyBorder="1" applyFont="1">
      <alignment horizontal="center" vertical="center"/>
    </xf>
    <xf borderId="31" fillId="3" fontId="10" numFmtId="0" xfId="0" applyAlignment="1" applyBorder="1" applyFont="1">
      <alignment horizontal="center" vertical="center"/>
    </xf>
    <xf borderId="32" fillId="3" fontId="10" numFmtId="0" xfId="0" applyAlignment="1" applyBorder="1" applyFont="1">
      <alignment horizontal="center" vertical="center"/>
    </xf>
    <xf borderId="32" fillId="3" fontId="10" numFmtId="0" xfId="0" applyAlignment="1" applyBorder="1" applyFont="1">
      <alignment horizontal="center" shrinkToFit="0" vertical="center" wrapText="1"/>
    </xf>
    <xf borderId="33" fillId="3" fontId="10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left" readingOrder="0" shrinkToFit="0" vertical="center" wrapText="0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14" numFmtId="3" xfId="0" applyAlignment="1" applyFont="1" applyNumberFormat="1">
      <alignment horizontal="right" readingOrder="0"/>
    </xf>
    <xf borderId="0" fillId="2" fontId="12" numFmtId="167" xfId="0" applyAlignment="1" applyFont="1" applyNumberFormat="1">
      <alignment horizontal="right" readingOrder="0" shrinkToFit="0" vertical="center" wrapText="1"/>
    </xf>
    <xf borderId="31" fillId="2" fontId="10" numFmtId="168" xfId="0" applyAlignment="1" applyBorder="1" applyFont="1" applyNumberFormat="1">
      <alignment horizontal="center" vertical="center"/>
    </xf>
    <xf borderId="34" fillId="2" fontId="10" numFmtId="168" xfId="0" applyAlignment="1" applyBorder="1" applyFont="1" applyNumberFormat="1">
      <alignment horizontal="center" vertical="center"/>
    </xf>
    <xf borderId="35" fillId="2" fontId="10" numFmtId="164" xfId="0" applyAlignment="1" applyBorder="1" applyFont="1" applyNumberFormat="1">
      <alignment horizontal="center" vertical="center"/>
    </xf>
    <xf borderId="33" fillId="2" fontId="11" numFmtId="0" xfId="0" applyAlignment="1" applyBorder="1" applyFont="1">
      <alignment vertical="center"/>
    </xf>
    <xf borderId="12" fillId="2" fontId="12" numFmtId="0" xfId="0" applyAlignment="1" applyBorder="1" applyFont="1">
      <alignment horizontal="left" readingOrder="0" shrinkToFit="0" vertical="top" wrapText="0"/>
    </xf>
    <xf borderId="0" fillId="0" fontId="16" numFmtId="0" xfId="0" applyAlignment="1" applyFont="1">
      <alignment readingOrder="0"/>
    </xf>
    <xf borderId="0" fillId="2" fontId="14" numFmtId="3" xfId="0" applyAlignment="1" applyFont="1" applyNumberFormat="1">
      <alignment horizontal="right" readingOrder="0" shrinkToFit="0" vertical="center" wrapText="1"/>
    </xf>
    <xf borderId="36" fillId="0" fontId="4" numFmtId="0" xfId="0" applyBorder="1" applyFont="1"/>
    <xf borderId="34" fillId="0" fontId="4" numFmtId="0" xfId="0" applyBorder="1" applyFont="1"/>
    <xf borderId="35" fillId="0" fontId="4" numFmtId="0" xfId="0" applyBorder="1" applyFont="1"/>
    <xf borderId="37" fillId="2" fontId="1" numFmtId="164" xfId="0" applyAlignment="1" applyBorder="1" applyFont="1" applyNumberFormat="1">
      <alignment horizontal="center" vertical="center"/>
    </xf>
    <xf borderId="38" fillId="2" fontId="16" numFmtId="167" xfId="0" applyAlignment="1" applyBorder="1" applyFont="1" applyNumberFormat="1">
      <alignment horizontal="center" readingOrder="0" vertical="center"/>
    </xf>
    <xf borderId="0" fillId="2" fontId="16" numFmtId="0" xfId="0" applyAlignment="1" applyFont="1">
      <alignment horizontal="left" readingOrder="0" shrinkToFit="0" vertical="top" wrapText="0"/>
    </xf>
    <xf borderId="0" fillId="2" fontId="12" numFmtId="0" xfId="0" applyAlignment="1" applyFont="1">
      <alignment horizontal="left" readingOrder="0" shrinkToFit="0" vertical="top" wrapText="0"/>
    </xf>
    <xf borderId="0" fillId="2" fontId="14" numFmtId="3" xfId="0" applyAlignment="1" applyFont="1" applyNumberFormat="1">
      <alignment horizontal="right" readingOrder="0" shrinkToFit="0" vertical="top" wrapText="0"/>
    </xf>
    <xf borderId="37" fillId="2" fontId="11" numFmtId="164" xfId="0" applyAlignment="1" applyBorder="1" applyFont="1" applyNumberFormat="1">
      <alignment horizontal="center" vertical="center"/>
    </xf>
    <xf borderId="12" fillId="2" fontId="12" numFmtId="0" xfId="0" applyAlignment="1" applyBorder="1" applyFont="1">
      <alignment horizontal="left" readingOrder="0" shrinkToFit="0" vertical="center" wrapText="0"/>
    </xf>
    <xf borderId="0" fillId="2" fontId="16" numFmtId="0" xfId="0" applyAlignment="1" applyFont="1">
      <alignment horizontal="left" readingOrder="0" shrinkToFit="0" vertical="center" wrapText="0"/>
    </xf>
    <xf borderId="0" fillId="2" fontId="12" numFmtId="0" xfId="0" applyAlignment="1" applyFont="1">
      <alignment horizontal="left" readingOrder="0" shrinkToFit="0" vertical="center" wrapText="0"/>
    </xf>
    <xf borderId="0" fillId="2" fontId="16" numFmtId="3" xfId="0" applyAlignment="1" applyFont="1" applyNumberFormat="1">
      <alignment horizontal="right" readingOrder="0" shrinkToFit="0" vertical="center" wrapText="0"/>
    </xf>
    <xf borderId="0" fillId="2" fontId="16" numFmtId="3" xfId="0" applyAlignment="1" applyFont="1" applyNumberFormat="1">
      <alignment horizontal="right" readingOrder="0" shrinkToFit="0" vertical="top" wrapText="0"/>
    </xf>
    <xf borderId="37" fillId="2" fontId="11" numFmtId="0" xfId="0" applyAlignment="1" applyBorder="1" applyFont="1">
      <alignment vertical="center"/>
    </xf>
    <xf borderId="0" fillId="2" fontId="17" numFmtId="0" xfId="0" applyAlignment="1" applyFont="1">
      <alignment readingOrder="0"/>
    </xf>
    <xf borderId="10" fillId="2" fontId="10" numFmtId="0" xfId="0" applyAlignment="1" applyBorder="1" applyFont="1">
      <alignment horizontal="right" vertical="center"/>
    </xf>
    <xf borderId="10" fillId="2" fontId="11" numFmtId="3" xfId="0" applyAlignment="1" applyBorder="1" applyFont="1" applyNumberFormat="1">
      <alignment horizontal="right" readingOrder="0" vertical="center"/>
    </xf>
    <xf borderId="0" fillId="2" fontId="10" numFmtId="0" xfId="0" applyAlignment="1" applyFont="1">
      <alignment readingOrder="0" shrinkToFit="0" vertical="center" wrapText="0"/>
    </xf>
    <xf borderId="0" fillId="2" fontId="10" numFmtId="164" xfId="0" applyAlignment="1" applyFont="1" applyNumberFormat="1">
      <alignment horizontal="right" shrinkToFit="0" vertical="center" wrapText="0"/>
    </xf>
    <xf borderId="0" fillId="0" fontId="14" numFmtId="0" xfId="0" applyAlignment="1" applyFont="1">
      <alignment horizontal="right" readingOrder="0" vertical="bottom"/>
    </xf>
    <xf borderId="12" fillId="0" fontId="14" numFmtId="0" xfId="0" applyAlignment="1" applyBorder="1" applyFont="1">
      <alignment horizontal="center" vertical="bottom"/>
    </xf>
    <xf borderId="0" fillId="0" fontId="14" numFmtId="169" xfId="0" applyAlignment="1" applyFont="1" applyNumberFormat="1">
      <alignment horizontal="right" vertical="bottom"/>
    </xf>
    <xf borderId="39" fillId="2" fontId="11" numFmtId="0" xfId="0" applyAlignment="1" applyBorder="1" applyFont="1">
      <alignment vertical="center"/>
    </xf>
    <xf borderId="12" fillId="0" fontId="18" numFmtId="0" xfId="0" applyBorder="1" applyFont="1"/>
    <xf borderId="13" fillId="0" fontId="14" numFmtId="166" xfId="0" applyAlignment="1" applyBorder="1" applyFont="1" applyNumberFormat="1">
      <alignment horizontal="left" vertical="bottom"/>
    </xf>
    <xf borderId="12" fillId="0" fontId="14" numFmtId="0" xfId="0" applyAlignment="1" applyBorder="1" applyFont="1">
      <alignment horizontal="center" vertical="bottom"/>
    </xf>
    <xf borderId="40" fillId="2" fontId="10" numFmtId="0" xfId="0" applyAlignment="1" applyBorder="1" applyFont="1">
      <alignment readingOrder="0" shrinkToFit="0" vertical="center" wrapText="0"/>
    </xf>
    <xf borderId="40" fillId="2" fontId="10" numFmtId="164" xfId="0" applyAlignment="1" applyBorder="1" applyFont="1" applyNumberFormat="1">
      <alignment horizontal="right" shrinkToFit="0" vertical="center" wrapText="0"/>
    </xf>
    <xf borderId="41" fillId="0" fontId="4" numFmtId="0" xfId="0" applyBorder="1" applyFont="1"/>
    <xf borderId="42" fillId="0" fontId="4" numFmtId="0" xfId="0" applyBorder="1" applyFont="1"/>
    <xf borderId="43" fillId="0" fontId="4" numFmtId="0" xfId="0" applyBorder="1" applyFont="1"/>
    <xf borderId="44" fillId="2" fontId="11" numFmtId="0" xfId="0" applyAlignment="1" applyBorder="1" applyFont="1">
      <alignment vertical="center"/>
    </xf>
    <xf borderId="12" fillId="2" fontId="16" numFmtId="164" xfId="0" applyAlignment="1" applyBorder="1" applyFont="1" applyNumberFormat="1">
      <alignment horizontal="center" vertical="center"/>
    </xf>
    <xf borderId="32" fillId="0" fontId="10" numFmtId="0" xfId="0" applyAlignment="1" applyBorder="1" applyFont="1">
      <alignment horizontal="left" vertical="center"/>
    </xf>
    <xf borderId="7" fillId="0" fontId="16" numFmtId="0" xfId="0" applyAlignment="1" applyBorder="1" applyFont="1">
      <alignment horizontal="left" readingOrder="0" vertical="center"/>
    </xf>
    <xf borderId="32" fillId="0" fontId="11" numFmtId="0" xfId="0" applyAlignment="1" applyBorder="1" applyFont="1">
      <alignment vertical="center"/>
    </xf>
    <xf borderId="32" fillId="0" fontId="19" numFmtId="164" xfId="0" applyAlignment="1" applyBorder="1" applyFont="1" applyNumberFormat="1">
      <alignment horizontal="right" vertical="center"/>
    </xf>
    <xf borderId="7" fillId="0" fontId="20" numFmtId="164" xfId="0" applyAlignment="1" applyBorder="1" applyFont="1" applyNumberFormat="1">
      <alignment horizontal="right" vertical="center"/>
    </xf>
    <xf borderId="43" fillId="2" fontId="21" numFmtId="0" xfId="0" applyAlignment="1" applyBorder="1" applyFont="1">
      <alignment horizontal="left" vertical="center"/>
    </xf>
    <xf borderId="23" fillId="2" fontId="11" numFmtId="0" xfId="0" applyAlignment="1" applyBorder="1" applyFont="1">
      <alignment horizontal="center" vertical="center"/>
    </xf>
    <xf borderId="23" fillId="2" fontId="11" numFmtId="0" xfId="0" applyAlignment="1" applyBorder="1" applyFont="1">
      <alignment horizontal="left" vertical="center"/>
    </xf>
    <xf borderId="45" fillId="2" fontId="11" numFmtId="0" xfId="0" applyAlignment="1" applyBorder="1" applyFont="1">
      <alignment horizontal="left" vertical="center"/>
    </xf>
    <xf borderId="45" fillId="2" fontId="11" numFmtId="0" xfId="0" applyAlignment="1" applyBorder="1" applyFont="1">
      <alignment horizontal="right" vertical="center"/>
    </xf>
    <xf borderId="45" fillId="2" fontId="11" numFmtId="4" xfId="0" applyAlignment="1" applyBorder="1" applyFont="1" applyNumberFormat="1">
      <alignment horizontal="right" vertical="center"/>
    </xf>
    <xf borderId="46" fillId="2" fontId="11" numFmtId="4" xfId="0" applyAlignment="1" applyBorder="1" applyFont="1" applyNumberFormat="1">
      <alignment horizontal="right" vertical="center"/>
    </xf>
    <xf borderId="24" fillId="3" fontId="10" numFmtId="164" xfId="0" applyAlignment="1" applyBorder="1" applyFont="1" applyNumberFormat="1">
      <alignment horizontal="left" vertical="center"/>
    </xf>
    <xf borderId="47" fillId="3" fontId="10" numFmtId="164" xfId="0" applyAlignment="1" applyBorder="1" applyFont="1" applyNumberFormat="1">
      <alignment horizontal="left" vertical="center"/>
    </xf>
    <xf borderId="7" fillId="3" fontId="10" numFmtId="164" xfId="0" applyAlignment="1" applyBorder="1" applyFont="1" applyNumberFormat="1">
      <alignment vertical="center"/>
    </xf>
    <xf borderId="7" fillId="3" fontId="10" numFmtId="164" xfId="0" applyAlignment="1" applyBorder="1" applyFont="1" applyNumberFormat="1">
      <alignment horizontal="left" vertical="center"/>
    </xf>
    <xf borderId="9" fillId="2" fontId="11" numFmtId="0" xfId="0" applyAlignment="1" applyBorder="1" applyFont="1">
      <alignment vertical="center"/>
    </xf>
    <xf borderId="15" fillId="2" fontId="11" numFmtId="0" xfId="0" applyAlignment="1" applyBorder="1" applyFont="1">
      <alignment vertical="center"/>
    </xf>
    <xf borderId="4" fillId="2" fontId="13" numFmtId="0" xfId="0" applyAlignment="1" applyBorder="1" applyFont="1">
      <alignment vertical="center"/>
    </xf>
    <xf borderId="14" fillId="2" fontId="13" numFmtId="0" xfId="0" applyAlignment="1" applyBorder="1" applyFont="1">
      <alignment vertical="center"/>
    </xf>
    <xf borderId="12" fillId="2" fontId="1" numFmtId="0" xfId="0" applyAlignment="1" applyBorder="1" applyFont="1">
      <alignment horizontal="center" readingOrder="0" vertical="center"/>
    </xf>
    <xf borderId="4" fillId="2" fontId="11" numFmtId="0" xfId="0" applyAlignment="1" applyBorder="1" applyFont="1">
      <alignment vertical="center"/>
    </xf>
    <xf borderId="5" fillId="2" fontId="11" numFmtId="0" xfId="0" applyAlignment="1" applyBorder="1" applyFont="1">
      <alignment vertical="center"/>
    </xf>
    <xf borderId="14" fillId="2" fontId="11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48" fillId="2" fontId="22" numFmtId="0" xfId="0" applyAlignment="1" applyBorder="1" applyFont="1">
      <alignment horizontal="center" readingOrder="0" vertical="center"/>
    </xf>
    <xf borderId="49" fillId="0" fontId="4" numFmtId="0" xfId="0" applyBorder="1" applyFont="1"/>
    <xf borderId="48" fillId="2" fontId="13" numFmtId="0" xfId="0" applyAlignment="1" applyBorder="1" applyFont="1">
      <alignment horizontal="center" readingOrder="0" vertical="center"/>
    </xf>
    <xf borderId="16" fillId="2" fontId="13" numFmtId="0" xfId="0" applyAlignment="1" applyBorder="1" applyFont="1">
      <alignment horizontal="right" readingOrder="0" vertical="center"/>
    </xf>
    <xf borderId="22" fillId="2" fontId="13" numFmtId="0" xfId="0" applyAlignment="1" applyBorder="1" applyFont="1">
      <alignment vertical="center"/>
    </xf>
    <xf borderId="16" fillId="2" fontId="11" numFmtId="0" xfId="0" applyAlignment="1" applyBorder="1" applyFont="1">
      <alignment vertical="center"/>
    </xf>
    <xf borderId="17" fillId="2" fontId="11" numFmtId="0" xfId="0" applyAlignment="1" applyBorder="1" applyFont="1">
      <alignment vertical="center"/>
    </xf>
    <xf borderId="22" fillId="2" fontId="11" numFmtId="0" xfId="0" applyAlignment="1" applyBorder="1" applyFont="1">
      <alignment vertical="center"/>
    </xf>
    <xf borderId="7" fillId="2" fontId="11" numFmtId="0" xfId="0" applyAlignment="1" applyBorder="1" applyFont="1">
      <alignment horizontal="center" vertical="center"/>
    </xf>
    <xf borderId="25" fillId="2" fontId="11" numFmtId="0" xfId="0" applyAlignment="1" applyBorder="1" applyFont="1">
      <alignment horizontal="center" vertical="center"/>
    </xf>
    <xf borderId="10" fillId="2" fontId="10" numFmtId="0" xfId="0" applyAlignment="1" applyBorder="1" applyFont="1">
      <alignment horizontal="left" vertical="center"/>
    </xf>
    <xf borderId="23" fillId="2" fontId="10" numFmtId="0" xfId="0" applyAlignment="1" applyBorder="1" applyFont="1">
      <alignment horizontal="left" vertical="center"/>
    </xf>
    <xf borderId="23" fillId="2" fontId="11" numFmtId="0" xfId="0" applyAlignment="1" applyBorder="1" applyFont="1">
      <alignment vertical="center"/>
    </xf>
    <xf borderId="25" fillId="2" fontId="16" numFmtId="0" xfId="0" applyAlignment="1" applyBorder="1" applyFont="1">
      <alignment horizontal="left" shrinkToFit="0" vertical="center" wrapText="1"/>
    </xf>
    <xf borderId="25" fillId="2" fontId="13" numFmtId="165" xfId="0" applyAlignment="1" applyBorder="1" applyFont="1" applyNumberFormat="1">
      <alignment horizontal="center" vertical="center"/>
    </xf>
    <xf borderId="25" fillId="2" fontId="11" numFmtId="0" xfId="0" applyAlignment="1" applyBorder="1" applyFont="1">
      <alignment horizontal="left" vertical="center"/>
    </xf>
    <xf borderId="50" fillId="3" fontId="10" numFmtId="0" xfId="0" applyAlignment="1" applyBorder="1" applyFont="1">
      <alignment horizontal="center" vertical="center"/>
    </xf>
    <xf borderId="51" fillId="0" fontId="4" numFmtId="0" xfId="0" applyBorder="1" applyFont="1"/>
    <xf borderId="52" fillId="0" fontId="4" numFmtId="0" xfId="0" applyBorder="1" applyFont="1"/>
    <xf borderId="33" fillId="3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right" vertical="center"/>
    </xf>
    <xf borderId="5" fillId="2" fontId="11" numFmtId="164" xfId="0" applyAlignment="1" applyBorder="1" applyFont="1" applyNumberFormat="1">
      <alignment vertical="center"/>
    </xf>
    <xf borderId="14" fillId="2" fontId="11" numFmtId="164" xfId="0" applyAlignment="1" applyBorder="1" applyFont="1" applyNumberFormat="1">
      <alignment vertical="center"/>
    </xf>
    <xf borderId="33" fillId="2" fontId="11" numFmtId="164" xfId="0" applyAlignment="1" applyBorder="1" applyFont="1" applyNumberFormat="1">
      <alignment horizontal="center" vertical="center"/>
    </xf>
    <xf borderId="5" fillId="2" fontId="10" numFmtId="164" xfId="0" applyAlignment="1" applyBorder="1" applyFont="1" applyNumberFormat="1">
      <alignment vertical="center"/>
    </xf>
    <xf borderId="39" fillId="2" fontId="16" numFmtId="164" xfId="0" applyAlignment="1" applyBorder="1" applyFont="1" applyNumberFormat="1">
      <alignment horizontal="center" vertical="center"/>
    </xf>
    <xf borderId="53" fillId="0" fontId="4" numFmtId="0" xfId="0" applyBorder="1" applyFont="1"/>
    <xf borderId="9" fillId="2" fontId="16" numFmtId="0" xfId="0" applyAlignment="1" applyBorder="1" applyFont="1">
      <alignment horizontal="left" vertical="center"/>
    </xf>
    <xf borderId="10" fillId="2" fontId="10" numFmtId="0" xfId="0" applyAlignment="1" applyBorder="1" applyFont="1">
      <alignment vertical="center"/>
    </xf>
    <xf borderId="10" fillId="2" fontId="11" numFmtId="164" xfId="0" applyAlignment="1" applyBorder="1" applyFont="1" applyNumberFormat="1">
      <alignment vertical="center"/>
    </xf>
    <xf borderId="15" fillId="2" fontId="11" numFmtId="164" xfId="0" applyAlignment="1" applyBorder="1" applyFont="1" applyNumberFormat="1">
      <alignment vertical="center"/>
    </xf>
    <xf borderId="10" fillId="2" fontId="11" numFmtId="164" xfId="0" applyAlignment="1" applyBorder="1" applyFont="1" applyNumberFormat="1">
      <alignment horizontal="center" vertical="center"/>
    </xf>
    <xf borderId="9" fillId="2" fontId="1" numFmtId="164" xfId="0" applyAlignment="1" applyBorder="1" applyFont="1" applyNumberFormat="1">
      <alignment horizontal="center" vertical="center"/>
    </xf>
    <xf borderId="9" fillId="2" fontId="13" numFmtId="0" xfId="0" applyAlignment="1" applyBorder="1" applyFont="1">
      <alignment vertical="center"/>
    </xf>
    <xf borderId="10" fillId="2" fontId="11" numFmtId="0" xfId="0" applyAlignment="1" applyBorder="1" applyFont="1">
      <alignment horizontal="right" vertical="center"/>
    </xf>
    <xf borderId="10" fillId="2" fontId="23" numFmtId="164" xfId="0" applyAlignment="1" applyBorder="1" applyFont="1" applyNumberFormat="1">
      <alignment vertical="center"/>
    </xf>
    <xf borderId="15" fillId="2" fontId="24" numFmtId="164" xfId="0" applyAlignment="1" applyBorder="1" applyFont="1" applyNumberFormat="1">
      <alignment vertical="center"/>
    </xf>
    <xf borderId="37" fillId="2" fontId="10" numFmtId="168" xfId="0" applyAlignment="1" applyBorder="1" applyFont="1" applyNumberFormat="1">
      <alignment horizontal="center" vertical="center"/>
    </xf>
    <xf borderId="10" fillId="2" fontId="10" numFmtId="168" xfId="0" applyAlignment="1" applyBorder="1" applyFont="1" applyNumberFormat="1">
      <alignment horizontal="center" vertical="center"/>
    </xf>
    <xf borderId="9" fillId="2" fontId="10" numFmtId="164" xfId="0" applyAlignment="1" applyBorder="1" applyFont="1" applyNumberFormat="1">
      <alignment horizontal="center" vertical="center"/>
    </xf>
    <xf borderId="9" fillId="2" fontId="11" numFmtId="164" xfId="0" applyAlignment="1" applyBorder="1" applyFont="1" applyNumberFormat="1">
      <alignment horizontal="center" vertical="center"/>
    </xf>
    <xf borderId="10" fillId="2" fontId="11" numFmtId="0" xfId="0" applyAlignment="1" applyBorder="1" applyFont="1">
      <alignment vertical="center"/>
    </xf>
    <xf borderId="9" fillId="2" fontId="10" numFmtId="0" xfId="0" applyAlignment="1" applyBorder="1" applyFont="1">
      <alignment vertical="center"/>
    </xf>
    <xf borderId="10" fillId="2" fontId="10" numFmtId="164" xfId="0" applyAlignment="1" applyBorder="1" applyFont="1" applyNumberFormat="1">
      <alignment horizontal="right" vertical="center"/>
    </xf>
    <xf borderId="10" fillId="2" fontId="10" numFmtId="164" xfId="0" applyAlignment="1" applyBorder="1" applyFont="1" applyNumberFormat="1">
      <alignment horizontal="left" vertical="center"/>
    </xf>
    <xf borderId="37" fillId="2" fontId="10" numFmtId="0" xfId="0" applyAlignment="1" applyBorder="1" applyFont="1">
      <alignment vertical="center"/>
    </xf>
    <xf borderId="10" fillId="2" fontId="10" numFmtId="164" xfId="0" applyAlignment="1" applyBorder="1" applyFont="1" applyNumberFormat="1">
      <alignment vertical="center"/>
    </xf>
    <xf borderId="9" fillId="2" fontId="16" numFmtId="164" xfId="0" applyAlignment="1" applyBorder="1" applyFont="1" applyNumberFormat="1">
      <alignment horizontal="center" vertical="center"/>
    </xf>
    <xf borderId="15" fillId="2" fontId="16" numFmtId="164" xfId="0" applyAlignment="1" applyBorder="1" applyFont="1" applyNumberFormat="1">
      <alignment horizontal="center" vertical="center"/>
    </xf>
    <xf borderId="54" fillId="0" fontId="10" numFmtId="0" xfId="0" applyAlignment="1" applyBorder="1" applyFont="1">
      <alignment horizontal="left" vertical="center"/>
    </xf>
    <xf borderId="55" fillId="0" fontId="10" numFmtId="0" xfId="0" applyAlignment="1" applyBorder="1" applyFont="1">
      <alignment horizontal="left" vertical="center"/>
    </xf>
    <xf borderId="55" fillId="0" fontId="10" numFmtId="0" xfId="0" applyAlignment="1" applyBorder="1" applyFont="1">
      <alignment horizontal="center" vertical="center"/>
    </xf>
    <xf borderId="55" fillId="0" fontId="4" numFmtId="0" xfId="0" applyBorder="1" applyFont="1"/>
    <xf borderId="55" fillId="0" fontId="11" numFmtId="0" xfId="0" applyAlignment="1" applyBorder="1" applyFont="1">
      <alignment vertical="center"/>
    </xf>
    <xf borderId="56" fillId="0" fontId="19" numFmtId="164" xfId="0" applyAlignment="1" applyBorder="1" applyFont="1" applyNumberFormat="1">
      <alignment horizontal="right" vertical="center"/>
    </xf>
    <xf borderId="57" fillId="0" fontId="20" numFmtId="164" xfId="0" applyAlignment="1" applyBorder="1" applyFont="1" applyNumberFormat="1">
      <alignment horizontal="right" vertical="center"/>
    </xf>
    <xf borderId="58" fillId="0" fontId="4" numFmtId="0" xfId="0" applyBorder="1" applyFont="1"/>
    <xf borderId="9" fillId="2" fontId="21" numFmtId="0" xfId="0" applyAlignment="1" applyBorder="1" applyFont="1">
      <alignment horizontal="left" vertical="center"/>
    </xf>
    <xf borderId="10" fillId="2" fontId="11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left" vertical="center"/>
    </xf>
    <xf borderId="10" fillId="2" fontId="11" numFmtId="4" xfId="0" applyAlignment="1" applyBorder="1" applyFont="1" applyNumberFormat="1">
      <alignment horizontal="right" vertical="center"/>
    </xf>
    <xf borderId="15" fillId="2" fontId="11" numFmtId="4" xfId="0" applyAlignment="1" applyBorder="1" applyFont="1" applyNumberFormat="1">
      <alignment horizontal="right" vertical="center"/>
    </xf>
    <xf borderId="24" fillId="3" fontId="10" numFmtId="164" xfId="0" applyAlignment="1" applyBorder="1" applyFont="1" applyNumberFormat="1">
      <alignment vertical="center"/>
    </xf>
    <xf borderId="59" fillId="3" fontId="10" numFmtId="164" xfId="0" applyAlignment="1" applyBorder="1" applyFont="1" applyNumberFormat="1">
      <alignment vertical="center"/>
    </xf>
    <xf borderId="4" fillId="2" fontId="1" numFmtId="0" xfId="0" applyAlignment="1" applyBorder="1" applyFont="1">
      <alignment vertical="center"/>
    </xf>
    <xf borderId="14" fillId="2" fontId="1" numFmtId="0" xfId="0" applyAlignment="1" applyBorder="1" applyFont="1">
      <alignment vertical="center"/>
    </xf>
    <xf borderId="48" fillId="2" fontId="13" numFmtId="0" xfId="0" applyAlignment="1" applyBorder="1" applyFont="1">
      <alignment horizontal="center" vertical="center"/>
    </xf>
    <xf borderId="48" fillId="2" fontId="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right" vertical="center"/>
    </xf>
    <xf borderId="0" fillId="0" fontId="11" numFmtId="4" xfId="0" applyAlignment="1" applyFont="1" applyNumberFormat="1">
      <alignment horizontal="right" vertical="center"/>
    </xf>
    <xf borderId="0" fillId="0" fontId="10" numFmtId="164" xfId="0" applyAlignment="1" applyFont="1" applyNumberFormat="1">
      <alignment horizontal="left" vertical="center"/>
    </xf>
    <xf borderId="0" fillId="0" fontId="10" numFmtId="164" xfId="0" applyAlignment="1" applyFont="1" applyNumberFormat="1">
      <alignment vertical="center"/>
    </xf>
    <xf borderId="0" fillId="0" fontId="11" numFmtId="0" xfId="0" applyAlignment="1" applyFont="1">
      <alignment vertical="center"/>
    </xf>
    <xf borderId="5" fillId="2" fontId="3" numFmtId="0" xfId="0" applyAlignment="1" applyBorder="1" applyFont="1">
      <alignment shrinkToFit="0" vertical="center" wrapText="1"/>
    </xf>
    <xf borderId="10" fillId="2" fontId="3" numFmtId="0" xfId="0" applyAlignment="1" applyBorder="1" applyFont="1">
      <alignment shrinkToFit="0" vertical="center" wrapText="1"/>
    </xf>
    <xf borderId="17" fillId="2" fontId="3" numFmtId="0" xfId="0" applyAlignment="1" applyBorder="1" applyFont="1">
      <alignment shrinkToFit="0" vertical="center" wrapText="1"/>
    </xf>
    <xf borderId="10" fillId="2" fontId="1" numFmtId="0" xfId="0" applyAlignment="1" applyBorder="1" applyFont="1">
      <alignment vertical="center"/>
    </xf>
    <xf borderId="31" fillId="3" fontId="10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vertical="center"/>
    </xf>
    <xf borderId="0" fillId="0" fontId="15" numFmtId="3" xfId="0" applyAlignment="1" applyFont="1" applyNumberFormat="1">
      <alignment horizontal="right" readingOrder="0"/>
    </xf>
    <xf borderId="31" fillId="2" fontId="10" numFmtId="168" xfId="0" applyAlignment="1" applyBorder="1" applyFont="1" applyNumberFormat="1">
      <alignment horizontal="center" readingOrder="0" vertical="center"/>
    </xf>
    <xf borderId="31" fillId="2" fontId="10" numFmtId="164" xfId="0" applyAlignment="1" applyBorder="1" applyFont="1" applyNumberFormat="1">
      <alignment horizontal="center" vertical="center"/>
    </xf>
    <xf borderId="31" fillId="2" fontId="11" numFmtId="0" xfId="0" applyAlignment="1" applyBorder="1" applyFont="1">
      <alignment vertical="center"/>
    </xf>
    <xf borderId="1" fillId="0" fontId="18" numFmtId="0" xfId="0" applyBorder="1" applyFont="1"/>
    <xf borderId="3" fillId="2" fontId="16" numFmtId="167" xfId="0" applyAlignment="1" applyBorder="1" applyFont="1" applyNumberFormat="1">
      <alignment horizontal="center" readingOrder="0" vertical="center"/>
    </xf>
    <xf borderId="0" fillId="2" fontId="16" numFmtId="3" xfId="0" applyAlignment="1" applyFont="1" applyNumberFormat="1">
      <alignment horizontal="right" readingOrder="0" shrinkToFit="0" vertical="center" wrapText="1"/>
    </xf>
    <xf borderId="36" fillId="2" fontId="1" numFmtId="164" xfId="0" applyAlignment="1" applyBorder="1" applyFont="1" applyNumberFormat="1">
      <alignment horizontal="center" vertical="center"/>
    </xf>
    <xf borderId="13" fillId="2" fontId="16" numFmtId="167" xfId="0" applyAlignment="1" applyBorder="1" applyFont="1" applyNumberFormat="1">
      <alignment horizontal="center" readingOrder="0" vertical="center"/>
    </xf>
    <xf borderId="36" fillId="2" fontId="11" numFmtId="164" xfId="0" applyAlignment="1" applyBorder="1" applyFont="1" applyNumberFormat="1">
      <alignment horizontal="center" vertical="center"/>
    </xf>
    <xf borderId="36" fillId="2" fontId="11" numFmtId="0" xfId="0" applyAlignment="1" applyBorder="1" applyFont="1">
      <alignment vertical="center"/>
    </xf>
    <xf borderId="0" fillId="2" fontId="10" numFmtId="0" xfId="0" applyAlignment="1" applyFont="1">
      <alignment horizontal="right" vertical="center"/>
    </xf>
    <xf borderId="0" fillId="2" fontId="11" numFmtId="3" xfId="0" applyAlignment="1" applyFont="1" applyNumberFormat="1">
      <alignment horizontal="right" readingOrder="0" vertical="center"/>
    </xf>
    <xf borderId="41" fillId="2" fontId="11" numFmtId="0" xfId="0" applyAlignment="1" applyBorder="1" applyFont="1">
      <alignment vertical="center"/>
    </xf>
    <xf borderId="19" fillId="2" fontId="16" numFmtId="164" xfId="0" applyAlignment="1" applyBorder="1" applyFont="1" applyNumberFormat="1">
      <alignment horizontal="center" vertical="center"/>
    </xf>
    <xf borderId="21" fillId="0" fontId="14" numFmtId="166" xfId="0" applyAlignment="1" applyBorder="1" applyFont="1" applyNumberFormat="1">
      <alignment horizontal="left" vertical="bottom"/>
    </xf>
    <xf borderId="41" fillId="0" fontId="11" numFmtId="0" xfId="0" applyAlignment="1" applyBorder="1" applyFont="1">
      <alignment vertical="center"/>
    </xf>
    <xf borderId="41" fillId="0" fontId="19" numFmtId="164" xfId="0" applyAlignment="1" applyBorder="1" applyFont="1" applyNumberFormat="1">
      <alignment horizontal="right" vertical="center"/>
    </xf>
    <xf borderId="19" fillId="0" fontId="20" numFmtId="164" xfId="0" applyAlignment="1" applyBorder="1" applyFont="1" applyNumberFormat="1">
      <alignment horizontal="right" vertical="center"/>
    </xf>
    <xf borderId="23" fillId="2" fontId="11" numFmtId="0" xfId="0" applyAlignment="1" applyBorder="1" applyFont="1">
      <alignment horizontal="right" vertical="center"/>
    </xf>
    <xf borderId="1" fillId="2" fontId="25" numFmtId="0" xfId="0" applyAlignment="1" applyBorder="1" applyFont="1">
      <alignment horizontal="center" shrinkToFit="0" vertical="center" wrapText="1"/>
    </xf>
    <xf borderId="14" fillId="2" fontId="6" numFmtId="0" xfId="0" applyAlignment="1" applyBorder="1" applyFont="1">
      <alignment vertical="center"/>
    </xf>
    <xf quotePrefix="1" borderId="15" fillId="2" fontId="6" numFmtId="0" xfId="0" applyAlignment="1" applyBorder="1" applyFont="1">
      <alignment vertical="center"/>
    </xf>
    <xf borderId="4" fillId="4" fontId="10" numFmtId="0" xfId="0" applyAlignment="1" applyBorder="1" applyFill="1" applyFont="1">
      <alignment horizontal="left" vertical="center"/>
    </xf>
    <xf borderId="5" fillId="4" fontId="10" numFmtId="0" xfId="0" applyAlignment="1" applyBorder="1" applyFont="1">
      <alignment horizontal="left" vertical="center"/>
    </xf>
    <xf borderId="5" fillId="4" fontId="11" numFmtId="0" xfId="0" applyAlignment="1" applyBorder="1" applyFont="1">
      <alignment horizontal="left" vertical="center"/>
    </xf>
    <xf borderId="5" fillId="4" fontId="11" numFmtId="0" xfId="0" applyAlignment="1" applyBorder="1" applyFont="1">
      <alignment vertical="center"/>
    </xf>
    <xf borderId="14" fillId="4" fontId="11" numFmtId="0" xfId="0" applyAlignment="1" applyBorder="1" applyFont="1">
      <alignment horizontal="right" vertical="center"/>
    </xf>
    <xf borderId="25" fillId="2" fontId="19" numFmtId="0" xfId="0" applyAlignment="1" applyBorder="1" applyFont="1">
      <alignment horizontal="left" readingOrder="0" shrinkToFit="0" vertical="center" wrapText="1"/>
    </xf>
    <xf borderId="25" fillId="2" fontId="19" numFmtId="170" xfId="0" applyAlignment="1" applyBorder="1" applyFont="1" applyNumberFormat="1">
      <alignment horizontal="left" readingOrder="0" vertical="center"/>
    </xf>
    <xf borderId="25" fillId="2" fontId="1" numFmtId="0" xfId="0" applyAlignment="1" applyBorder="1" applyFont="1">
      <alignment horizontal="left" readingOrder="0" vertical="center"/>
    </xf>
    <xf borderId="28" fillId="4" fontId="10" numFmtId="0" xfId="0" applyAlignment="1" applyBorder="1" applyFont="1">
      <alignment horizontal="left" vertical="center"/>
    </xf>
    <xf borderId="29" fillId="4" fontId="10" numFmtId="0" xfId="0" applyAlignment="1" applyBorder="1" applyFont="1">
      <alignment horizontal="left" vertical="center"/>
    </xf>
    <xf borderId="29" fillId="4" fontId="11" numFmtId="0" xfId="0" applyAlignment="1" applyBorder="1" applyFont="1">
      <alignment horizontal="left" vertical="center"/>
    </xf>
    <xf borderId="7" fillId="4" fontId="10" numFmtId="0" xfId="0" applyAlignment="1" applyBorder="1" applyFont="1">
      <alignment horizontal="center" vertical="center"/>
    </xf>
    <xf borderId="32" fillId="4" fontId="10" numFmtId="0" xfId="0" applyAlignment="1" applyBorder="1" applyFont="1">
      <alignment horizontal="center" vertical="center"/>
    </xf>
    <xf borderId="33" fillId="4" fontId="10" numFmtId="0" xfId="0" applyAlignment="1" applyBorder="1" applyFont="1">
      <alignment horizontal="center" vertical="center"/>
    </xf>
    <xf borderId="33" fillId="4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vertical="center"/>
    </xf>
    <xf borderId="36" fillId="0" fontId="18" numFmtId="0" xfId="0" applyBorder="1" applyFont="1"/>
    <xf borderId="52" fillId="2" fontId="10" numFmtId="164" xfId="0" applyAlignment="1" applyBorder="1" applyFont="1" applyNumberFormat="1">
      <alignment vertical="center"/>
    </xf>
    <xf borderId="50" fillId="2" fontId="11" numFmtId="0" xfId="0" applyAlignment="1" applyBorder="1" applyFont="1">
      <alignment vertical="center"/>
    </xf>
    <xf borderId="44" fillId="2" fontId="16" numFmtId="167" xfId="0" applyAlignment="1" applyBorder="1" applyFont="1" applyNumberFormat="1">
      <alignment horizontal="center" readingOrder="0" vertical="center"/>
    </xf>
    <xf borderId="36" fillId="2" fontId="10" numFmtId="168" xfId="0" applyAlignment="1" applyBorder="1" applyFont="1" applyNumberFormat="1">
      <alignment horizontal="center" vertical="top"/>
    </xf>
    <xf borderId="60" fillId="2" fontId="11" numFmtId="164" xfId="0" applyAlignment="1" applyBorder="1" applyFont="1" applyNumberFormat="1">
      <alignment horizontal="center" vertical="center"/>
    </xf>
    <xf borderId="39" fillId="2" fontId="1" numFmtId="164" xfId="0" applyAlignment="1" applyBorder="1" applyFont="1" applyNumberFormat="1">
      <alignment horizontal="center" vertical="center"/>
    </xf>
    <xf borderId="12" fillId="2" fontId="16" numFmtId="167" xfId="0" applyAlignment="1" applyBorder="1" applyFont="1" applyNumberFormat="1">
      <alignment horizontal="center" readingOrder="0" vertical="center"/>
    </xf>
    <xf borderId="60" fillId="2" fontId="10" numFmtId="168" xfId="0" applyAlignment="1" applyBorder="1" applyFont="1" applyNumberFormat="1">
      <alignment horizontal="center" vertical="center"/>
    </xf>
    <xf borderId="39" fillId="2" fontId="11" numFmtId="164" xfId="0" applyAlignment="1" applyBorder="1" applyFont="1" applyNumberFormat="1">
      <alignment horizontal="center" vertical="center"/>
    </xf>
    <xf borderId="0" fillId="0" fontId="1" numFmtId="168" xfId="0" applyAlignment="1" applyFont="1" applyNumberFormat="1">
      <alignment vertical="center"/>
    </xf>
    <xf borderId="60" fillId="2" fontId="10" numFmtId="0" xfId="0" applyAlignment="1" applyBorder="1" applyFont="1">
      <alignment vertical="center"/>
    </xf>
    <xf borderId="61" fillId="2" fontId="10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0" fillId="2" fontId="26" numFmtId="0" xfId="0" applyAlignment="1" applyFont="1">
      <alignment readingOrder="0" shrinkToFit="0" wrapText="1"/>
    </xf>
    <xf borderId="62" fillId="2" fontId="16" numFmtId="167" xfId="0" applyAlignment="1" applyBorder="1" applyFont="1" applyNumberFormat="1">
      <alignment horizontal="center" readingOrder="0" vertical="center"/>
    </xf>
    <xf borderId="63" fillId="2" fontId="16" numFmtId="167" xfId="0" applyAlignment="1" applyBorder="1" applyFont="1" applyNumberFormat="1">
      <alignment horizontal="center" readingOrder="0" vertical="center"/>
    </xf>
    <xf borderId="64" fillId="2" fontId="10" numFmtId="0" xfId="0" applyAlignment="1" applyBorder="1" applyFont="1">
      <alignment vertical="center"/>
    </xf>
    <xf borderId="65" fillId="2" fontId="10" numFmtId="0" xfId="0" applyAlignment="1" applyBorder="1" applyFont="1">
      <alignment horizontal="right" vertical="center"/>
    </xf>
    <xf borderId="65" fillId="2" fontId="10" numFmtId="164" xfId="0" applyAlignment="1" applyBorder="1" applyFont="1" applyNumberFormat="1">
      <alignment horizontal="right" vertical="center"/>
    </xf>
    <xf borderId="66" fillId="2" fontId="10" numFmtId="164" xfId="0" applyAlignment="1" applyBorder="1" applyFont="1" applyNumberFormat="1">
      <alignment vertical="center"/>
    </xf>
    <xf borderId="67" fillId="2" fontId="10" numFmtId="0" xfId="0" applyAlignment="1" applyBorder="1" applyFont="1">
      <alignment vertical="center"/>
    </xf>
    <xf borderId="65" fillId="2" fontId="10" numFmtId="0" xfId="0" applyAlignment="1" applyBorder="1" applyFont="1">
      <alignment vertical="center"/>
    </xf>
    <xf borderId="64" fillId="2" fontId="11" numFmtId="0" xfId="0" applyAlignment="1" applyBorder="1" applyFont="1">
      <alignment vertical="center"/>
    </xf>
    <xf borderId="68" fillId="2" fontId="11" numFmtId="0" xfId="0" applyAlignment="1" applyBorder="1" applyFont="1">
      <alignment vertical="center"/>
    </xf>
    <xf borderId="16" fillId="2" fontId="10" numFmtId="0" xfId="0" applyAlignment="1" applyBorder="1" applyFont="1">
      <alignment vertical="center"/>
    </xf>
    <xf borderId="22" fillId="2" fontId="10" numFmtId="0" xfId="0" applyAlignment="1" applyBorder="1" applyFont="1">
      <alignment vertical="center"/>
    </xf>
    <xf borderId="69" fillId="0" fontId="27" numFmtId="0" xfId="0" applyAlignment="1" applyBorder="1" applyFont="1">
      <alignment horizontal="left" vertical="center"/>
    </xf>
    <xf borderId="70" fillId="0" fontId="10" numFmtId="0" xfId="0" applyAlignment="1" applyBorder="1" applyFont="1">
      <alignment horizontal="left" vertical="center"/>
    </xf>
    <xf borderId="70" fillId="0" fontId="11" numFmtId="0" xfId="0" applyAlignment="1" applyBorder="1" applyFont="1">
      <alignment horizontal="left" vertical="center"/>
    </xf>
    <xf borderId="70" fillId="0" fontId="11" numFmtId="0" xfId="0" applyAlignment="1" applyBorder="1" applyFont="1">
      <alignment vertical="center"/>
    </xf>
    <xf borderId="71" fillId="0" fontId="8" numFmtId="164" xfId="0" applyAlignment="1" applyBorder="1" applyFont="1" applyNumberFormat="1">
      <alignment horizontal="right" vertical="center"/>
    </xf>
    <xf borderId="69" fillId="0" fontId="28" numFmtId="164" xfId="0" applyAlignment="1" applyBorder="1" applyFont="1" applyNumberFormat="1">
      <alignment horizontal="right" vertical="center"/>
    </xf>
    <xf borderId="71" fillId="0" fontId="4" numFmtId="0" xfId="0" applyBorder="1" applyFont="1"/>
    <xf borderId="72" fillId="0" fontId="27" numFmtId="0" xfId="0" applyAlignment="1" applyBorder="1" applyFont="1">
      <alignment horizontal="left" vertical="center"/>
    </xf>
    <xf borderId="73" fillId="0" fontId="10" numFmtId="0" xfId="0" applyAlignment="1" applyBorder="1" applyFont="1">
      <alignment horizontal="left" vertical="center"/>
    </xf>
    <xf borderId="73" fillId="0" fontId="11" numFmtId="0" xfId="0" applyAlignment="1" applyBorder="1" applyFont="1">
      <alignment horizontal="left" vertical="center"/>
    </xf>
    <xf borderId="73" fillId="0" fontId="11" numFmtId="0" xfId="0" applyAlignment="1" applyBorder="1" applyFont="1">
      <alignment vertical="center"/>
    </xf>
    <xf borderId="73" fillId="0" fontId="8" numFmtId="164" xfId="0" applyAlignment="1" applyBorder="1" applyFont="1" applyNumberFormat="1">
      <alignment horizontal="right" vertical="center"/>
    </xf>
    <xf borderId="73" fillId="0" fontId="28" numFmtId="164" xfId="0" applyAlignment="1" applyBorder="1" applyFont="1" applyNumberFormat="1">
      <alignment horizontal="right" vertical="center"/>
    </xf>
    <xf borderId="74" fillId="0" fontId="28" numFmtId="164" xfId="0" applyAlignment="1" applyBorder="1" applyFont="1" applyNumberFormat="1">
      <alignment horizontal="right" vertical="center"/>
    </xf>
    <xf borderId="7" fillId="0" fontId="5" numFmtId="0" xfId="0" applyAlignment="1" applyBorder="1" applyFont="1">
      <alignment horizontal="left" vertical="center"/>
    </xf>
    <xf borderId="8" fillId="0" fontId="10" numFmtId="0" xfId="0" applyAlignment="1" applyBorder="1" applyFont="1">
      <alignment horizontal="left" vertical="center"/>
    </xf>
    <xf borderId="26" fillId="0" fontId="10" numFmtId="171" xfId="0" applyAlignment="1" applyBorder="1" applyFont="1" applyNumberFormat="1">
      <alignment horizontal="left" vertical="center"/>
    </xf>
    <xf borderId="26" fillId="0" fontId="10" numFmtId="0" xfId="0" applyAlignment="1" applyBorder="1" applyFont="1">
      <alignment horizontal="left" vertical="center"/>
    </xf>
    <xf borderId="26" fillId="0" fontId="11" numFmtId="0" xfId="0" applyAlignment="1" applyBorder="1" applyFont="1">
      <alignment horizontal="left" vertical="center"/>
    </xf>
    <xf borderId="26" fillId="0" fontId="11" numFmtId="0" xfId="0" applyAlignment="1" applyBorder="1" applyFont="1">
      <alignment vertical="center"/>
    </xf>
    <xf borderId="26" fillId="0" fontId="10" numFmtId="164" xfId="0" applyAlignment="1" applyBorder="1" applyFont="1" applyNumberFormat="1">
      <alignment horizontal="right" vertical="center"/>
    </xf>
    <xf borderId="26" fillId="0" fontId="28" numFmtId="164" xfId="0" applyAlignment="1" applyBorder="1" applyFont="1" applyNumberFormat="1">
      <alignment horizontal="right" vertical="center"/>
    </xf>
    <xf borderId="8" fillId="0" fontId="28" numFmtId="164" xfId="0" applyAlignment="1" applyBorder="1" applyFont="1" applyNumberFormat="1">
      <alignment horizontal="right" vertical="center"/>
    </xf>
    <xf borderId="75" fillId="0" fontId="29" numFmtId="0" xfId="0" applyAlignment="1" applyBorder="1" applyFont="1">
      <alignment horizontal="left" vertical="center"/>
    </xf>
    <xf borderId="76" fillId="2" fontId="11" numFmtId="0" xfId="0" applyAlignment="1" applyBorder="1" applyFont="1">
      <alignment horizontal="center" vertical="center"/>
    </xf>
    <xf borderId="77" fillId="2" fontId="11" numFmtId="0" xfId="0" applyAlignment="1" applyBorder="1" applyFont="1">
      <alignment horizontal="center" vertical="center"/>
    </xf>
    <xf borderId="77" fillId="2" fontId="11" numFmtId="0" xfId="0" applyAlignment="1" applyBorder="1" applyFont="1">
      <alignment horizontal="left" vertical="center"/>
    </xf>
    <xf borderId="77" fillId="2" fontId="11" numFmtId="0" xfId="0" applyAlignment="1" applyBorder="1" applyFont="1">
      <alignment horizontal="right" vertical="center"/>
    </xf>
    <xf borderId="77" fillId="2" fontId="11" numFmtId="4" xfId="0" applyAlignment="1" applyBorder="1" applyFont="1" applyNumberFormat="1">
      <alignment horizontal="right" vertical="center"/>
    </xf>
    <xf borderId="76" fillId="2" fontId="11" numFmtId="4" xfId="0" applyAlignment="1" applyBorder="1" applyFont="1" applyNumberFormat="1">
      <alignment horizontal="right" vertical="center"/>
    </xf>
    <xf borderId="12" fillId="0" fontId="29" numFmtId="0" xfId="0" applyAlignment="1" applyBorder="1" applyFont="1">
      <alignment horizontal="left" vertical="center"/>
    </xf>
    <xf borderId="15" fillId="2" fontId="11" numFmtId="0" xfId="0" applyAlignment="1" applyBorder="1" applyFont="1">
      <alignment horizontal="center" vertical="center"/>
    </xf>
    <xf borderId="24" fillId="4" fontId="10" numFmtId="164" xfId="0" applyAlignment="1" applyBorder="1" applyFont="1" applyNumberFormat="1">
      <alignment horizontal="left" vertical="center"/>
    </xf>
    <xf borderId="47" fillId="4" fontId="10" numFmtId="164" xfId="0" applyAlignment="1" applyBorder="1" applyFont="1" applyNumberFormat="1">
      <alignment horizontal="left" vertical="center"/>
    </xf>
    <xf borderId="7" fillId="4" fontId="10" numFmtId="164" xfId="0" applyAlignment="1" applyBorder="1" applyFont="1" applyNumberFormat="1">
      <alignment horizontal="center" vertical="center"/>
    </xf>
    <xf borderId="48" fillId="2" fontId="6" numFmtId="0" xfId="0" applyAlignment="1" applyBorder="1" applyFont="1">
      <alignment horizontal="center" shrinkToFit="0" vertical="center" wrapText="1"/>
    </xf>
    <xf borderId="78" fillId="0" fontId="4" numFmtId="0" xfId="0" applyBorder="1" applyFont="1"/>
    <xf borderId="7" fillId="2" fontId="11" numFmtId="0" xfId="0" applyAlignment="1" applyBorder="1" applyFont="1">
      <alignment horizontal="center"/>
    </xf>
    <xf borderId="25" fillId="2" fontId="19" numFmtId="165" xfId="0" applyAlignment="1" applyBorder="1" applyFont="1" applyNumberFormat="1">
      <alignment horizontal="left" readingOrder="0" vertical="center"/>
    </xf>
    <xf borderId="25" fillId="2" fontId="1" numFmtId="0" xfId="0" applyAlignment="1" applyBorder="1" applyFont="1">
      <alignment horizontal="left" vertical="center"/>
    </xf>
    <xf borderId="50" fillId="4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left" readingOrder="0" vertical="center"/>
    </xf>
    <xf borderId="5" fillId="2" fontId="10" numFmtId="0" xfId="0" applyAlignment="1" applyBorder="1" applyFont="1">
      <alignment horizontal="right" readingOrder="0" vertical="center"/>
    </xf>
    <xf borderId="5" fillId="2" fontId="6" numFmtId="164" xfId="0" applyAlignment="1" applyBorder="1" applyFont="1" applyNumberFormat="1">
      <alignment readingOrder="0" vertical="center"/>
    </xf>
    <xf borderId="5" fillId="2" fontId="10" numFmtId="2" xfId="0" applyAlignment="1" applyBorder="1" applyFont="1" applyNumberFormat="1">
      <alignment horizontal="right" readingOrder="0" vertical="center"/>
    </xf>
    <xf borderId="14" fillId="2" fontId="11" numFmtId="164" xfId="0" applyAlignment="1" applyBorder="1" applyFont="1" applyNumberFormat="1">
      <alignment readingOrder="0" vertical="center"/>
    </xf>
    <xf borderId="4" fillId="2" fontId="10" numFmtId="3" xfId="0" applyAlignment="1" applyBorder="1" applyFont="1" applyNumberFormat="1">
      <alignment vertical="center"/>
    </xf>
    <xf borderId="39" fillId="2" fontId="16" numFmtId="164" xfId="0" applyAlignment="1" applyBorder="1" applyFont="1" applyNumberFormat="1">
      <alignment vertical="center"/>
    </xf>
    <xf borderId="9" fillId="2" fontId="1" numFmtId="0" xfId="0" applyAlignment="1" applyBorder="1" applyFont="1">
      <alignment vertical="center"/>
    </xf>
    <xf borderId="15" fillId="2" fontId="10" numFmtId="164" xfId="0" applyAlignment="1" applyBorder="1" applyFont="1" applyNumberFormat="1">
      <alignment vertical="center"/>
    </xf>
    <xf borderId="66" fillId="2" fontId="10" numFmtId="0" xfId="0" applyAlignment="1" applyBorder="1" applyFont="1">
      <alignment vertical="center"/>
    </xf>
    <xf borderId="48" fillId="2" fontId="6" numFmtId="0" xfId="0" applyAlignment="1" applyBorder="1" applyFont="1">
      <alignment horizontal="center" vertical="center"/>
    </xf>
    <xf borderId="48" fillId="2" fontId="13" numFmtId="0" xfId="0" applyAlignment="1" applyBorder="1" applyFont="1">
      <alignment horizontal="center"/>
    </xf>
    <xf borderId="25" fillId="2" fontId="11" numFmtId="0" xfId="0" applyAlignment="1" applyBorder="1" applyFont="1">
      <alignment horizontal="center"/>
    </xf>
    <xf quotePrefix="1" borderId="25" fillId="2" fontId="13" numFmtId="165" xfId="0" applyAlignment="1" applyBorder="1" applyFont="1" applyNumberFormat="1">
      <alignment horizontal="left" vertical="center"/>
    </xf>
    <xf borderId="37" fillId="2" fontId="11" numFmtId="168" xfId="0" applyAlignment="1" applyBorder="1" applyFont="1" applyNumberFormat="1">
      <alignment horizontal="center" vertical="center"/>
    </xf>
    <xf borderId="10" fillId="2" fontId="11" numFmtId="168" xfId="0" applyAlignment="1" applyBorder="1" applyFont="1" applyNumberFormat="1">
      <alignment horizontal="center" vertical="center"/>
    </xf>
    <xf borderId="10" fillId="2" fontId="30" numFmtId="164" xfId="0" applyAlignment="1" applyBorder="1" applyFont="1" applyNumberFormat="1">
      <alignment vertical="center"/>
    </xf>
    <xf borderId="9" fillId="2" fontId="10" numFmtId="3" xfId="0" applyAlignment="1" applyBorder="1" applyFont="1" applyNumberFormat="1">
      <alignment horizontal="right" vertical="center"/>
    </xf>
    <xf borderId="10" fillId="2" fontId="11" numFmtId="3" xfId="0" applyAlignment="1" applyBorder="1" applyFont="1" applyNumberFormat="1">
      <alignment horizontal="right" vertical="center"/>
    </xf>
    <xf borderId="9" fillId="2" fontId="10" numFmtId="0" xfId="0" applyAlignment="1" applyBorder="1" applyFont="1">
      <alignment horizontal="left" vertical="center"/>
    </xf>
    <xf borderId="10" fillId="2" fontId="10" numFmtId="3" xfId="0" applyAlignment="1" applyBorder="1" applyFont="1" applyNumberFormat="1">
      <alignment vertical="center"/>
    </xf>
    <xf borderId="16" fillId="2" fontId="13" numFmtId="0" xfId="0" applyAlignment="1" applyBorder="1" applyFont="1">
      <alignment vertical="center"/>
    </xf>
    <xf borderId="48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31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49" xfId="0" applyAlignment="1" applyFont="1" applyNumberFormat="1">
      <alignment vertical="center"/>
    </xf>
    <xf borderId="0" fillId="0" fontId="5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0" fillId="0" fontId="11" numFmtId="164" xfId="0" applyAlignment="1" applyFont="1" applyNumberFormat="1">
      <alignment horizontal="right" vertical="center"/>
    </xf>
    <xf borderId="0" fillId="0" fontId="11" numFmtId="164" xfId="0" applyAlignment="1" applyFont="1" applyNumberFormat="1">
      <alignment horizontal="center" vertical="center"/>
    </xf>
    <xf borderId="0" fillId="0" fontId="10" numFmtId="164" xfId="0" applyAlignment="1" applyFont="1" applyNumberFormat="1">
      <alignment horizontal="right" vertical="center"/>
    </xf>
    <xf borderId="25" fillId="2" fontId="12" numFmtId="0" xfId="0" applyAlignment="1" applyBorder="1" applyFont="1">
      <alignment horizontal="left" shrinkToFit="0" vertical="center" wrapText="1"/>
    </xf>
    <xf borderId="9" fillId="2" fontId="19" numFmtId="0" xfId="0" applyAlignment="1" applyBorder="1" applyFont="1">
      <alignment vertical="center"/>
    </xf>
    <xf borderId="39" fillId="2" fontId="12" numFmtId="164" xfId="0" applyAlignment="1" applyBorder="1" applyFont="1" applyNumberFormat="1">
      <alignment horizontal="center" vertical="center"/>
    </xf>
    <xf borderId="37" fillId="2" fontId="10" numFmtId="0" xfId="0" applyAlignment="1" applyBorder="1" applyFont="1">
      <alignment horizontal="center" vertical="center"/>
    </xf>
    <xf borderId="9" fillId="2" fontId="10" numFmtId="0" xfId="0" applyAlignment="1" applyBorder="1" applyFont="1">
      <alignment horizontal="right" vertical="center"/>
    </xf>
    <xf borderId="10" fillId="2" fontId="19" numFmtId="0" xfId="0" applyAlignment="1" applyBorder="1" applyFont="1">
      <alignment horizontal="right" vertical="center"/>
    </xf>
    <xf borderId="10" fillId="2" fontId="32" numFmtId="164" xfId="0" applyAlignment="1" applyBorder="1" applyFont="1" applyNumberFormat="1">
      <alignment vertical="center"/>
    </xf>
    <xf borderId="15" fillId="2" fontId="33" numFmtId="164" xfId="0" applyAlignment="1" applyBorder="1" applyFont="1" applyNumberFormat="1">
      <alignment vertical="center"/>
    </xf>
    <xf borderId="37" fillId="2" fontId="13" numFmtId="168" xfId="0" applyAlignment="1" applyBorder="1" applyFont="1" applyNumberFormat="1">
      <alignment horizontal="center" vertical="center"/>
    </xf>
    <xf borderId="10" fillId="2" fontId="13" numFmtId="168" xfId="0" applyAlignment="1" applyBorder="1" applyFont="1" applyNumberFormat="1">
      <alignment horizontal="center" vertical="center"/>
    </xf>
    <xf borderId="9" fillId="2" fontId="13" numFmtId="164" xfId="0" applyAlignment="1" applyBorder="1" applyFont="1" applyNumberFormat="1">
      <alignment horizontal="center" vertical="center"/>
    </xf>
    <xf borderId="10" fillId="2" fontId="13" numFmtId="164" xfId="0" applyAlignment="1" applyBorder="1" applyFont="1" applyNumberFormat="1">
      <alignment vertical="center"/>
    </xf>
    <xf borderId="10" fillId="2" fontId="34" numFmtId="164" xfId="0" applyAlignment="1" applyBorder="1" applyFont="1" applyNumberFormat="1">
      <alignment vertical="center"/>
    </xf>
    <xf borderId="9" fillId="2" fontId="13" numFmtId="0" xfId="0" applyAlignment="1" applyBorder="1" applyFont="1">
      <alignment horizontal="center" vertical="center"/>
    </xf>
    <xf borderId="10" fillId="2" fontId="19" numFmtId="0" xfId="0" applyAlignment="1" applyBorder="1" applyFont="1">
      <alignment vertical="center"/>
    </xf>
    <xf quotePrefix="1" borderId="25" fillId="2" fontId="13" numFmtId="165" xfId="0" applyAlignment="1" applyBorder="1" applyFont="1" applyNumberFormat="1">
      <alignment horizontal="center" vertical="center"/>
    </xf>
    <xf borderId="25" fillId="2" fontId="13" numFmtId="0" xfId="0" applyAlignment="1" applyBorder="1" applyFont="1">
      <alignment horizontal="center" vertical="center"/>
    </xf>
    <xf borderId="25" fillId="2" fontId="16" numFmtId="0" xfId="0" applyAlignment="1" applyBorder="1" applyFont="1">
      <alignment horizontal="left" readingOrder="0" shrinkToFit="0" vertical="center" wrapText="1"/>
    </xf>
    <xf borderId="10" fillId="2" fontId="11" numFmtId="164" xfId="0" applyAlignment="1" applyBorder="1" applyFont="1" applyNumberFormat="1">
      <alignment horizontal="left" vertical="center"/>
    </xf>
    <xf quotePrefix="1" borderId="10" fillId="2" fontId="11" numFmtId="164" xfId="0" applyAlignment="1" applyBorder="1" applyFont="1" applyNumberFormat="1">
      <alignment vertical="center"/>
    </xf>
    <xf borderId="0" fillId="0" fontId="18" numFmtId="0" xfId="0" applyFont="1"/>
    <xf borderId="0" fillId="0" fontId="14" numFmtId="0" xfId="0" applyAlignment="1" applyFont="1">
      <alignment horizontal="center"/>
    </xf>
    <xf borderId="0" fillId="0" fontId="35" numFmtId="0" xfId="0" applyFont="1"/>
    <xf borderId="0" fillId="0" fontId="36" numFmtId="0" xfId="0" applyAlignment="1" applyFont="1">
      <alignment horizontal="center"/>
    </xf>
    <xf borderId="0" fillId="0" fontId="14" numFmtId="0" xfId="0" applyFont="1"/>
    <xf borderId="54" fillId="0" fontId="14" numFmtId="0" xfId="0" applyBorder="1" applyFont="1"/>
    <xf borderId="55" fillId="0" fontId="14" numFmtId="0" xfId="0" applyBorder="1" applyFont="1"/>
    <xf borderId="58" fillId="0" fontId="14" numFmtId="0" xfId="0" applyBorder="1" applyFont="1"/>
    <xf borderId="79" fillId="0" fontId="14" numFmtId="0" xfId="0" applyBorder="1" applyFont="1"/>
    <xf borderId="73" fillId="0" fontId="36" numFmtId="0" xfId="0" applyAlignment="1" applyBorder="1" applyFont="1">
      <alignment horizontal="center"/>
    </xf>
    <xf borderId="73" fillId="0" fontId="14" numFmtId="0" xfId="0" applyBorder="1" applyFont="1"/>
    <xf borderId="80" fillId="0" fontId="14" numFmtId="0" xfId="0" applyBorder="1" applyFont="1"/>
    <xf borderId="81" fillId="0" fontId="14" numFmtId="0" xfId="0" applyBorder="1" applyFont="1"/>
    <xf borderId="82" fillId="0" fontId="14" numFmtId="0" xfId="0" applyBorder="1" applyFont="1"/>
    <xf borderId="83" fillId="0" fontId="14" numFmtId="0" xfId="0" applyBorder="1" applyFont="1"/>
    <xf borderId="70" fillId="0" fontId="36" numFmtId="0" xfId="0" applyAlignment="1" applyBorder="1" applyFont="1">
      <alignment horizontal="center"/>
    </xf>
    <xf borderId="70" fillId="0" fontId="14" numFmtId="0" xfId="0" applyBorder="1" applyFont="1"/>
    <xf borderId="84" fillId="0" fontId="14" numFmtId="0" xfId="0" applyBorder="1" applyFont="1"/>
    <xf borderId="55" fillId="0" fontId="3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1</xdr:row>
      <xdr:rowOff>152400</xdr:rowOff>
    </xdr:from>
    <xdr:ext cx="895350" cy="904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1</xdr:row>
      <xdr:rowOff>219075</xdr:rowOff>
    </xdr:from>
    <xdr:ext cx="895350" cy="7620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619125</xdr:colOff>
      <xdr:row>30</xdr:row>
      <xdr:rowOff>47625</xdr:rowOff>
    </xdr:from>
    <xdr:ext cx="676275" cy="647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30</xdr:row>
      <xdr:rowOff>47625</xdr:rowOff>
    </xdr:from>
    <xdr:ext cx="742950" cy="647700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2</xdr:row>
      <xdr:rowOff>38100</xdr:rowOff>
    </xdr:from>
    <xdr:ext cx="752475" cy="7620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0</xdr:row>
      <xdr:rowOff>342900</xdr:rowOff>
    </xdr:from>
    <xdr:ext cx="1095375" cy="942975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29</xdr:row>
      <xdr:rowOff>38100</xdr:rowOff>
    </xdr:from>
    <xdr:ext cx="752475" cy="7620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29</xdr:row>
      <xdr:rowOff>28575</xdr:rowOff>
    </xdr:from>
    <xdr:ext cx="914400" cy="781050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142875</xdr:rowOff>
    </xdr:from>
    <xdr:ext cx="857250" cy="866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1</xdr:row>
      <xdr:rowOff>133350</xdr:rowOff>
    </xdr:from>
    <xdr:ext cx="895350" cy="9048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</xdr:row>
      <xdr:rowOff>219075</xdr:rowOff>
    </xdr:from>
    <xdr:ext cx="895350" cy="7620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142875</xdr:rowOff>
    </xdr:from>
    <xdr:ext cx="857250" cy="866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1</xdr:row>
      <xdr:rowOff>133350</xdr:rowOff>
    </xdr:from>
    <xdr:ext cx="895350" cy="895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</xdr:row>
      <xdr:rowOff>219075</xdr:rowOff>
    </xdr:from>
    <xdr:ext cx="895350" cy="7620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142875</xdr:rowOff>
    </xdr:from>
    <xdr:ext cx="857250" cy="866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1</xdr:row>
      <xdr:rowOff>133350</xdr:rowOff>
    </xdr:from>
    <xdr:ext cx="895350" cy="9048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</xdr:row>
      <xdr:rowOff>219075</xdr:rowOff>
    </xdr:from>
    <xdr:ext cx="895350" cy="7620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142875</xdr:rowOff>
    </xdr:from>
    <xdr:ext cx="857250" cy="866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1</xdr:row>
      <xdr:rowOff>133350</xdr:rowOff>
    </xdr:from>
    <xdr:ext cx="895350" cy="9048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</xdr:row>
      <xdr:rowOff>219075</xdr:rowOff>
    </xdr:from>
    <xdr:ext cx="895350" cy="7620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142875</xdr:rowOff>
    </xdr:from>
    <xdr:ext cx="857250" cy="866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1</xdr:row>
      <xdr:rowOff>133350</xdr:rowOff>
    </xdr:from>
    <xdr:ext cx="895350" cy="9048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</xdr:row>
      <xdr:rowOff>219075</xdr:rowOff>
    </xdr:from>
    <xdr:ext cx="895350" cy="7620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142875</xdr:rowOff>
    </xdr:from>
    <xdr:ext cx="857250" cy="866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1</xdr:row>
      <xdr:rowOff>133350</xdr:rowOff>
    </xdr:from>
    <xdr:ext cx="895350" cy="9048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</xdr:row>
      <xdr:rowOff>219075</xdr:rowOff>
    </xdr:from>
    <xdr:ext cx="895350" cy="7620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142875</xdr:rowOff>
    </xdr:from>
    <xdr:ext cx="857250" cy="866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1</xdr:row>
      <xdr:rowOff>133350</xdr:rowOff>
    </xdr:from>
    <xdr:ext cx="895350" cy="9048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</xdr:row>
      <xdr:rowOff>219075</xdr:rowOff>
    </xdr:from>
    <xdr:ext cx="895350" cy="7620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142875</xdr:rowOff>
    </xdr:from>
    <xdr:ext cx="857250" cy="866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1</xdr:row>
      <xdr:rowOff>133350</xdr:rowOff>
    </xdr:from>
    <xdr:ext cx="895350" cy="9048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</xdr:row>
      <xdr:rowOff>219075</xdr:rowOff>
    </xdr:from>
    <xdr:ext cx="895350" cy="7620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142875</xdr:rowOff>
    </xdr:from>
    <xdr:ext cx="857250" cy="866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1</xdr:row>
      <xdr:rowOff>133350</xdr:rowOff>
    </xdr:from>
    <xdr:ext cx="895350" cy="9048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</xdr:row>
      <xdr:rowOff>219075</xdr:rowOff>
    </xdr:from>
    <xdr:ext cx="895350" cy="7620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142875</xdr:rowOff>
    </xdr:from>
    <xdr:ext cx="857250" cy="866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1</xdr:row>
      <xdr:rowOff>133350</xdr:rowOff>
    </xdr:from>
    <xdr:ext cx="895350" cy="9048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</xdr:row>
      <xdr:rowOff>219075</xdr:rowOff>
    </xdr:from>
    <xdr:ext cx="895350" cy="7620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142875</xdr:rowOff>
    </xdr:from>
    <xdr:ext cx="857250" cy="866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1</xdr:row>
      <xdr:rowOff>133350</xdr:rowOff>
    </xdr:from>
    <xdr:ext cx="895350" cy="9048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1</xdr:row>
      <xdr:rowOff>219075</xdr:rowOff>
    </xdr:from>
    <xdr:ext cx="895350" cy="7620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57"/>
    <col customWidth="1" min="2" max="2" width="6.0"/>
    <col customWidth="1" min="3" max="3" width="14.71"/>
    <col customWidth="1" min="4" max="4" width="15.29"/>
    <col customWidth="1" min="5" max="5" width="27.86"/>
    <col customWidth="1" min="6" max="8" width="13.14"/>
    <col customWidth="1" min="9" max="9" width="14.86"/>
    <col customWidth="1" min="10" max="10" width="12.57"/>
    <col customWidth="1" min="11" max="11" width="14.29"/>
    <col customWidth="1" min="12" max="12" width="11.57"/>
    <col customWidth="1" min="13" max="13" width="14.29"/>
    <col customWidth="1" min="14" max="14" width="11.29"/>
    <col customWidth="1" min="15" max="25" width="9.29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8.75" customHeight="1">
      <c r="A2" s="6"/>
      <c r="B2" s="7"/>
      <c r="C2" s="7"/>
      <c r="D2" s="8"/>
      <c r="E2" s="9" t="s">
        <v>0</v>
      </c>
      <c r="F2" s="10"/>
      <c r="G2" s="10"/>
      <c r="H2" s="10"/>
      <c r="I2" s="11"/>
      <c r="J2" s="12" t="s">
        <v>1</v>
      </c>
      <c r="K2" s="13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8.75" customHeight="1">
      <c r="A3" s="14"/>
      <c r="B3" s="15"/>
      <c r="C3" s="15"/>
      <c r="D3" s="16"/>
      <c r="E3" s="17"/>
      <c r="I3" s="18"/>
      <c r="J3" s="19" t="s">
        <v>2</v>
      </c>
      <c r="K3" s="20" t="s">
        <v>3</v>
      </c>
      <c r="L3" s="4"/>
      <c r="M3" s="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8.75" customHeight="1">
      <c r="A4" s="14"/>
      <c r="B4" s="15"/>
      <c r="C4" s="15"/>
      <c r="D4" s="16"/>
      <c r="E4" s="17"/>
      <c r="I4" s="18"/>
      <c r="J4" s="21" t="s">
        <v>4</v>
      </c>
      <c r="K4" s="22" t="s">
        <v>5</v>
      </c>
      <c r="L4" s="4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8.25" customHeight="1">
      <c r="A5" s="23"/>
      <c r="B5" s="24"/>
      <c r="C5" s="24"/>
      <c r="D5" s="25"/>
      <c r="E5" s="26"/>
      <c r="F5" s="27"/>
      <c r="G5" s="27"/>
      <c r="H5" s="27"/>
      <c r="I5" s="28"/>
      <c r="J5" s="29" t="s">
        <v>6</v>
      </c>
      <c r="K5" s="30" t="s">
        <v>7</v>
      </c>
      <c r="L5" s="4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8.75" customHeight="1">
      <c r="A6" s="31"/>
      <c r="B6" s="32"/>
      <c r="C6" s="32"/>
      <c r="D6" s="32"/>
      <c r="E6" s="33"/>
      <c r="F6" s="33"/>
      <c r="G6" s="33"/>
      <c r="H6" s="33"/>
      <c r="I6" s="33"/>
      <c r="J6" s="34" t="s">
        <v>8</v>
      </c>
      <c r="K6" s="35"/>
      <c r="L6" s="4"/>
      <c r="M6" s="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8.75" customHeight="1">
      <c r="A7" s="36" t="s">
        <v>9</v>
      </c>
      <c r="B7" s="37"/>
      <c r="C7" s="37"/>
      <c r="D7" s="37"/>
      <c r="E7" s="38"/>
      <c r="F7" s="38"/>
      <c r="G7" s="38"/>
      <c r="H7" s="39"/>
      <c r="I7" s="37"/>
      <c r="J7" s="37"/>
      <c r="K7" s="40"/>
      <c r="L7" s="4"/>
      <c r="M7" s="5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8.75" customHeight="1">
      <c r="A8" s="41" t="s">
        <v>10</v>
      </c>
      <c r="B8" s="42" t="s">
        <v>11</v>
      </c>
      <c r="C8" s="43"/>
      <c r="D8" s="43"/>
      <c r="E8" s="43"/>
      <c r="F8" s="43"/>
      <c r="G8" s="44"/>
      <c r="H8" s="45" t="s">
        <v>12</v>
      </c>
      <c r="I8" s="44"/>
      <c r="J8" s="46">
        <v>46216.0</v>
      </c>
      <c r="K8" s="13"/>
      <c r="L8" s="4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8.75" customHeight="1">
      <c r="A9" s="41" t="s">
        <v>13</v>
      </c>
      <c r="B9" s="47" t="s">
        <v>14</v>
      </c>
      <c r="C9" s="43"/>
      <c r="D9" s="43"/>
      <c r="E9" s="43"/>
      <c r="F9" s="43"/>
      <c r="G9" s="13"/>
      <c r="H9" s="45" t="s">
        <v>15</v>
      </c>
      <c r="I9" s="44"/>
      <c r="J9" s="48"/>
      <c r="K9" s="13"/>
      <c r="L9" s="4"/>
      <c r="M9" s="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8.75" customHeight="1">
      <c r="A10" s="49" t="s">
        <v>16</v>
      </c>
      <c r="B10" s="50"/>
      <c r="C10" s="50"/>
      <c r="D10" s="50"/>
      <c r="E10" s="51"/>
      <c r="F10" s="38"/>
      <c r="G10" s="51"/>
      <c r="H10" s="52"/>
      <c r="I10" s="37"/>
      <c r="J10" s="50"/>
      <c r="K10" s="53"/>
      <c r="L10" s="4"/>
      <c r="M10" s="5"/>
      <c r="N10" s="54"/>
      <c r="O10" s="55"/>
      <c r="P10" s="55"/>
      <c r="Q10" s="55"/>
      <c r="R10" s="56"/>
      <c r="S10" s="57"/>
      <c r="T10" s="57"/>
      <c r="U10" s="4"/>
      <c r="V10" s="4"/>
      <c r="W10" s="4"/>
      <c r="X10" s="4"/>
      <c r="Y10" s="4"/>
    </row>
    <row r="11" ht="25.5" customHeight="1">
      <c r="A11" s="58" t="s">
        <v>17</v>
      </c>
      <c r="B11" s="43"/>
      <c r="C11" s="43"/>
      <c r="D11" s="43"/>
      <c r="E11" s="13"/>
      <c r="F11" s="59" t="s">
        <v>18</v>
      </c>
      <c r="G11" s="60" t="s">
        <v>19</v>
      </c>
      <c r="H11" s="61" t="s">
        <v>20</v>
      </c>
      <c r="I11" s="62" t="s">
        <v>21</v>
      </c>
      <c r="J11" s="58" t="s">
        <v>22</v>
      </c>
      <c r="K11" s="13"/>
      <c r="L11" s="4"/>
      <c r="M11" s="5"/>
      <c r="N11" s="55"/>
      <c r="O11" s="55"/>
      <c r="P11" s="55"/>
      <c r="Q11" s="55"/>
      <c r="R11" s="56"/>
      <c r="S11" s="57"/>
      <c r="T11" s="57"/>
      <c r="U11" s="4"/>
      <c r="V11" s="4"/>
      <c r="W11" s="4"/>
      <c r="X11" s="4"/>
      <c r="Y11" s="4"/>
    </row>
    <row r="12" ht="18.75" customHeight="1">
      <c r="A12" s="63" t="s">
        <v>23</v>
      </c>
      <c r="B12" s="64"/>
      <c r="C12" s="65"/>
      <c r="D12" s="66"/>
      <c r="E12" s="67">
        <v>11532.11</v>
      </c>
      <c r="F12" s="68" t="s">
        <v>24</v>
      </c>
      <c r="G12" s="69" t="s">
        <v>25</v>
      </c>
      <c r="H12" s="70" t="s">
        <v>26</v>
      </c>
      <c r="I12" s="71"/>
      <c r="K12" s="67">
        <v>11532.11</v>
      </c>
      <c r="L12" s="4"/>
      <c r="M12" s="5"/>
      <c r="N12" s="55"/>
      <c r="O12" s="55"/>
      <c r="P12" s="55"/>
      <c r="Q12" s="55"/>
      <c r="R12" s="56"/>
      <c r="S12" s="57"/>
      <c r="T12" s="57"/>
      <c r="U12" s="4"/>
      <c r="V12" s="4"/>
      <c r="W12" s="4"/>
      <c r="X12" s="4"/>
      <c r="Y12" s="4"/>
    </row>
    <row r="13" ht="18.75" customHeight="1">
      <c r="A13" s="72" t="s">
        <v>27</v>
      </c>
      <c r="B13" s="73"/>
      <c r="C13" s="73"/>
      <c r="D13" s="74"/>
      <c r="E13" s="67"/>
      <c r="F13" s="75"/>
      <c r="G13" s="76"/>
      <c r="H13" s="77"/>
      <c r="I13" s="78"/>
      <c r="K13" s="79"/>
      <c r="L13" s="4"/>
      <c r="M13" s="5"/>
      <c r="N13" s="55"/>
      <c r="O13" s="55"/>
      <c r="P13" s="55"/>
      <c r="Q13" s="55"/>
      <c r="R13" s="56"/>
      <c r="S13" s="57"/>
      <c r="T13" s="57"/>
      <c r="U13" s="4"/>
      <c r="V13" s="4"/>
      <c r="W13" s="4"/>
      <c r="X13" s="4"/>
      <c r="Y13" s="4"/>
    </row>
    <row r="14" ht="18.75" customHeight="1">
      <c r="A14" s="72"/>
      <c r="B14" s="80"/>
      <c r="C14" s="81"/>
      <c r="D14" s="82"/>
      <c r="E14" s="67"/>
      <c r="F14" s="75"/>
      <c r="G14" s="76"/>
      <c r="H14" s="77"/>
      <c r="I14" s="83"/>
      <c r="K14" s="79" t="str">
        <f>E14</f>
        <v/>
      </c>
      <c r="L14" s="4"/>
      <c r="M14" s="5"/>
      <c r="N14" s="55"/>
      <c r="O14" s="55"/>
      <c r="P14" s="55"/>
      <c r="Q14" s="55"/>
      <c r="R14" s="56"/>
      <c r="S14" s="57"/>
      <c r="T14" s="57"/>
      <c r="U14" s="4"/>
      <c r="V14" s="4"/>
      <c r="W14" s="4"/>
      <c r="X14" s="4"/>
      <c r="Y14" s="4"/>
    </row>
    <row r="15" ht="18.75" customHeight="1">
      <c r="A15" s="84"/>
      <c r="B15" s="85"/>
      <c r="C15" s="86"/>
      <c r="D15" s="87"/>
      <c r="E15" s="67"/>
      <c r="F15" s="75"/>
      <c r="G15" s="76"/>
      <c r="H15" s="77"/>
      <c r="I15" s="83"/>
      <c r="K15" s="79"/>
      <c r="L15" s="4"/>
      <c r="M15" s="5"/>
      <c r="N15" s="55"/>
      <c r="O15" s="55"/>
      <c r="P15" s="55"/>
      <c r="Q15" s="55"/>
      <c r="R15" s="56"/>
      <c r="S15" s="57"/>
      <c r="T15" s="57"/>
      <c r="U15" s="4"/>
      <c r="V15" s="4"/>
      <c r="W15" s="4"/>
      <c r="X15" s="4"/>
      <c r="Y15" s="4"/>
    </row>
    <row r="16" ht="18.75" customHeight="1">
      <c r="A16" s="72"/>
      <c r="B16" s="81"/>
      <c r="C16" s="81"/>
      <c r="D16" s="88"/>
      <c r="E16" s="67"/>
      <c r="F16" s="75"/>
      <c r="G16" s="76"/>
      <c r="H16" s="77"/>
      <c r="I16" s="89"/>
      <c r="K16" s="79"/>
      <c r="L16" s="4"/>
      <c r="M16" s="5"/>
      <c r="N16" s="55"/>
      <c r="O16" s="55"/>
      <c r="P16" s="55"/>
      <c r="Q16" s="55"/>
      <c r="R16" s="56"/>
      <c r="S16" s="57"/>
      <c r="T16" s="57"/>
      <c r="U16" s="4"/>
      <c r="V16" s="4"/>
      <c r="W16" s="4"/>
      <c r="X16" s="4"/>
      <c r="Y16" s="4"/>
    </row>
    <row r="17" ht="18.75" customHeight="1">
      <c r="A17" s="72"/>
      <c r="B17" s="90"/>
      <c r="C17" s="91"/>
      <c r="D17" s="92"/>
      <c r="E17" s="67"/>
      <c r="F17" s="75"/>
      <c r="G17" s="76"/>
      <c r="H17" s="77"/>
      <c r="I17" s="89"/>
      <c r="K17" s="79"/>
      <c r="L17" s="4"/>
      <c r="M17" s="5"/>
      <c r="U17" s="4"/>
      <c r="V17" s="4"/>
      <c r="W17" s="4"/>
      <c r="X17" s="4"/>
      <c r="Y17" s="4"/>
    </row>
    <row r="18" ht="19.5" customHeight="1">
      <c r="A18" s="72"/>
      <c r="B18" s="93"/>
      <c r="C18" s="94"/>
      <c r="D18" s="95"/>
      <c r="E18" s="67"/>
      <c r="F18" s="75"/>
      <c r="G18" s="76"/>
      <c r="H18" s="77"/>
      <c r="I18" s="89"/>
      <c r="K18" s="79"/>
      <c r="L18" s="4"/>
      <c r="M18" s="5"/>
      <c r="U18" s="4"/>
      <c r="V18" s="4"/>
      <c r="W18" s="4"/>
      <c r="X18" s="4"/>
      <c r="Y18" s="4"/>
    </row>
    <row r="19" ht="19.5" customHeight="1">
      <c r="A19" s="96"/>
      <c r="B19" s="93"/>
      <c r="C19" s="94"/>
      <c r="D19" s="97"/>
      <c r="E19" s="57"/>
      <c r="F19" s="75"/>
      <c r="G19" s="76"/>
      <c r="H19" s="77"/>
      <c r="I19" s="98"/>
      <c r="J19" s="99"/>
      <c r="K19" s="100"/>
      <c r="L19" s="4"/>
      <c r="M19" s="5"/>
      <c r="U19" s="4"/>
      <c r="V19" s="4"/>
      <c r="W19" s="4"/>
      <c r="X19" s="4"/>
      <c r="Y19" s="4"/>
    </row>
    <row r="20" ht="19.5" customHeight="1">
      <c r="A20" s="96"/>
      <c r="B20" s="93"/>
      <c r="C20" s="94"/>
      <c r="D20" s="97"/>
      <c r="E20" s="57"/>
      <c r="F20" s="75"/>
      <c r="G20" s="76"/>
      <c r="H20" s="77"/>
      <c r="I20" s="98"/>
      <c r="J20" s="99"/>
      <c r="K20" s="100"/>
      <c r="L20" s="4"/>
      <c r="M20" s="5"/>
      <c r="U20" s="4"/>
      <c r="V20" s="4"/>
      <c r="W20" s="4"/>
      <c r="X20" s="4"/>
      <c r="Y20" s="4"/>
    </row>
    <row r="21" ht="19.5" customHeight="1">
      <c r="A21" s="96"/>
      <c r="B21" s="93"/>
      <c r="C21" s="94"/>
      <c r="D21" s="97"/>
      <c r="E21" s="57"/>
      <c r="F21" s="75"/>
      <c r="G21" s="76"/>
      <c r="H21" s="77"/>
      <c r="I21" s="98"/>
      <c r="J21" s="99"/>
      <c r="K21" s="100"/>
      <c r="L21" s="4"/>
      <c r="M21" s="5"/>
      <c r="U21" s="4"/>
      <c r="V21" s="4"/>
      <c r="W21" s="4"/>
      <c r="X21" s="4"/>
      <c r="Y21" s="4"/>
    </row>
    <row r="22" ht="19.5" customHeight="1">
      <c r="A22" s="101"/>
      <c r="B22" s="102"/>
      <c r="C22" s="103"/>
      <c r="D22" s="97"/>
      <c r="E22" s="57"/>
      <c r="F22" s="104"/>
      <c r="G22" s="105"/>
      <c r="H22" s="106"/>
      <c r="I22" s="107"/>
      <c r="J22" s="108"/>
      <c r="K22" s="100"/>
      <c r="L22" s="4"/>
      <c r="M22" s="5"/>
      <c r="U22" s="4"/>
      <c r="V22" s="4"/>
      <c r="W22" s="4"/>
      <c r="X22" s="4"/>
      <c r="Y22" s="4"/>
    </row>
    <row r="23" ht="29.25" customHeight="1">
      <c r="A23" s="109" t="s">
        <v>28</v>
      </c>
      <c r="B23" s="109"/>
      <c r="C23" s="110"/>
      <c r="D23" s="43"/>
      <c r="E23" s="43"/>
      <c r="F23" s="43"/>
      <c r="G23" s="13"/>
      <c r="H23" s="111"/>
      <c r="I23" s="112" t="s">
        <v>29</v>
      </c>
      <c r="J23" s="113">
        <f>sum(K12:K22)</f>
        <v>11532.11</v>
      </c>
      <c r="K23" s="13"/>
      <c r="L23" s="4"/>
      <c r="M23" s="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8.75" customHeight="1">
      <c r="A24" s="114" t="s">
        <v>30</v>
      </c>
      <c r="B24" s="115"/>
      <c r="C24" s="115"/>
      <c r="D24" s="115"/>
      <c r="E24" s="116"/>
      <c r="F24" s="116"/>
      <c r="G24" s="117"/>
      <c r="H24" s="118"/>
      <c r="I24" s="119"/>
      <c r="J24" s="119"/>
      <c r="K24" s="120"/>
      <c r="L24" s="4"/>
      <c r="M24" s="5"/>
      <c r="N24" s="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8.75" customHeight="1">
      <c r="A25" s="121" t="s">
        <v>31</v>
      </c>
      <c r="B25" s="122"/>
      <c r="C25" s="123" t="s">
        <v>32</v>
      </c>
      <c r="D25" s="44"/>
      <c r="E25" s="123" t="s">
        <v>33</v>
      </c>
      <c r="F25" s="13"/>
      <c r="G25" s="124" t="s">
        <v>34</v>
      </c>
      <c r="H25" s="13"/>
      <c r="I25" s="124" t="s">
        <v>35</v>
      </c>
      <c r="J25" s="43"/>
      <c r="K25" s="13"/>
      <c r="L25" s="4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8.75" customHeight="1">
      <c r="A26" s="125"/>
      <c r="B26" s="126"/>
      <c r="C26" s="125"/>
      <c r="D26" s="126"/>
      <c r="E26" s="127"/>
      <c r="F26" s="128"/>
      <c r="G26" s="129" t="s">
        <v>36</v>
      </c>
      <c r="H26" s="18"/>
      <c r="I26" s="130"/>
      <c r="J26" s="131"/>
      <c r="K26" s="132"/>
      <c r="L26" s="133"/>
      <c r="M26" s="134"/>
      <c r="N26" s="134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</row>
    <row r="27" ht="18.75" customHeight="1">
      <c r="A27" s="135" t="str">
        <f>B8</f>
        <v>WINEFREDO S. SAILES</v>
      </c>
      <c r="B27" s="136"/>
      <c r="C27" s="137" t="s">
        <v>37</v>
      </c>
      <c r="D27" s="136"/>
      <c r="E27" s="138" t="s">
        <v>38</v>
      </c>
      <c r="F27" s="139"/>
      <c r="G27" s="26"/>
      <c r="H27" s="28"/>
      <c r="I27" s="140"/>
      <c r="J27" s="141"/>
      <c r="K27" s="142"/>
      <c r="L27" s="4"/>
      <c r="M27" s="5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8.75" customHeight="1">
      <c r="A28" s="143" t="s">
        <v>39</v>
      </c>
      <c r="B28" s="13"/>
      <c r="C28" s="143" t="s">
        <v>40</v>
      </c>
      <c r="D28" s="13"/>
      <c r="E28" s="143" t="s">
        <v>41</v>
      </c>
      <c r="F28" s="13"/>
      <c r="G28" s="144" t="s">
        <v>42</v>
      </c>
      <c r="H28" s="13"/>
      <c r="I28" s="143" t="s">
        <v>43</v>
      </c>
      <c r="J28" s="43"/>
      <c r="K28" s="13"/>
      <c r="L28" s="4"/>
      <c r="M28" s="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38.25" customHeight="1">
      <c r="A29" s="145"/>
      <c r="B29" s="145"/>
      <c r="C29" s="145"/>
      <c r="D29" s="145"/>
      <c r="E29" s="145"/>
      <c r="F29" s="145"/>
      <c r="G29" s="146"/>
      <c r="H29" s="146"/>
      <c r="I29" s="147"/>
      <c r="J29" s="147"/>
      <c r="K29" s="147"/>
      <c r="L29" s="4"/>
      <c r="M29" s="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3"/>
      <c r="L30" s="4"/>
      <c r="M30" s="5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2.75" customHeight="1">
      <c r="A31" s="6"/>
      <c r="B31" s="7"/>
      <c r="C31" s="7"/>
      <c r="D31" s="8"/>
      <c r="E31" s="9" t="s">
        <v>0</v>
      </c>
      <c r="F31" s="10"/>
      <c r="G31" s="10"/>
      <c r="H31" s="10"/>
      <c r="I31" s="11"/>
      <c r="J31" s="12" t="s">
        <v>1</v>
      </c>
      <c r="K31" s="13"/>
      <c r="L31" s="4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2.75" customHeight="1">
      <c r="A32" s="14"/>
      <c r="B32" s="15"/>
      <c r="C32" s="15"/>
      <c r="D32" s="16"/>
      <c r="E32" s="17"/>
      <c r="I32" s="18"/>
      <c r="J32" s="19" t="s">
        <v>2</v>
      </c>
      <c r="K32" s="20" t="s">
        <v>3</v>
      </c>
      <c r="L32" s="4"/>
      <c r="M32" s="5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8.75" customHeight="1">
      <c r="A33" s="14"/>
      <c r="B33" s="15"/>
      <c r="C33" s="15"/>
      <c r="D33" s="16"/>
      <c r="E33" s="17"/>
      <c r="I33" s="18"/>
      <c r="J33" s="21" t="s">
        <v>4</v>
      </c>
      <c r="K33" s="22" t="s">
        <v>5</v>
      </c>
      <c r="L33" s="4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8.75" customHeight="1">
      <c r="A34" s="23"/>
      <c r="B34" s="24"/>
      <c r="C34" s="24"/>
      <c r="D34" s="25"/>
      <c r="E34" s="26"/>
      <c r="F34" s="27"/>
      <c r="G34" s="27"/>
      <c r="H34" s="27"/>
      <c r="I34" s="28"/>
      <c r="J34" s="29" t="s">
        <v>6</v>
      </c>
      <c r="K34" s="30" t="s">
        <v>7</v>
      </c>
      <c r="L34" s="4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8.75" customHeight="1">
      <c r="A35" s="31"/>
      <c r="B35" s="32"/>
      <c r="C35" s="32"/>
      <c r="D35" s="32"/>
      <c r="E35" s="33"/>
      <c r="F35" s="33"/>
      <c r="G35" s="33"/>
      <c r="H35" s="33"/>
      <c r="I35" s="33"/>
      <c r="J35" s="34" t="s">
        <v>8</v>
      </c>
      <c r="K35" s="35"/>
      <c r="L35" s="4"/>
      <c r="M35" s="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8.75" customHeight="1">
      <c r="A36" s="36" t="s">
        <v>9</v>
      </c>
      <c r="B36" s="37"/>
      <c r="C36" s="37"/>
      <c r="D36" s="37"/>
      <c r="E36" s="38"/>
      <c r="F36" s="38"/>
      <c r="G36" s="38"/>
      <c r="H36" s="39"/>
      <c r="I36" s="37"/>
      <c r="J36" s="37"/>
      <c r="K36" s="40"/>
      <c r="L36" s="4"/>
      <c r="M36" s="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8.75" customHeight="1">
      <c r="A37" s="41" t="s">
        <v>10</v>
      </c>
      <c r="B37" s="148"/>
      <c r="C37" s="43"/>
      <c r="D37" s="43"/>
      <c r="E37" s="43"/>
      <c r="F37" s="43"/>
      <c r="G37" s="44"/>
      <c r="H37" s="45" t="s">
        <v>12</v>
      </c>
      <c r="I37" s="44"/>
      <c r="J37" s="149"/>
      <c r="K37" s="13"/>
      <c r="L37" s="4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8.75" customHeight="1">
      <c r="A38" s="41" t="s">
        <v>13</v>
      </c>
      <c r="B38" s="150"/>
      <c r="C38" s="43"/>
      <c r="D38" s="43"/>
      <c r="E38" s="43"/>
      <c r="F38" s="43"/>
      <c r="G38" s="13"/>
      <c r="H38" s="45" t="s">
        <v>15</v>
      </c>
      <c r="I38" s="44"/>
      <c r="J38" s="48"/>
      <c r="K38" s="13"/>
      <c r="L38" s="4"/>
      <c r="M38" s="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8.75" customHeight="1">
      <c r="A39" s="36" t="s">
        <v>16</v>
      </c>
      <c r="B39" s="37"/>
      <c r="C39" s="37"/>
      <c r="D39" s="37"/>
      <c r="E39" s="38"/>
      <c r="F39" s="38"/>
      <c r="G39" s="38"/>
      <c r="H39" s="39"/>
      <c r="I39" s="37"/>
      <c r="J39" s="37"/>
      <c r="K39" s="40"/>
      <c r="L39" s="4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8.75" customHeight="1">
      <c r="A40" s="151" t="s">
        <v>17</v>
      </c>
      <c r="B40" s="152"/>
      <c r="C40" s="152"/>
      <c r="D40" s="152"/>
      <c r="E40" s="153"/>
      <c r="F40" s="154" t="s">
        <v>18</v>
      </c>
      <c r="G40" s="154" t="s">
        <v>19</v>
      </c>
      <c r="H40" s="62" t="s">
        <v>20</v>
      </c>
      <c r="I40" s="62" t="s">
        <v>21</v>
      </c>
      <c r="J40" s="58" t="s">
        <v>22</v>
      </c>
      <c r="K40" s="13"/>
      <c r="L40" s="4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8.75" customHeight="1">
      <c r="A41" s="155"/>
      <c r="B41" s="156"/>
      <c r="C41" s="157"/>
      <c r="D41" s="156"/>
      <c r="E41" s="158"/>
      <c r="F41" s="159"/>
      <c r="G41" s="160"/>
      <c r="H41" s="130"/>
      <c r="I41" s="130"/>
      <c r="J41" s="161"/>
      <c r="K41" s="162"/>
      <c r="L41" s="4"/>
      <c r="M41" s="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8.75" customHeight="1">
      <c r="A42" s="163"/>
      <c r="B42" s="164"/>
      <c r="C42" s="165"/>
      <c r="D42" s="91"/>
      <c r="E42" s="166"/>
      <c r="F42" s="83"/>
      <c r="G42" s="167"/>
      <c r="H42" s="168"/>
      <c r="I42" s="168"/>
      <c r="J42" s="161"/>
      <c r="K42" s="162"/>
      <c r="L42" s="4"/>
      <c r="M42" s="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8.75" customHeight="1">
      <c r="A43" s="169"/>
      <c r="B43" s="170"/>
      <c r="C43" s="171"/>
      <c r="D43" s="170"/>
      <c r="E43" s="172"/>
      <c r="F43" s="173" t="s">
        <v>24</v>
      </c>
      <c r="G43" s="174" t="s">
        <v>25</v>
      </c>
      <c r="H43" s="175" t="s">
        <v>26</v>
      </c>
      <c r="I43" s="176"/>
      <c r="J43" s="161"/>
      <c r="K43" s="162"/>
      <c r="L43" s="4"/>
      <c r="M43" s="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8.75" customHeight="1">
      <c r="A44" s="125"/>
      <c r="B44" s="170"/>
      <c r="C44" s="165"/>
      <c r="D44" s="171"/>
      <c r="E44" s="172"/>
      <c r="F44" s="173"/>
      <c r="G44" s="174"/>
      <c r="H44" s="176"/>
      <c r="I44" s="176"/>
      <c r="J44" s="161"/>
      <c r="K44" s="162"/>
      <c r="L44" s="4"/>
      <c r="M44" s="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8.75" customHeight="1">
      <c r="A45" s="125"/>
      <c r="B45" s="170"/>
      <c r="C45" s="171"/>
      <c r="D45" s="171"/>
      <c r="E45" s="177"/>
      <c r="F45" s="173"/>
      <c r="G45" s="174"/>
      <c r="H45" s="176"/>
      <c r="I45" s="176"/>
      <c r="J45" s="161"/>
      <c r="K45" s="162"/>
      <c r="L45" s="4"/>
      <c r="M45" s="5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8.75" customHeight="1">
      <c r="A46" s="178"/>
      <c r="B46" s="170"/>
      <c r="C46" s="179"/>
      <c r="D46" s="179"/>
      <c r="E46" s="180"/>
      <c r="F46" s="181"/>
      <c r="G46" s="164"/>
      <c r="H46" s="125"/>
      <c r="I46" s="125"/>
      <c r="J46" s="161"/>
      <c r="K46" s="162"/>
      <c r="L46" s="4"/>
      <c r="M46" s="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8.75" customHeight="1">
      <c r="A47" s="178"/>
      <c r="B47" s="170"/>
      <c r="C47" s="179"/>
      <c r="D47" s="179"/>
      <c r="E47" s="182"/>
      <c r="F47" s="181"/>
      <c r="G47" s="164"/>
      <c r="H47" s="125"/>
      <c r="I47" s="125"/>
      <c r="J47" s="183"/>
      <c r="K47" s="184"/>
      <c r="L47" s="4"/>
      <c r="M47" s="5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8.75" customHeight="1">
      <c r="A48" s="178"/>
      <c r="B48" s="164"/>
      <c r="C48" s="179"/>
      <c r="D48" s="182"/>
      <c r="E48" s="182"/>
      <c r="F48" s="181"/>
      <c r="G48" s="164"/>
      <c r="H48" s="125"/>
      <c r="I48" s="125"/>
      <c r="J48" s="161"/>
      <c r="K48" s="162"/>
      <c r="L48" s="4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27.0" customHeight="1">
      <c r="A49" s="185" t="s">
        <v>28</v>
      </c>
      <c r="B49" s="186"/>
      <c r="C49" s="187"/>
      <c r="D49" s="188"/>
      <c r="E49" s="188"/>
      <c r="F49" s="188"/>
      <c r="G49" s="188"/>
      <c r="H49" s="189"/>
      <c r="I49" s="190" t="s">
        <v>29</v>
      </c>
      <c r="J49" s="191"/>
      <c r="K49" s="192"/>
      <c r="L49" s="4"/>
      <c r="M49" s="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8.75" customHeight="1">
      <c r="A50" s="193" t="s">
        <v>30</v>
      </c>
      <c r="B50" s="194"/>
      <c r="C50" s="194"/>
      <c r="D50" s="194"/>
      <c r="E50" s="195"/>
      <c r="F50" s="195"/>
      <c r="G50" s="195"/>
      <c r="H50" s="170"/>
      <c r="I50" s="196"/>
      <c r="J50" s="196"/>
      <c r="K50" s="197"/>
      <c r="L50" s="4"/>
      <c r="M50" s="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8.75" customHeight="1">
      <c r="A51" s="121" t="s">
        <v>31</v>
      </c>
      <c r="B51" s="122"/>
      <c r="C51" s="198" t="s">
        <v>32</v>
      </c>
      <c r="D51" s="199"/>
      <c r="E51" s="123" t="s">
        <v>33</v>
      </c>
      <c r="F51" s="13"/>
      <c r="G51" s="124" t="s">
        <v>34</v>
      </c>
      <c r="H51" s="13"/>
      <c r="I51" s="124" t="s">
        <v>35</v>
      </c>
      <c r="J51" s="43"/>
      <c r="K51" s="13"/>
      <c r="L51" s="4"/>
      <c r="M51" s="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8.75" customHeight="1">
      <c r="A52" s="125"/>
      <c r="B52" s="126"/>
      <c r="C52" s="125"/>
      <c r="D52" s="126"/>
      <c r="E52" s="127"/>
      <c r="F52" s="128"/>
      <c r="G52" s="200"/>
      <c r="H52" s="201"/>
      <c r="I52" s="130"/>
      <c r="J52" s="131"/>
      <c r="K52" s="132"/>
      <c r="L52" s="4"/>
      <c r="M52" s="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8.75" customHeight="1">
      <c r="A53" s="202"/>
      <c r="B53" s="136"/>
      <c r="C53" s="137" t="s">
        <v>37</v>
      </c>
      <c r="D53" s="136"/>
      <c r="E53" s="138" t="s">
        <v>38</v>
      </c>
      <c r="F53" s="139"/>
      <c r="G53" s="203" t="s">
        <v>36</v>
      </c>
      <c r="H53" s="136"/>
      <c r="I53" s="140"/>
      <c r="J53" s="141"/>
      <c r="K53" s="142"/>
      <c r="L53" s="4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8.75" customHeight="1">
      <c r="A54" s="143" t="s">
        <v>39</v>
      </c>
      <c r="B54" s="13"/>
      <c r="C54" s="143" t="s">
        <v>40</v>
      </c>
      <c r="D54" s="13"/>
      <c r="E54" s="143" t="s">
        <v>41</v>
      </c>
      <c r="F54" s="13"/>
      <c r="G54" s="144" t="s">
        <v>42</v>
      </c>
      <c r="H54" s="13"/>
      <c r="I54" s="143" t="s">
        <v>43</v>
      </c>
      <c r="J54" s="43"/>
      <c r="K54" s="13"/>
      <c r="L54" s="4"/>
      <c r="M54" s="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8.75" customHeight="1">
      <c r="A55" s="204"/>
      <c r="B55" s="204"/>
      <c r="C55" s="204"/>
      <c r="D55" s="204"/>
      <c r="E55" s="205"/>
      <c r="F55" s="205"/>
      <c r="G55" s="205"/>
      <c r="H55" s="206"/>
      <c r="I55" s="207"/>
      <c r="J55" s="207"/>
      <c r="K55" s="207"/>
      <c r="L55" s="4"/>
      <c r="M55" s="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8.75" customHeight="1">
      <c r="A56" s="208"/>
      <c r="B56" s="208"/>
      <c r="C56" s="208"/>
      <c r="D56" s="208"/>
      <c r="E56" s="208"/>
      <c r="F56" s="208"/>
      <c r="G56" s="208"/>
      <c r="H56" s="209"/>
      <c r="I56" s="208"/>
      <c r="J56" s="208"/>
      <c r="K56" s="206"/>
      <c r="L56" s="4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8.75" customHeight="1">
      <c r="A57" s="210"/>
      <c r="B57" s="210"/>
      <c r="C57" s="210"/>
      <c r="D57" s="210"/>
      <c r="E57" s="210"/>
      <c r="F57" s="210"/>
      <c r="G57" s="210"/>
      <c r="H57" s="210"/>
      <c r="I57" s="210"/>
      <c r="J57" s="210"/>
      <c r="K57" s="210"/>
      <c r="L57" s="133"/>
      <c r="M57" s="134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</row>
    <row r="58" ht="18.75" customHeight="1">
      <c r="A58" s="210"/>
      <c r="B58" s="210"/>
      <c r="C58" s="210"/>
      <c r="D58" s="210"/>
      <c r="E58" s="210"/>
      <c r="F58" s="210"/>
      <c r="G58" s="210"/>
      <c r="H58" s="210"/>
      <c r="I58" s="210"/>
      <c r="J58" s="210"/>
      <c r="K58" s="210"/>
      <c r="L58" s="4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8.75" customHeight="1">
      <c r="A59" s="204"/>
      <c r="C59" s="204"/>
      <c r="E59" s="204"/>
      <c r="F59" s="204"/>
      <c r="G59" s="204"/>
      <c r="H59" s="204"/>
      <c r="J59" s="204"/>
      <c r="L59" s="4"/>
      <c r="M59" s="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5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5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5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5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5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5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5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5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5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5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5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5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5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5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5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5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5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5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5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5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5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5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5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5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5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5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5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5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5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5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5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5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5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5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5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5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5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5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5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5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5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5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5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5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5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5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5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5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5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5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5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5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5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5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5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5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5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5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5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5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5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5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5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5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5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5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5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5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5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5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5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5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5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5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5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5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5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5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5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5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5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5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5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5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5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5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5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5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5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5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5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5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5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5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5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5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5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5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5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5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5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5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5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5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5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5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5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5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5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5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5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5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5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5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5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5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5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5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5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5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5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5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5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5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5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5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5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5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5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5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5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5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5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5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5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5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5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5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5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5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5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5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5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5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5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5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5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5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5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5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5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5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5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5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5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5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5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5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5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5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5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5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5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5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5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5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5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5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5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5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5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5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5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5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5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5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5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5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5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5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5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5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5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5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5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5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5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5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5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5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5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5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5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5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5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5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5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5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5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5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5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5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5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5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5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5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5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5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5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5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5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5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5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5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5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5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5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5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5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5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5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5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5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5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5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5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5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5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5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5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5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5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5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5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5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5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5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5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5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5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5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5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5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5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5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5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5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5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5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5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5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5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5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5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5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5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5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5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5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5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5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5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5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5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5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5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5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5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5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5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5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5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5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5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5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5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5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5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5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5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5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5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5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5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5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5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5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5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5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5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5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5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5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5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5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5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5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5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5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5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5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5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5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5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5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5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5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5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5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5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5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5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5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5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5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5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5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5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5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5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5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5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5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5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5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5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5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5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5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5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5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5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5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5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5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5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5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5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5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5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5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5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5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5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5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5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5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5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5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5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5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5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5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5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5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5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5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5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5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5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5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5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5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5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5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5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5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5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5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5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5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5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5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5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5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5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5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5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5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5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5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5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5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5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5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5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5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5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5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5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5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5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5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5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5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5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5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5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5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5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5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5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5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5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5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5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5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5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5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5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5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5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5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5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5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5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5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5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5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5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5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5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5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5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5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5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5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5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5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5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5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5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5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5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5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5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5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5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5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5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5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5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5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5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5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5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5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5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5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5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5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5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5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5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5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5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5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5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5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5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5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5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5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5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5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5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5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5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5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5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5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5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5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5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5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5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5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5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5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5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5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5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5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5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5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5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5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5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5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5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5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5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5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5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5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5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5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5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5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5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5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5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5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5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5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5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5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5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5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5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5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5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5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5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5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5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5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5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5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5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5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5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5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5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5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5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5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5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5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5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5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5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5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5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5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5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5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5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5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5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5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5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5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5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5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5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5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5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5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5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5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5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5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5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5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5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5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5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5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5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5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5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5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5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5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5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5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5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5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5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5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5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5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5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5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5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5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5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5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5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5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5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5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5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5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5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5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5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5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5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5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5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5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5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5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5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5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5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5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5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5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5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5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5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5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5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5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5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5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5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5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5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5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5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5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5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5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5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5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5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5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5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5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5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5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5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5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5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5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5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5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5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5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5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5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5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5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5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5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5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5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5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5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5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5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5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5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5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5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5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5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5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5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5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5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5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5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5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5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5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5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5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5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5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5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5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5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5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5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5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5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5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5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5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5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5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5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5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5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5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5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5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5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5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5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5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5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5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5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5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5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5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5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5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5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5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5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5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5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5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5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5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5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5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5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5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5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5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5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5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5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5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5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5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5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5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5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5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5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5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5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ht="12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5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ht="12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5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ht="12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5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</sheetData>
  <mergeCells count="61">
    <mergeCell ref="G54:H54"/>
    <mergeCell ref="I54:K54"/>
    <mergeCell ref="A59:B59"/>
    <mergeCell ref="C59:D59"/>
    <mergeCell ref="H59:I59"/>
    <mergeCell ref="J59:K59"/>
    <mergeCell ref="E51:F51"/>
    <mergeCell ref="A53:B53"/>
    <mergeCell ref="C53:D53"/>
    <mergeCell ref="G53:H53"/>
    <mergeCell ref="A54:B54"/>
    <mergeCell ref="C54:D54"/>
    <mergeCell ref="E54:F54"/>
    <mergeCell ref="E2:I5"/>
    <mergeCell ref="J2:K2"/>
    <mergeCell ref="B8:G8"/>
    <mergeCell ref="H8:I8"/>
    <mergeCell ref="J8:K8"/>
    <mergeCell ref="H9:I9"/>
    <mergeCell ref="J9:K9"/>
    <mergeCell ref="B9:G9"/>
    <mergeCell ref="A11:E11"/>
    <mergeCell ref="J11:K11"/>
    <mergeCell ref="F12:F22"/>
    <mergeCell ref="G12:G22"/>
    <mergeCell ref="H12:H22"/>
    <mergeCell ref="J23:K23"/>
    <mergeCell ref="A27:B27"/>
    <mergeCell ref="A28:B28"/>
    <mergeCell ref="C28:D28"/>
    <mergeCell ref="E28:F28"/>
    <mergeCell ref="G28:H28"/>
    <mergeCell ref="I28:K28"/>
    <mergeCell ref="C23:G23"/>
    <mergeCell ref="C25:D25"/>
    <mergeCell ref="E25:F25"/>
    <mergeCell ref="G25:H25"/>
    <mergeCell ref="I25:K25"/>
    <mergeCell ref="G26:H27"/>
    <mergeCell ref="C27:D27"/>
    <mergeCell ref="E31:I34"/>
    <mergeCell ref="J31:K31"/>
    <mergeCell ref="B37:G37"/>
    <mergeCell ref="H37:I37"/>
    <mergeCell ref="J37:K37"/>
    <mergeCell ref="H38:I38"/>
    <mergeCell ref="J38:K38"/>
    <mergeCell ref="B38:G38"/>
    <mergeCell ref="A40:E40"/>
    <mergeCell ref="J40:K40"/>
    <mergeCell ref="J41:K41"/>
    <mergeCell ref="J42:K42"/>
    <mergeCell ref="J43:K43"/>
    <mergeCell ref="J44:K44"/>
    <mergeCell ref="J45:K45"/>
    <mergeCell ref="J46:K46"/>
    <mergeCell ref="J48:K48"/>
    <mergeCell ref="C49:G49"/>
    <mergeCell ref="J49:K49"/>
    <mergeCell ref="G51:H51"/>
    <mergeCell ref="I51:K51"/>
  </mergeCells>
  <printOptions horizontalCentered="1"/>
  <pageMargins bottom="0.25" footer="0.0" header="0.0" left="0.0" right="0.0" top="0.2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.0"/>
    <col customWidth="1" min="3" max="3" width="18.0"/>
    <col customWidth="1" min="4" max="4" width="12.0"/>
    <col customWidth="1" min="5" max="5" width="27.86"/>
    <col customWidth="1" min="6" max="8" width="13.14"/>
    <col customWidth="1" min="9" max="9" width="14.86"/>
    <col customWidth="1" min="10" max="10" width="12.57"/>
    <col customWidth="1" min="11" max="11" width="14.29"/>
    <col customWidth="1" min="12" max="12" width="11.57"/>
    <col customWidth="1" min="13" max="13" width="14.29"/>
    <col customWidth="1" min="14" max="14" width="11.29"/>
    <col customWidth="1" min="15" max="25" width="9.29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8.75" customHeight="1">
      <c r="A2" s="6"/>
      <c r="B2" s="7"/>
      <c r="C2" s="7"/>
      <c r="D2" s="211"/>
      <c r="E2" s="9" t="s">
        <v>0</v>
      </c>
      <c r="F2" s="10"/>
      <c r="G2" s="10"/>
      <c r="H2" s="10"/>
      <c r="I2" s="11"/>
      <c r="J2" s="12" t="s">
        <v>1</v>
      </c>
      <c r="K2" s="13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8.75" customHeight="1">
      <c r="A3" s="14"/>
      <c r="B3" s="15"/>
      <c r="C3" s="15"/>
      <c r="D3" s="212"/>
      <c r="E3" s="17"/>
      <c r="I3" s="18"/>
      <c r="J3" s="19" t="s">
        <v>2</v>
      </c>
      <c r="K3" s="20" t="s">
        <v>3</v>
      </c>
      <c r="L3" s="4"/>
      <c r="M3" s="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8.75" customHeight="1">
      <c r="A4" s="14"/>
      <c r="B4" s="15"/>
      <c r="C4" s="15"/>
      <c r="D4" s="212"/>
      <c r="E4" s="17"/>
      <c r="I4" s="18"/>
      <c r="J4" s="21" t="s">
        <v>4</v>
      </c>
      <c r="K4" s="22" t="s">
        <v>5</v>
      </c>
      <c r="L4" s="4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8.25" customHeight="1">
      <c r="A5" s="23"/>
      <c r="B5" s="24"/>
      <c r="C5" s="24"/>
      <c r="D5" s="213"/>
      <c r="E5" s="26"/>
      <c r="F5" s="27"/>
      <c r="G5" s="27"/>
      <c r="H5" s="27"/>
      <c r="I5" s="28"/>
      <c r="J5" s="29" t="s">
        <v>6</v>
      </c>
      <c r="K5" s="30" t="s">
        <v>7</v>
      </c>
      <c r="L5" s="4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8.75" customHeight="1">
      <c r="A6" s="31"/>
      <c r="B6" s="32"/>
      <c r="C6" s="32"/>
      <c r="D6" s="32"/>
      <c r="E6" s="214"/>
      <c r="F6" s="214"/>
      <c r="G6" s="214"/>
      <c r="H6" s="214"/>
      <c r="I6" s="214"/>
      <c r="J6" s="34" t="s">
        <v>8</v>
      </c>
      <c r="K6" s="35"/>
      <c r="L6" s="4"/>
      <c r="M6" s="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8.75" customHeight="1">
      <c r="A7" s="36" t="s">
        <v>9</v>
      </c>
      <c r="B7" s="37"/>
      <c r="C7" s="37"/>
      <c r="D7" s="37"/>
      <c r="E7" s="38"/>
      <c r="F7" s="38"/>
      <c r="G7" s="38"/>
      <c r="H7" s="39"/>
      <c r="I7" s="37"/>
      <c r="J7" s="37"/>
      <c r="K7" s="40"/>
      <c r="L7" s="4"/>
      <c r="M7" s="5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8.75" customHeight="1">
      <c r="A8" s="41" t="s">
        <v>10</v>
      </c>
      <c r="B8" s="42" t="s">
        <v>44</v>
      </c>
      <c r="C8" s="43"/>
      <c r="D8" s="43"/>
      <c r="E8" s="43"/>
      <c r="F8" s="43"/>
      <c r="G8" s="44"/>
      <c r="H8" s="45" t="s">
        <v>12</v>
      </c>
      <c r="I8" s="44"/>
      <c r="J8" s="46">
        <v>46144.0</v>
      </c>
      <c r="K8" s="13"/>
      <c r="L8" s="4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8.75" customHeight="1">
      <c r="A9" s="41" t="s">
        <v>13</v>
      </c>
      <c r="B9" s="47"/>
      <c r="C9" s="43"/>
      <c r="D9" s="43"/>
      <c r="E9" s="43"/>
      <c r="F9" s="43"/>
      <c r="G9" s="13"/>
      <c r="H9" s="45" t="s">
        <v>15</v>
      </c>
      <c r="I9" s="44"/>
      <c r="J9" s="48"/>
      <c r="K9" s="13"/>
      <c r="L9" s="4"/>
      <c r="M9" s="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8.75" customHeight="1">
      <c r="A10" s="49" t="s">
        <v>16</v>
      </c>
      <c r="B10" s="50"/>
      <c r="C10" s="50"/>
      <c r="D10" s="50"/>
      <c r="E10" s="51"/>
      <c r="F10" s="38"/>
      <c r="G10" s="51"/>
      <c r="H10" s="52"/>
      <c r="I10" s="37"/>
      <c r="J10" s="50"/>
      <c r="K10" s="53"/>
      <c r="L10" s="4"/>
      <c r="M10" s="5"/>
      <c r="N10" s="54"/>
      <c r="O10" s="55"/>
      <c r="P10" s="55"/>
      <c r="Q10" s="55"/>
      <c r="R10" s="56"/>
      <c r="S10" s="57"/>
      <c r="T10" s="57"/>
      <c r="U10" s="4"/>
      <c r="V10" s="4"/>
      <c r="W10" s="4"/>
      <c r="X10" s="4"/>
      <c r="Y10" s="4"/>
    </row>
    <row r="11" ht="25.5" customHeight="1">
      <c r="A11" s="58" t="s">
        <v>17</v>
      </c>
      <c r="B11" s="43"/>
      <c r="C11" s="43"/>
      <c r="D11" s="43"/>
      <c r="E11" s="13"/>
      <c r="F11" s="59" t="s">
        <v>18</v>
      </c>
      <c r="G11" s="59" t="s">
        <v>19</v>
      </c>
      <c r="H11" s="215" t="s">
        <v>20</v>
      </c>
      <c r="I11" s="215" t="s">
        <v>21</v>
      </c>
      <c r="J11" s="216" t="s">
        <v>22</v>
      </c>
      <c r="K11" s="11"/>
      <c r="L11" s="4"/>
      <c r="M11" s="5"/>
      <c r="N11" s="55"/>
      <c r="O11" s="55"/>
      <c r="P11" s="55"/>
      <c r="Q11" s="55"/>
      <c r="R11" s="56"/>
      <c r="S11" s="57"/>
      <c r="T11" s="57"/>
      <c r="U11" s="4"/>
      <c r="V11" s="4"/>
      <c r="W11" s="4"/>
      <c r="X11" s="4"/>
      <c r="Y11" s="4"/>
    </row>
    <row r="12" ht="18.75" customHeight="1">
      <c r="A12" s="84" t="s">
        <v>45</v>
      </c>
      <c r="B12" s="64"/>
      <c r="C12" s="65"/>
      <c r="D12" s="217">
        <v>4.0</v>
      </c>
      <c r="E12" s="67">
        <v>335.0</v>
      </c>
      <c r="F12" s="218" t="s">
        <v>46</v>
      </c>
      <c r="G12" s="68" t="s">
        <v>25</v>
      </c>
      <c r="H12" s="219" t="s">
        <v>26</v>
      </c>
      <c r="I12" s="220"/>
      <c r="J12" s="221"/>
      <c r="K12" s="222">
        <f t="shared" ref="K12:K14" si="1">D12*E12</f>
        <v>1340</v>
      </c>
      <c r="L12" s="4"/>
      <c r="M12" s="5"/>
      <c r="N12" s="55"/>
      <c r="O12" s="55"/>
      <c r="P12" s="55"/>
      <c r="Q12" s="55"/>
      <c r="R12" s="56"/>
      <c r="S12" s="57"/>
      <c r="T12" s="57"/>
      <c r="U12" s="4"/>
      <c r="V12" s="4"/>
      <c r="W12" s="4"/>
      <c r="X12" s="4"/>
      <c r="Y12" s="4"/>
    </row>
    <row r="13" ht="18.75" customHeight="1">
      <c r="A13" s="72" t="s">
        <v>47</v>
      </c>
      <c r="B13" s="73"/>
      <c r="C13" s="73"/>
      <c r="D13" s="223">
        <v>2.0</v>
      </c>
      <c r="E13" s="67">
        <v>460.0</v>
      </c>
      <c r="F13" s="75"/>
      <c r="G13" s="75"/>
      <c r="H13" s="75"/>
      <c r="I13" s="224"/>
      <c r="J13" s="99"/>
      <c r="K13" s="225">
        <f t="shared" si="1"/>
        <v>920</v>
      </c>
      <c r="L13" s="4"/>
      <c r="M13" s="5"/>
      <c r="N13" s="55"/>
      <c r="O13" s="55"/>
      <c r="P13" s="55"/>
      <c r="Q13" s="55"/>
      <c r="R13" s="56"/>
      <c r="S13" s="57"/>
      <c r="T13" s="57"/>
      <c r="U13" s="4"/>
      <c r="V13" s="4"/>
      <c r="W13" s="4"/>
      <c r="X13" s="4"/>
      <c r="Y13" s="4"/>
    </row>
    <row r="14" ht="18.75" customHeight="1">
      <c r="A14" s="72" t="s">
        <v>48</v>
      </c>
      <c r="B14" s="80"/>
      <c r="C14" s="81"/>
      <c r="D14" s="88">
        <v>2.0</v>
      </c>
      <c r="E14" s="67">
        <v>380.0</v>
      </c>
      <c r="F14" s="75"/>
      <c r="G14" s="75"/>
      <c r="H14" s="75"/>
      <c r="I14" s="226"/>
      <c r="J14" s="99"/>
      <c r="K14" s="225">
        <f t="shared" si="1"/>
        <v>760</v>
      </c>
      <c r="L14" s="4"/>
      <c r="M14" s="5"/>
      <c r="N14" s="55"/>
      <c r="O14" s="55"/>
      <c r="P14" s="55"/>
      <c r="Q14" s="55"/>
      <c r="R14" s="56"/>
      <c r="S14" s="57"/>
      <c r="T14" s="57"/>
      <c r="U14" s="4"/>
      <c r="V14" s="4"/>
      <c r="W14" s="4"/>
      <c r="X14" s="4"/>
      <c r="Y14" s="4"/>
    </row>
    <row r="15" ht="18.75" customHeight="1">
      <c r="A15" s="84"/>
      <c r="B15" s="85"/>
      <c r="C15" s="86"/>
      <c r="D15" s="87"/>
      <c r="E15" s="67"/>
      <c r="F15" s="75"/>
      <c r="G15" s="75"/>
      <c r="H15" s="75"/>
      <c r="I15" s="226"/>
      <c r="J15" s="99"/>
      <c r="K15" s="225"/>
      <c r="L15" s="4"/>
      <c r="M15" s="5"/>
      <c r="N15" s="55"/>
      <c r="O15" s="55"/>
      <c r="P15" s="55"/>
      <c r="Q15" s="55"/>
      <c r="R15" s="56"/>
      <c r="S15" s="57"/>
      <c r="T15" s="57"/>
      <c r="U15" s="4"/>
      <c r="V15" s="4"/>
      <c r="W15" s="4"/>
      <c r="X15" s="4"/>
      <c r="Y15" s="4"/>
    </row>
    <row r="16" ht="18.75" customHeight="1">
      <c r="A16" s="72"/>
      <c r="B16" s="81"/>
      <c r="C16" s="81"/>
      <c r="D16" s="88"/>
      <c r="E16" s="67"/>
      <c r="F16" s="75"/>
      <c r="G16" s="75"/>
      <c r="H16" s="75"/>
      <c r="I16" s="227"/>
      <c r="J16" s="99"/>
      <c r="K16" s="225"/>
      <c r="L16" s="4"/>
      <c r="M16" s="5"/>
      <c r="N16" s="55"/>
      <c r="O16" s="55"/>
      <c r="P16" s="55"/>
      <c r="Q16" s="55"/>
      <c r="R16" s="56"/>
      <c r="S16" s="57"/>
      <c r="T16" s="57"/>
      <c r="U16" s="4"/>
      <c r="V16" s="4"/>
      <c r="W16" s="4"/>
      <c r="X16" s="4"/>
      <c r="Y16" s="4"/>
    </row>
    <row r="17" ht="18.75" customHeight="1">
      <c r="A17" s="72"/>
      <c r="B17" s="90"/>
      <c r="C17" s="228"/>
      <c r="D17" s="229"/>
      <c r="E17" s="67"/>
      <c r="F17" s="75"/>
      <c r="G17" s="75"/>
      <c r="H17" s="75"/>
      <c r="I17" s="227"/>
      <c r="J17" s="99"/>
      <c r="K17" s="225"/>
      <c r="L17" s="4"/>
      <c r="M17" s="5"/>
      <c r="U17" s="4"/>
      <c r="V17" s="4"/>
      <c r="W17" s="4"/>
      <c r="X17" s="4"/>
      <c r="Y17" s="4"/>
    </row>
    <row r="18" ht="19.5" customHeight="1">
      <c r="A18" s="72"/>
      <c r="B18" s="93"/>
      <c r="C18" s="94"/>
      <c r="D18" s="95"/>
      <c r="E18" s="67"/>
      <c r="F18" s="75"/>
      <c r="G18" s="75"/>
      <c r="H18" s="75"/>
      <c r="I18" s="227"/>
      <c r="J18" s="99"/>
      <c r="K18" s="225"/>
      <c r="L18" s="4"/>
      <c r="M18" s="5"/>
      <c r="U18" s="4"/>
      <c r="V18" s="4"/>
      <c r="W18" s="4"/>
      <c r="X18" s="4"/>
      <c r="Y18" s="4"/>
    </row>
    <row r="19" ht="19.5" customHeight="1">
      <c r="A19" s="96"/>
      <c r="B19" s="93"/>
      <c r="C19" s="94"/>
      <c r="D19" s="97"/>
      <c r="E19" s="57"/>
      <c r="F19" s="75"/>
      <c r="G19" s="75"/>
      <c r="H19" s="75"/>
      <c r="I19" s="227"/>
      <c r="J19" s="99"/>
      <c r="K19" s="100"/>
      <c r="L19" s="4"/>
      <c r="M19" s="5"/>
      <c r="U19" s="4"/>
      <c r="V19" s="4"/>
      <c r="W19" s="4"/>
      <c r="X19" s="4"/>
      <c r="Y19" s="4"/>
    </row>
    <row r="20" ht="19.5" customHeight="1">
      <c r="A20" s="96"/>
      <c r="B20" s="93"/>
      <c r="C20" s="94"/>
      <c r="D20" s="97"/>
      <c r="E20" s="57"/>
      <c r="F20" s="75"/>
      <c r="G20" s="75"/>
      <c r="H20" s="75"/>
      <c r="I20" s="227"/>
      <c r="J20" s="99"/>
      <c r="K20" s="100"/>
      <c r="L20" s="4"/>
      <c r="M20" s="5"/>
      <c r="U20" s="4"/>
      <c r="V20" s="4"/>
      <c r="W20" s="4"/>
      <c r="X20" s="4"/>
      <c r="Y20" s="4"/>
    </row>
    <row r="21" ht="19.5" customHeight="1">
      <c r="A21" s="96"/>
      <c r="B21" s="93"/>
      <c r="C21" s="94"/>
      <c r="D21" s="97"/>
      <c r="E21" s="57"/>
      <c r="F21" s="75"/>
      <c r="G21" s="75"/>
      <c r="H21" s="75"/>
      <c r="I21" s="227"/>
      <c r="J21" s="99"/>
      <c r="K21" s="100"/>
      <c r="L21" s="4"/>
      <c r="M21" s="5"/>
      <c r="U21" s="4"/>
      <c r="V21" s="4"/>
      <c r="W21" s="4"/>
      <c r="X21" s="4"/>
      <c r="Y21" s="4"/>
    </row>
    <row r="22" ht="19.5" customHeight="1">
      <c r="A22" s="101"/>
      <c r="B22" s="93"/>
      <c r="C22" s="94"/>
      <c r="D22" s="97"/>
      <c r="E22" s="57"/>
      <c r="F22" s="104"/>
      <c r="G22" s="104"/>
      <c r="H22" s="104"/>
      <c r="I22" s="230"/>
      <c r="J22" s="231"/>
      <c r="K22" s="232"/>
      <c r="L22" s="4"/>
      <c r="M22" s="5"/>
      <c r="U22" s="4"/>
      <c r="V22" s="4"/>
      <c r="W22" s="4"/>
      <c r="X22" s="4"/>
      <c r="Y22" s="4"/>
    </row>
    <row r="23" ht="29.25" customHeight="1">
      <c r="A23" s="109" t="s">
        <v>28</v>
      </c>
      <c r="B23" s="109"/>
      <c r="C23" s="110"/>
      <c r="D23" s="43"/>
      <c r="E23" s="43"/>
      <c r="F23" s="43"/>
      <c r="G23" s="13"/>
      <c r="H23" s="233"/>
      <c r="I23" s="234" t="s">
        <v>29</v>
      </c>
      <c r="J23" s="235">
        <f>sum(K12:K22)</f>
        <v>3020</v>
      </c>
      <c r="K23" s="28"/>
      <c r="L23" s="4"/>
      <c r="M23" s="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8.75" customHeight="1">
      <c r="A24" s="114" t="s">
        <v>30</v>
      </c>
      <c r="B24" s="115"/>
      <c r="C24" s="115"/>
      <c r="D24" s="115"/>
      <c r="E24" s="116"/>
      <c r="F24" s="116"/>
      <c r="G24" s="116"/>
      <c r="H24" s="236"/>
      <c r="I24" s="119"/>
      <c r="J24" s="119"/>
      <c r="K24" s="120"/>
      <c r="L24" s="4"/>
      <c r="M24" s="5"/>
      <c r="N24" s="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8.75" customHeight="1">
      <c r="A25" s="121" t="s">
        <v>31</v>
      </c>
      <c r="B25" s="122"/>
      <c r="C25" s="198" t="s">
        <v>32</v>
      </c>
      <c r="D25" s="199"/>
      <c r="E25" s="123" t="s">
        <v>33</v>
      </c>
      <c r="F25" s="13"/>
      <c r="G25" s="124" t="s">
        <v>34</v>
      </c>
      <c r="H25" s="13"/>
      <c r="I25" s="124" t="s">
        <v>35</v>
      </c>
      <c r="J25" s="43"/>
      <c r="K25" s="13"/>
      <c r="L25" s="4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8.75" customHeight="1">
      <c r="A26" s="125"/>
      <c r="B26" s="126"/>
      <c r="C26" s="125"/>
      <c r="D26" s="126"/>
      <c r="E26" s="127"/>
      <c r="F26" s="128"/>
      <c r="G26" s="200"/>
      <c r="H26" s="201"/>
      <c r="I26" s="130"/>
      <c r="J26" s="131"/>
      <c r="K26" s="132"/>
      <c r="L26" s="133"/>
      <c r="M26" s="134"/>
      <c r="N26" s="134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</row>
    <row r="27" ht="18.75" customHeight="1">
      <c r="A27" s="135" t="str">
        <f>B8</f>
        <v>WINEFREDO S. SAILES C/O CNR</v>
      </c>
      <c r="B27" s="136"/>
      <c r="C27" s="137" t="s">
        <v>37</v>
      </c>
      <c r="D27" s="136"/>
      <c r="E27" s="138" t="s">
        <v>38</v>
      </c>
      <c r="F27" s="139"/>
      <c r="G27" s="203" t="s">
        <v>36</v>
      </c>
      <c r="H27" s="136"/>
      <c r="I27" s="140"/>
      <c r="J27" s="141"/>
      <c r="K27" s="142"/>
      <c r="L27" s="4"/>
      <c r="M27" s="5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8.75" customHeight="1">
      <c r="A28" s="143" t="s">
        <v>39</v>
      </c>
      <c r="B28" s="13"/>
      <c r="C28" s="143" t="s">
        <v>40</v>
      </c>
      <c r="D28" s="13"/>
      <c r="E28" s="143" t="s">
        <v>41</v>
      </c>
      <c r="F28" s="13"/>
      <c r="G28" s="144" t="s">
        <v>42</v>
      </c>
      <c r="H28" s="13"/>
      <c r="I28" s="143" t="s">
        <v>43</v>
      </c>
      <c r="J28" s="43"/>
      <c r="K28" s="13"/>
      <c r="L28" s="4"/>
      <c r="M28" s="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38.25" customHeight="1">
      <c r="A29" s="146"/>
      <c r="B29" s="146"/>
      <c r="C29" s="146"/>
      <c r="D29" s="146"/>
      <c r="E29" s="146"/>
      <c r="F29" s="146"/>
      <c r="G29" s="146"/>
      <c r="H29" s="146"/>
      <c r="I29" s="147"/>
      <c r="J29" s="147"/>
      <c r="K29" s="147"/>
      <c r="L29" s="4"/>
      <c r="M29" s="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3"/>
      <c r="L30" s="4"/>
      <c r="M30" s="5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2.75" customHeight="1">
      <c r="A31" s="6"/>
      <c r="B31" s="7"/>
      <c r="C31" s="7"/>
      <c r="D31" s="211"/>
      <c r="E31" s="9" t="s">
        <v>0</v>
      </c>
      <c r="F31" s="10"/>
      <c r="G31" s="10"/>
      <c r="H31" s="10"/>
      <c r="I31" s="11"/>
      <c r="J31" s="12" t="s">
        <v>1</v>
      </c>
      <c r="K31" s="13"/>
      <c r="L31" s="4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2.75" customHeight="1">
      <c r="A32" s="14"/>
      <c r="B32" s="15"/>
      <c r="C32" s="15"/>
      <c r="D32" s="212"/>
      <c r="E32" s="17"/>
      <c r="I32" s="18"/>
      <c r="J32" s="19" t="s">
        <v>2</v>
      </c>
      <c r="K32" s="20" t="s">
        <v>3</v>
      </c>
      <c r="L32" s="4"/>
      <c r="M32" s="5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8.75" customHeight="1">
      <c r="A33" s="14"/>
      <c r="B33" s="15"/>
      <c r="C33" s="15"/>
      <c r="D33" s="212"/>
      <c r="E33" s="17"/>
      <c r="I33" s="18"/>
      <c r="J33" s="21" t="s">
        <v>4</v>
      </c>
      <c r="K33" s="22" t="s">
        <v>5</v>
      </c>
      <c r="L33" s="4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8.75" customHeight="1">
      <c r="A34" s="23"/>
      <c r="B34" s="24"/>
      <c r="C34" s="24"/>
      <c r="D34" s="213"/>
      <c r="E34" s="26"/>
      <c r="F34" s="27"/>
      <c r="G34" s="27"/>
      <c r="H34" s="27"/>
      <c r="I34" s="28"/>
      <c r="J34" s="29" t="s">
        <v>6</v>
      </c>
      <c r="K34" s="30" t="s">
        <v>7</v>
      </c>
      <c r="L34" s="4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8.75" customHeight="1">
      <c r="A35" s="31"/>
      <c r="B35" s="32"/>
      <c r="C35" s="32"/>
      <c r="D35" s="32"/>
      <c r="E35" s="214"/>
      <c r="F35" s="214"/>
      <c r="G35" s="214"/>
      <c r="H35" s="214"/>
      <c r="I35" s="214"/>
      <c r="J35" s="34" t="s">
        <v>8</v>
      </c>
      <c r="K35" s="35"/>
      <c r="L35" s="4"/>
      <c r="M35" s="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8.75" customHeight="1">
      <c r="A36" s="36" t="s">
        <v>9</v>
      </c>
      <c r="B36" s="37"/>
      <c r="C36" s="37"/>
      <c r="D36" s="37"/>
      <c r="E36" s="38"/>
      <c r="F36" s="38"/>
      <c r="G36" s="38"/>
      <c r="H36" s="39"/>
      <c r="I36" s="37"/>
      <c r="J36" s="37"/>
      <c r="K36" s="40"/>
      <c r="L36" s="4"/>
      <c r="M36" s="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8.75" customHeight="1">
      <c r="A37" s="41" t="s">
        <v>10</v>
      </c>
      <c r="B37" s="148"/>
      <c r="C37" s="43"/>
      <c r="D37" s="43"/>
      <c r="E37" s="43"/>
      <c r="F37" s="43"/>
      <c r="G37" s="44"/>
      <c r="H37" s="45" t="s">
        <v>12</v>
      </c>
      <c r="I37" s="44"/>
      <c r="J37" s="149"/>
      <c r="K37" s="13"/>
      <c r="L37" s="4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8.75" customHeight="1">
      <c r="A38" s="41" t="s">
        <v>13</v>
      </c>
      <c r="B38" s="150"/>
      <c r="C38" s="43"/>
      <c r="D38" s="43"/>
      <c r="E38" s="43"/>
      <c r="F38" s="43"/>
      <c r="G38" s="13"/>
      <c r="H38" s="45" t="s">
        <v>15</v>
      </c>
      <c r="I38" s="44"/>
      <c r="J38" s="48"/>
      <c r="K38" s="13"/>
      <c r="L38" s="4"/>
      <c r="M38" s="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8.75" customHeight="1">
      <c r="A39" s="36" t="s">
        <v>16</v>
      </c>
      <c r="B39" s="37"/>
      <c r="C39" s="37"/>
      <c r="D39" s="37"/>
      <c r="E39" s="38"/>
      <c r="F39" s="38"/>
      <c r="G39" s="38"/>
      <c r="H39" s="39"/>
      <c r="I39" s="37"/>
      <c r="J39" s="37"/>
      <c r="K39" s="40"/>
      <c r="L39" s="4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8.75" customHeight="1">
      <c r="A40" s="151" t="s">
        <v>17</v>
      </c>
      <c r="B40" s="152"/>
      <c r="C40" s="152"/>
      <c r="D40" s="152"/>
      <c r="E40" s="153"/>
      <c r="F40" s="154" t="s">
        <v>18</v>
      </c>
      <c r="G40" s="154" t="s">
        <v>19</v>
      </c>
      <c r="H40" s="62" t="s">
        <v>20</v>
      </c>
      <c r="I40" s="62" t="s">
        <v>21</v>
      </c>
      <c r="J40" s="58" t="s">
        <v>22</v>
      </c>
      <c r="K40" s="13"/>
      <c r="L40" s="4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8.75" customHeight="1">
      <c r="A41" s="155"/>
      <c r="B41" s="156"/>
      <c r="C41" s="157"/>
      <c r="D41" s="156"/>
      <c r="E41" s="158"/>
      <c r="F41" s="159"/>
      <c r="G41" s="160"/>
      <c r="H41" s="130"/>
      <c r="I41" s="130"/>
      <c r="J41" s="161"/>
      <c r="K41" s="162"/>
      <c r="L41" s="4"/>
      <c r="M41" s="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8.75" customHeight="1">
      <c r="A42" s="163"/>
      <c r="B42" s="164"/>
      <c r="C42" s="165"/>
      <c r="D42" s="91"/>
      <c r="E42" s="166"/>
      <c r="F42" s="83"/>
      <c r="G42" s="167"/>
      <c r="H42" s="168"/>
      <c r="I42" s="168"/>
      <c r="J42" s="161"/>
      <c r="K42" s="162"/>
      <c r="L42" s="4"/>
      <c r="M42" s="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8.75" customHeight="1">
      <c r="A43" s="169"/>
      <c r="B43" s="170"/>
      <c r="C43" s="171"/>
      <c r="D43" s="170"/>
      <c r="E43" s="172"/>
      <c r="F43" s="173" t="s">
        <v>24</v>
      </c>
      <c r="G43" s="174" t="s">
        <v>25</v>
      </c>
      <c r="H43" s="175" t="s">
        <v>26</v>
      </c>
      <c r="I43" s="176"/>
      <c r="J43" s="161"/>
      <c r="K43" s="162"/>
      <c r="L43" s="4"/>
      <c r="M43" s="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8.75" customHeight="1">
      <c r="A44" s="125"/>
      <c r="B44" s="170"/>
      <c r="C44" s="165"/>
      <c r="D44" s="171"/>
      <c r="E44" s="172"/>
      <c r="F44" s="173"/>
      <c r="G44" s="174"/>
      <c r="H44" s="176"/>
      <c r="I44" s="176"/>
      <c r="J44" s="161"/>
      <c r="K44" s="162"/>
      <c r="L44" s="4"/>
      <c r="M44" s="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8.75" customHeight="1">
      <c r="A45" s="125"/>
      <c r="B45" s="170"/>
      <c r="C45" s="171"/>
      <c r="D45" s="171"/>
      <c r="E45" s="177"/>
      <c r="F45" s="173"/>
      <c r="G45" s="174"/>
      <c r="H45" s="176"/>
      <c r="I45" s="176"/>
      <c r="J45" s="161"/>
      <c r="K45" s="162"/>
      <c r="L45" s="4"/>
      <c r="M45" s="5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8.75" customHeight="1">
      <c r="A46" s="178"/>
      <c r="B46" s="170"/>
      <c r="C46" s="179"/>
      <c r="D46" s="179"/>
      <c r="E46" s="180"/>
      <c r="F46" s="181"/>
      <c r="G46" s="164"/>
      <c r="H46" s="125"/>
      <c r="I46" s="125"/>
      <c r="J46" s="161"/>
      <c r="K46" s="162"/>
      <c r="L46" s="4"/>
      <c r="M46" s="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8.75" customHeight="1">
      <c r="A47" s="178"/>
      <c r="B47" s="170"/>
      <c r="C47" s="179"/>
      <c r="D47" s="179"/>
      <c r="E47" s="182"/>
      <c r="F47" s="181"/>
      <c r="G47" s="164"/>
      <c r="H47" s="125"/>
      <c r="I47" s="125"/>
      <c r="J47" s="183"/>
      <c r="K47" s="184"/>
      <c r="L47" s="4"/>
      <c r="M47" s="5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8.75" customHeight="1">
      <c r="A48" s="178"/>
      <c r="B48" s="164"/>
      <c r="C48" s="179"/>
      <c r="D48" s="182"/>
      <c r="E48" s="182"/>
      <c r="F48" s="181"/>
      <c r="G48" s="164"/>
      <c r="H48" s="125"/>
      <c r="I48" s="125"/>
      <c r="J48" s="161"/>
      <c r="K48" s="162"/>
      <c r="L48" s="4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27.0" customHeight="1">
      <c r="A49" s="185" t="s">
        <v>28</v>
      </c>
      <c r="B49" s="186"/>
      <c r="C49" s="187"/>
      <c r="D49" s="188"/>
      <c r="E49" s="188"/>
      <c r="F49" s="188"/>
      <c r="G49" s="188"/>
      <c r="H49" s="189"/>
      <c r="I49" s="190" t="s">
        <v>29</v>
      </c>
      <c r="J49" s="191"/>
      <c r="K49" s="192"/>
      <c r="L49" s="4"/>
      <c r="M49" s="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8.75" customHeight="1">
      <c r="A50" s="193" t="s">
        <v>30</v>
      </c>
      <c r="B50" s="194"/>
      <c r="C50" s="194"/>
      <c r="D50" s="194"/>
      <c r="E50" s="195"/>
      <c r="F50" s="195"/>
      <c r="G50" s="195"/>
      <c r="H50" s="170"/>
      <c r="I50" s="196"/>
      <c r="J50" s="196"/>
      <c r="K50" s="197"/>
      <c r="L50" s="4"/>
      <c r="M50" s="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8.75" customHeight="1">
      <c r="A51" s="121" t="s">
        <v>31</v>
      </c>
      <c r="B51" s="122"/>
      <c r="C51" s="198" t="s">
        <v>32</v>
      </c>
      <c r="D51" s="199"/>
      <c r="E51" s="123" t="s">
        <v>33</v>
      </c>
      <c r="F51" s="13"/>
      <c r="G51" s="124" t="s">
        <v>34</v>
      </c>
      <c r="H51" s="13"/>
      <c r="I51" s="124" t="s">
        <v>35</v>
      </c>
      <c r="J51" s="43"/>
      <c r="K51" s="13"/>
      <c r="L51" s="4"/>
      <c r="M51" s="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8.75" customHeight="1">
      <c r="A52" s="125"/>
      <c r="B52" s="126"/>
      <c r="C52" s="125"/>
      <c r="D52" s="126"/>
      <c r="E52" s="127"/>
      <c r="F52" s="128"/>
      <c r="G52" s="200"/>
      <c r="H52" s="201"/>
      <c r="I52" s="130"/>
      <c r="J52" s="131"/>
      <c r="K52" s="132"/>
      <c r="L52" s="4"/>
      <c r="M52" s="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8.75" customHeight="1">
      <c r="A53" s="202"/>
      <c r="B53" s="136"/>
      <c r="C53" s="137" t="s">
        <v>37</v>
      </c>
      <c r="D53" s="136"/>
      <c r="E53" s="138" t="s">
        <v>38</v>
      </c>
      <c r="F53" s="139"/>
      <c r="G53" s="203" t="s">
        <v>36</v>
      </c>
      <c r="H53" s="136"/>
      <c r="I53" s="140"/>
      <c r="J53" s="141"/>
      <c r="K53" s="142"/>
      <c r="L53" s="4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8.75" customHeight="1">
      <c r="A54" s="143" t="s">
        <v>39</v>
      </c>
      <c r="B54" s="13"/>
      <c r="C54" s="143" t="s">
        <v>40</v>
      </c>
      <c r="D54" s="13"/>
      <c r="E54" s="143" t="s">
        <v>41</v>
      </c>
      <c r="F54" s="13"/>
      <c r="G54" s="144" t="s">
        <v>42</v>
      </c>
      <c r="H54" s="13"/>
      <c r="I54" s="143" t="s">
        <v>43</v>
      </c>
      <c r="J54" s="43"/>
      <c r="K54" s="13"/>
      <c r="L54" s="4"/>
      <c r="M54" s="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8.75" customHeight="1">
      <c r="A55" s="204"/>
      <c r="B55" s="204"/>
      <c r="C55" s="204"/>
      <c r="D55" s="204"/>
      <c r="E55" s="205"/>
      <c r="F55" s="205"/>
      <c r="G55" s="205"/>
      <c r="H55" s="206"/>
      <c r="I55" s="207"/>
      <c r="J55" s="207"/>
      <c r="K55" s="207"/>
      <c r="L55" s="4"/>
      <c r="M55" s="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8.75" customHeight="1">
      <c r="A56" s="208"/>
      <c r="B56" s="208"/>
      <c r="C56" s="208"/>
      <c r="D56" s="208"/>
      <c r="E56" s="208"/>
      <c r="F56" s="208"/>
      <c r="G56" s="208"/>
      <c r="H56" s="209"/>
      <c r="I56" s="208"/>
      <c r="J56" s="208"/>
      <c r="K56" s="206"/>
      <c r="L56" s="4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8.75" customHeight="1">
      <c r="A57" s="210"/>
      <c r="B57" s="210"/>
      <c r="C57" s="210"/>
      <c r="D57" s="210"/>
      <c r="E57" s="210"/>
      <c r="F57" s="210"/>
      <c r="G57" s="210"/>
      <c r="H57" s="210"/>
      <c r="I57" s="210"/>
      <c r="J57" s="210"/>
      <c r="K57" s="210"/>
      <c r="L57" s="133"/>
      <c r="M57" s="134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</row>
    <row r="58" ht="18.75" customHeight="1">
      <c r="A58" s="210"/>
      <c r="B58" s="210"/>
      <c r="C58" s="210"/>
      <c r="D58" s="210"/>
      <c r="E58" s="210"/>
      <c r="F58" s="210"/>
      <c r="G58" s="210"/>
      <c r="H58" s="210"/>
      <c r="I58" s="210"/>
      <c r="J58" s="210"/>
      <c r="K58" s="210"/>
      <c r="L58" s="4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8.75" customHeight="1">
      <c r="A59" s="204"/>
      <c r="C59" s="204"/>
      <c r="E59" s="204"/>
      <c r="F59" s="204"/>
      <c r="G59" s="204"/>
      <c r="H59" s="204"/>
      <c r="J59" s="204"/>
      <c r="L59" s="4"/>
      <c r="M59" s="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5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5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5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5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5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5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5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5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5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5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5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5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5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5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5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5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5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5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5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5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5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5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5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5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5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5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5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5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5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5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5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5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5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5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5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5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5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5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5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5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5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5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5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5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5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5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5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5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5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5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5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5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5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5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5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5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5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5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5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5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5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5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5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5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5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5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5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5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5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5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5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5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5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5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5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5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5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5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5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5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5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5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5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5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5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5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5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5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5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5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5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5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5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5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5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5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5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5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5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5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5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5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5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5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5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5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5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5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5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5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5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5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5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5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5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5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5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5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5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5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5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5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5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5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5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5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5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5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5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5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5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5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5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5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5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5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5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5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5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5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5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5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5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5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5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5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5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5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5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5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5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5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5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5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5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5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5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5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5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5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5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5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5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5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5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5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5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5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5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5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5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5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5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5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5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5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5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5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5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5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5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5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5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5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5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5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5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5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5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5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5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5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5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5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5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5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5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5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5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5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5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5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5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5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5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5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5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5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5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5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5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5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5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5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5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5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5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5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5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5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5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5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5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5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5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5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5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5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5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5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5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5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5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5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5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5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5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5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5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5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5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5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5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5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5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5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5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5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5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5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5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5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5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5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5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5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5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5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5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5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5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5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5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5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5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5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5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5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5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5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5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5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5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5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5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5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5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5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5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5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5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5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5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5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5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5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5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5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5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5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5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5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5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5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5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5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5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5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5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5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5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5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5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5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5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5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5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5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5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5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5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5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5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5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5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5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5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5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5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5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5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5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5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5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5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5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5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5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5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5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5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5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5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5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5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5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5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5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5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5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5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5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5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5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5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5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5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5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5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5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5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5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5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5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5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5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5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5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5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5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5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5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5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5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5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5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5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5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5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5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5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5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5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5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5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5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5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5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5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5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5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5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5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5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5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5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5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5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5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5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5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5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5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5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5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5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5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5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5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5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5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5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5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5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5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5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5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5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5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5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5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5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5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5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5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5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5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5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5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5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5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5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5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5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5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5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5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5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5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5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5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5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5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5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5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5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5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5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5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5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5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5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5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5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5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5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5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5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5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5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5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5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5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5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5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5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5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5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5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5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5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5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5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5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5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5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5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5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5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5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5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5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5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5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5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5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5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5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5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5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5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5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5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5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5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5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5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5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5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5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5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5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5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5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5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5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5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5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5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5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5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5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5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5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5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5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5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5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5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5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5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5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5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5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5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5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5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5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5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5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5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5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5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5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5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5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5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5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5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5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5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5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5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5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5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5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5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5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5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5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5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5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5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5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5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5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5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5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5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5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5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5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5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5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5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5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5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5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5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5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5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5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5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5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5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5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5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5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5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5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5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5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5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5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5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5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5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5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5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5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5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5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5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5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5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5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5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5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5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5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5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5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5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5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5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5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5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5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5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5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5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5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5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5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5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5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5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5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5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5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5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5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5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5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5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5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5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5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5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5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5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5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5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5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5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5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5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5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5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5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5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5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5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5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5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5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5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5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5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5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5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5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5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5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5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5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5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5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5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5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5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5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5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5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5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5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5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5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5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5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5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5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5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5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5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5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5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5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5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5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5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5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5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5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5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5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5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5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5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5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5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5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5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5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5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5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5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5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5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5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5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5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5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5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5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5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5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5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5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5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5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5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5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5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5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5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5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5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5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5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5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5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5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5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5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5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5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5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5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5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5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ht="12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5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ht="12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5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ht="12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5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</sheetData>
  <mergeCells count="60">
    <mergeCell ref="J48:K48"/>
    <mergeCell ref="C49:G49"/>
    <mergeCell ref="J49:K49"/>
    <mergeCell ref="E51:F51"/>
    <mergeCell ref="G51:H51"/>
    <mergeCell ref="I51:K51"/>
    <mergeCell ref="A53:B53"/>
    <mergeCell ref="C53:D53"/>
    <mergeCell ref="G53:H53"/>
    <mergeCell ref="A54:B54"/>
    <mergeCell ref="C54:D54"/>
    <mergeCell ref="E54:F54"/>
    <mergeCell ref="G54:H54"/>
    <mergeCell ref="I54:K54"/>
    <mergeCell ref="E2:I5"/>
    <mergeCell ref="J2:K2"/>
    <mergeCell ref="B8:G8"/>
    <mergeCell ref="H8:I8"/>
    <mergeCell ref="J8:K8"/>
    <mergeCell ref="H9:I9"/>
    <mergeCell ref="J9:K9"/>
    <mergeCell ref="B9:G9"/>
    <mergeCell ref="A11:E11"/>
    <mergeCell ref="J11:K11"/>
    <mergeCell ref="F12:F22"/>
    <mergeCell ref="G12:G22"/>
    <mergeCell ref="H12:H22"/>
    <mergeCell ref="J23:K23"/>
    <mergeCell ref="C23:G23"/>
    <mergeCell ref="E25:F25"/>
    <mergeCell ref="G25:H25"/>
    <mergeCell ref="I25:K25"/>
    <mergeCell ref="A27:B27"/>
    <mergeCell ref="C27:D27"/>
    <mergeCell ref="G27:H27"/>
    <mergeCell ref="A28:B28"/>
    <mergeCell ref="C28:D28"/>
    <mergeCell ref="E28:F28"/>
    <mergeCell ref="G28:H28"/>
    <mergeCell ref="I28:K28"/>
    <mergeCell ref="E31:I34"/>
    <mergeCell ref="J31:K31"/>
    <mergeCell ref="B37:G37"/>
    <mergeCell ref="H37:I37"/>
    <mergeCell ref="J37:K37"/>
    <mergeCell ref="B38:G38"/>
    <mergeCell ref="H38:I38"/>
    <mergeCell ref="J38:K38"/>
    <mergeCell ref="A40:E40"/>
    <mergeCell ref="J40:K40"/>
    <mergeCell ref="J41:K41"/>
    <mergeCell ref="J42:K42"/>
    <mergeCell ref="J43:K43"/>
    <mergeCell ref="J44:K44"/>
    <mergeCell ref="J45:K45"/>
    <mergeCell ref="J46:K46"/>
    <mergeCell ref="A59:B59"/>
    <mergeCell ref="C59:D59"/>
    <mergeCell ref="H59:I59"/>
    <mergeCell ref="J59:K5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71"/>
    <col customWidth="1" min="2" max="2" width="14.14"/>
    <col customWidth="1" min="3" max="5" width="13.71"/>
    <col customWidth="1" min="6" max="8" width="11.71"/>
    <col customWidth="1" min="9" max="9" width="15.71"/>
    <col customWidth="1" min="10" max="10" width="12.71"/>
    <col customWidth="1" min="11" max="11" width="13.0"/>
    <col customWidth="1" min="12" max="12" width="11.57"/>
    <col customWidth="1" min="13" max="13" width="14.29"/>
    <col customWidth="1" min="14" max="14" width="11.29"/>
    <col customWidth="1" min="15" max="25" width="9.29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8.75" customHeight="1">
      <c r="A2" s="6"/>
      <c r="B2" s="7"/>
      <c r="C2" s="7"/>
      <c r="D2" s="237" t="s">
        <v>49</v>
      </c>
      <c r="E2" s="10"/>
      <c r="F2" s="10"/>
      <c r="G2" s="10"/>
      <c r="H2" s="10"/>
      <c r="I2" s="11"/>
      <c r="J2" s="12" t="s">
        <v>1</v>
      </c>
      <c r="K2" s="13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8.75" customHeight="1">
      <c r="A3" s="14"/>
      <c r="B3" s="15"/>
      <c r="C3" s="15"/>
      <c r="D3" s="17"/>
      <c r="I3" s="18"/>
      <c r="J3" s="19" t="s">
        <v>2</v>
      </c>
      <c r="K3" s="238" t="s">
        <v>50</v>
      </c>
      <c r="L3" s="4"/>
      <c r="M3" s="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8.75" customHeight="1">
      <c r="A4" s="14"/>
      <c r="B4" s="15"/>
      <c r="C4" s="15"/>
      <c r="D4" s="17"/>
      <c r="I4" s="18"/>
      <c r="J4" s="21" t="s">
        <v>4</v>
      </c>
      <c r="K4" s="239" t="s">
        <v>51</v>
      </c>
      <c r="L4" s="4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8.25" customHeight="1">
      <c r="A5" s="23"/>
      <c r="B5" s="24"/>
      <c r="C5" s="24"/>
      <c r="D5" s="26"/>
      <c r="E5" s="27"/>
      <c r="F5" s="27"/>
      <c r="G5" s="27"/>
      <c r="H5" s="27"/>
      <c r="I5" s="28"/>
      <c r="J5" s="29" t="s">
        <v>6</v>
      </c>
      <c r="K5" s="30" t="s">
        <v>52</v>
      </c>
      <c r="L5" s="4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8.75" customHeight="1">
      <c r="A6" s="31"/>
      <c r="B6" s="32"/>
      <c r="C6" s="32"/>
      <c r="D6" s="32"/>
      <c r="E6" s="214"/>
      <c r="F6" s="214"/>
      <c r="G6" s="214"/>
      <c r="H6" s="214"/>
      <c r="I6" s="214"/>
      <c r="J6" s="214"/>
      <c r="K6" s="35"/>
      <c r="L6" s="4"/>
      <c r="M6" s="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8.75" customHeight="1">
      <c r="A7" s="240" t="s">
        <v>9</v>
      </c>
      <c r="B7" s="241"/>
      <c r="C7" s="241"/>
      <c r="D7" s="241"/>
      <c r="E7" s="242"/>
      <c r="F7" s="242"/>
      <c r="G7" s="242"/>
      <c r="H7" s="243"/>
      <c r="I7" s="241"/>
      <c r="J7" s="241"/>
      <c r="K7" s="244"/>
      <c r="L7" s="4"/>
      <c r="M7" s="5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8.75" customHeight="1">
      <c r="A8" s="41" t="s">
        <v>10</v>
      </c>
      <c r="B8" s="245" t="s">
        <v>53</v>
      </c>
      <c r="C8" s="43"/>
      <c r="D8" s="43"/>
      <c r="E8" s="43"/>
      <c r="F8" s="43"/>
      <c r="G8" s="13"/>
      <c r="H8" s="45" t="s">
        <v>12</v>
      </c>
      <c r="I8" s="44"/>
      <c r="J8" s="246">
        <v>46190.0</v>
      </c>
      <c r="K8" s="13"/>
      <c r="L8" s="4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8.75" customHeight="1">
      <c r="A9" s="41" t="s">
        <v>13</v>
      </c>
      <c r="B9" s="247"/>
      <c r="C9" s="43"/>
      <c r="D9" s="43"/>
      <c r="E9" s="43"/>
      <c r="F9" s="43"/>
      <c r="G9" s="13"/>
      <c r="H9" s="45" t="s">
        <v>54</v>
      </c>
      <c r="I9" s="44"/>
      <c r="J9" s="150"/>
      <c r="K9" s="13"/>
      <c r="L9" s="4"/>
      <c r="M9" s="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8.75" customHeight="1">
      <c r="A10" s="248" t="s">
        <v>16</v>
      </c>
      <c r="B10" s="249"/>
      <c r="C10" s="249"/>
      <c r="D10" s="249"/>
      <c r="E10" s="250"/>
      <c r="F10" s="250"/>
      <c r="G10" s="242"/>
      <c r="H10" s="243"/>
      <c r="I10" s="241"/>
      <c r="J10" s="241"/>
      <c r="K10" s="244"/>
      <c r="L10" s="4"/>
      <c r="M10" s="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5.5" customHeight="1">
      <c r="A11" s="251" t="s">
        <v>17</v>
      </c>
      <c r="B11" s="43"/>
      <c r="C11" s="43"/>
      <c r="D11" s="43"/>
      <c r="E11" s="13"/>
      <c r="F11" s="252" t="s">
        <v>18</v>
      </c>
      <c r="G11" s="253" t="s">
        <v>19</v>
      </c>
      <c r="H11" s="254" t="s">
        <v>20</v>
      </c>
      <c r="I11" s="254" t="s">
        <v>21</v>
      </c>
      <c r="J11" s="255" t="s">
        <v>22</v>
      </c>
      <c r="K11" s="11"/>
      <c r="L11" s="4"/>
      <c r="M11" s="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8.75" customHeight="1">
      <c r="A12" s="63" t="s">
        <v>55</v>
      </c>
      <c r="B12" s="64"/>
      <c r="C12" s="64"/>
      <c r="D12" s="217"/>
      <c r="E12" s="67"/>
      <c r="F12" s="256"/>
      <c r="G12" s="257"/>
      <c r="H12" s="130"/>
      <c r="I12" s="258"/>
      <c r="J12" s="259"/>
      <c r="K12" s="79">
        <v>850.0</v>
      </c>
      <c r="L12" s="4"/>
      <c r="M12" s="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8.75" customHeight="1">
      <c r="A13" s="72"/>
      <c r="B13" s="73"/>
      <c r="C13" s="73"/>
      <c r="D13" s="223"/>
      <c r="E13" s="67"/>
      <c r="F13" s="260"/>
      <c r="G13" s="261"/>
      <c r="H13" s="168"/>
      <c r="I13" s="262"/>
      <c r="J13" s="263"/>
      <c r="K13" s="79"/>
      <c r="L13" s="4"/>
      <c r="M13" s="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8.75" customHeight="1">
      <c r="A14" s="72"/>
      <c r="B14" s="80"/>
      <c r="C14" s="81"/>
      <c r="D14" s="88"/>
      <c r="E14" s="67"/>
      <c r="F14" s="260" t="s">
        <v>24</v>
      </c>
      <c r="G14" s="264" t="s">
        <v>25</v>
      </c>
      <c r="H14" s="175" t="s">
        <v>26</v>
      </c>
      <c r="I14" s="265"/>
      <c r="J14" s="263"/>
      <c r="K14" s="79"/>
      <c r="L14" s="4"/>
      <c r="M14" s="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8.75" customHeight="1">
      <c r="A15" s="84"/>
      <c r="B15" s="85"/>
      <c r="C15" s="86"/>
      <c r="D15" s="87"/>
      <c r="E15" s="67"/>
      <c r="F15" s="260"/>
      <c r="G15" s="264"/>
      <c r="H15" s="176"/>
      <c r="I15" s="265"/>
      <c r="J15" s="263"/>
      <c r="K15" s="79"/>
      <c r="L15" s="4"/>
      <c r="M15" s="5"/>
      <c r="N15" s="4"/>
      <c r="O15" s="266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8.75" customHeight="1">
      <c r="A16" s="72"/>
      <c r="B16" s="81"/>
      <c r="C16" s="81"/>
      <c r="D16" s="88"/>
      <c r="E16" s="67"/>
      <c r="F16" s="260"/>
      <c r="G16" s="267"/>
      <c r="H16" s="125"/>
      <c r="I16" s="98"/>
      <c r="J16" s="263"/>
      <c r="K16" s="79"/>
      <c r="L16" s="4"/>
      <c r="M16" s="5"/>
      <c r="N16" s="4"/>
      <c r="O16" s="266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8.75" customHeight="1">
      <c r="A17" s="72"/>
      <c r="B17" s="90"/>
      <c r="C17" s="91"/>
      <c r="D17" s="92"/>
      <c r="E17" s="67"/>
      <c r="F17" s="268"/>
      <c r="G17" s="164"/>
      <c r="H17" s="125"/>
      <c r="I17" s="98"/>
      <c r="J17" s="263"/>
      <c r="K17" s="79"/>
      <c r="L17" s="4"/>
      <c r="M17" s="5"/>
      <c r="N17" s="4"/>
      <c r="O17" s="4"/>
      <c r="P17" s="4"/>
      <c r="Q17" s="4"/>
      <c r="R17" s="4"/>
      <c r="S17" s="4"/>
      <c r="T17" s="4"/>
      <c r="U17" s="4"/>
      <c r="V17" s="4"/>
      <c r="W17" s="269" t="s">
        <v>56</v>
      </c>
      <c r="X17" s="4"/>
      <c r="Y17" s="4"/>
    </row>
    <row r="18" ht="18.75" customHeight="1">
      <c r="A18" s="178"/>
      <c r="B18" s="270"/>
      <c r="C18" s="91"/>
      <c r="D18" s="91"/>
      <c r="E18" s="172"/>
      <c r="F18" s="181"/>
      <c r="G18" s="164"/>
      <c r="H18" s="125"/>
      <c r="I18" s="98"/>
      <c r="J18" s="271"/>
      <c r="K18" s="272"/>
      <c r="L18" s="4"/>
      <c r="M18" s="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8.75" customHeight="1">
      <c r="A19" s="273"/>
      <c r="B19" s="274"/>
      <c r="C19" s="274"/>
      <c r="D19" s="275"/>
      <c r="E19" s="276"/>
      <c r="F19" s="277"/>
      <c r="G19" s="278"/>
      <c r="H19" s="279"/>
      <c r="I19" s="280"/>
      <c r="J19" s="281"/>
      <c r="K19" s="282"/>
      <c r="L19" s="4"/>
      <c r="M19" s="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4.75" customHeight="1">
      <c r="A20" s="283" t="s">
        <v>57</v>
      </c>
      <c r="B20" s="284"/>
      <c r="C20" s="284"/>
      <c r="D20" s="284"/>
      <c r="E20" s="285"/>
      <c r="F20" s="285"/>
      <c r="G20" s="285"/>
      <c r="H20" s="286"/>
      <c r="I20" s="287" t="s">
        <v>29</v>
      </c>
      <c r="J20" s="288">
        <f>sum(K12,K13,K14,K15,K16,K17)</f>
        <v>850</v>
      </c>
      <c r="K20" s="289"/>
      <c r="L20" s="4"/>
      <c r="M20" s="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.25" customHeight="1">
      <c r="A21" s="290"/>
      <c r="B21" s="291"/>
      <c r="C21" s="291"/>
      <c r="D21" s="291"/>
      <c r="E21" s="292"/>
      <c r="F21" s="292"/>
      <c r="G21" s="292"/>
      <c r="H21" s="293"/>
      <c r="I21" s="294"/>
      <c r="J21" s="295"/>
      <c r="K21" s="296"/>
      <c r="L21" s="4"/>
      <c r="M21" s="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8.75" customHeight="1">
      <c r="A22" s="297" t="s">
        <v>58</v>
      </c>
      <c r="B22" s="298"/>
      <c r="C22" s="299">
        <f>J20</f>
        <v>850</v>
      </c>
      <c r="D22" s="300"/>
      <c r="E22" s="301"/>
      <c r="F22" s="301"/>
      <c r="G22" s="301"/>
      <c r="H22" s="302"/>
      <c r="I22" s="303"/>
      <c r="J22" s="304"/>
      <c r="K22" s="305"/>
      <c r="L22" s="4"/>
      <c r="M22" s="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8.75" customHeight="1">
      <c r="A23" s="297" t="s">
        <v>59</v>
      </c>
      <c r="B23" s="298"/>
      <c r="C23" s="300"/>
      <c r="D23" s="300"/>
      <c r="E23" s="301"/>
      <c r="F23" s="301"/>
      <c r="G23" s="301"/>
      <c r="H23" s="302"/>
      <c r="I23" s="303"/>
      <c r="J23" s="304"/>
      <c r="K23" s="305"/>
      <c r="L23" s="4"/>
      <c r="M23" s="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8.75" customHeight="1">
      <c r="A24" s="306" t="s">
        <v>60</v>
      </c>
      <c r="B24" s="307"/>
      <c r="C24" s="308"/>
      <c r="D24" s="308"/>
      <c r="E24" s="309"/>
      <c r="F24" s="309"/>
      <c r="G24" s="309"/>
      <c r="H24" s="310"/>
      <c r="I24" s="311"/>
      <c r="J24" s="311"/>
      <c r="K24" s="312"/>
      <c r="L24" s="4"/>
      <c r="M24" s="5"/>
      <c r="N24" s="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3.75" customHeight="1">
      <c r="A25" s="313"/>
      <c r="B25" s="314"/>
      <c r="C25" s="194"/>
      <c r="D25" s="194"/>
      <c r="E25" s="195"/>
      <c r="F25" s="195"/>
      <c r="G25" s="195"/>
      <c r="H25" s="170"/>
      <c r="I25" s="196"/>
      <c r="J25" s="196"/>
      <c r="K25" s="197"/>
      <c r="L25" s="4"/>
      <c r="M25" s="5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8.75" customHeight="1">
      <c r="A26" s="315" t="s">
        <v>31</v>
      </c>
      <c r="B26" s="316"/>
      <c r="C26" s="317" t="s">
        <v>61</v>
      </c>
      <c r="D26" s="43"/>
      <c r="E26" s="43"/>
      <c r="F26" s="43"/>
      <c r="G26" s="13"/>
      <c r="H26" s="317" t="s">
        <v>35</v>
      </c>
      <c r="I26" s="43"/>
      <c r="J26" s="43"/>
      <c r="K26" s="13"/>
      <c r="L26" s="4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8.75" customHeight="1">
      <c r="A27" s="318" t="str">
        <f>B8</f>
        <v>ADRIANO SILVA</v>
      </c>
      <c r="B27" s="136"/>
      <c r="C27" s="137" t="s">
        <v>37</v>
      </c>
      <c r="D27" s="136"/>
      <c r="E27" s="137" t="s">
        <v>36</v>
      </c>
      <c r="F27" s="319"/>
      <c r="G27" s="136"/>
      <c r="H27" s="320"/>
      <c r="I27" s="43"/>
      <c r="J27" s="43"/>
      <c r="K27" s="13"/>
      <c r="L27" s="4"/>
      <c r="M27" s="5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8.75" customHeight="1">
      <c r="A28" s="143" t="s">
        <v>39</v>
      </c>
      <c r="B28" s="13"/>
      <c r="C28" s="143" t="s">
        <v>40</v>
      </c>
      <c r="D28" s="13"/>
      <c r="E28" s="144" t="s">
        <v>42</v>
      </c>
      <c r="F28" s="43"/>
      <c r="G28" s="13"/>
      <c r="H28" s="143" t="s">
        <v>43</v>
      </c>
      <c r="I28" s="43"/>
      <c r="J28" s="43"/>
      <c r="K28" s="13"/>
      <c r="L28" s="4"/>
      <c r="M28" s="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3"/>
      <c r="L29" s="4"/>
      <c r="M29" s="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2.75" customHeight="1">
      <c r="A30" s="6"/>
      <c r="B30" s="7"/>
      <c r="C30" s="7"/>
      <c r="D30" s="237" t="s">
        <v>49</v>
      </c>
      <c r="E30" s="10"/>
      <c r="F30" s="10"/>
      <c r="G30" s="10"/>
      <c r="H30" s="10"/>
      <c r="I30" s="11"/>
      <c r="J30" s="12" t="s">
        <v>1</v>
      </c>
      <c r="K30" s="13"/>
      <c r="L30" s="4"/>
      <c r="M30" s="5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8.75" customHeight="1">
      <c r="A31" s="14"/>
      <c r="B31" s="15"/>
      <c r="C31" s="15"/>
      <c r="D31" s="17"/>
      <c r="I31" s="18"/>
      <c r="J31" s="19" t="s">
        <v>2</v>
      </c>
      <c r="K31" s="238" t="s">
        <v>50</v>
      </c>
      <c r="L31" s="4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8.75" customHeight="1">
      <c r="A32" s="14"/>
      <c r="B32" s="15"/>
      <c r="C32" s="15"/>
      <c r="D32" s="17"/>
      <c r="I32" s="18"/>
      <c r="J32" s="21" t="s">
        <v>4</v>
      </c>
      <c r="K32" s="239" t="s">
        <v>51</v>
      </c>
      <c r="L32" s="4"/>
      <c r="M32" s="5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8.75" customHeight="1">
      <c r="A33" s="23"/>
      <c r="B33" s="24"/>
      <c r="C33" s="24"/>
      <c r="D33" s="26"/>
      <c r="E33" s="27"/>
      <c r="F33" s="27"/>
      <c r="G33" s="27"/>
      <c r="H33" s="27"/>
      <c r="I33" s="28"/>
      <c r="J33" s="29" t="s">
        <v>6</v>
      </c>
      <c r="K33" s="30" t="s">
        <v>52</v>
      </c>
      <c r="L33" s="4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8.75" customHeight="1">
      <c r="A34" s="31"/>
      <c r="B34" s="32"/>
      <c r="C34" s="32"/>
      <c r="D34" s="32"/>
      <c r="E34" s="214"/>
      <c r="F34" s="214"/>
      <c r="G34" s="214"/>
      <c r="H34" s="214"/>
      <c r="I34" s="214"/>
      <c r="J34" s="214"/>
      <c r="K34" s="35"/>
      <c r="L34" s="4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8.75" customHeight="1">
      <c r="A35" s="240" t="s">
        <v>9</v>
      </c>
      <c r="B35" s="241"/>
      <c r="C35" s="241"/>
      <c r="D35" s="241"/>
      <c r="E35" s="242"/>
      <c r="F35" s="242"/>
      <c r="G35" s="242"/>
      <c r="H35" s="243"/>
      <c r="I35" s="241"/>
      <c r="J35" s="241"/>
      <c r="K35" s="244"/>
      <c r="L35" s="4"/>
      <c r="M35" s="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8.75" customHeight="1">
      <c r="A36" s="41" t="s">
        <v>10</v>
      </c>
      <c r="B36" s="245"/>
      <c r="C36" s="43"/>
      <c r="D36" s="43"/>
      <c r="E36" s="43"/>
      <c r="F36" s="43"/>
      <c r="G36" s="13"/>
      <c r="H36" s="45" t="s">
        <v>12</v>
      </c>
      <c r="I36" s="44"/>
      <c r="J36" s="321"/>
      <c r="K36" s="13"/>
      <c r="L36" s="4"/>
      <c r="M36" s="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8.75" customHeight="1">
      <c r="A37" s="41" t="s">
        <v>13</v>
      </c>
      <c r="B37" s="322"/>
      <c r="C37" s="43"/>
      <c r="D37" s="43"/>
      <c r="E37" s="43"/>
      <c r="F37" s="43"/>
      <c r="G37" s="13"/>
      <c r="H37" s="45" t="s">
        <v>54</v>
      </c>
      <c r="I37" s="44"/>
      <c r="J37" s="150"/>
      <c r="K37" s="13"/>
      <c r="L37" s="4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8.75" customHeight="1">
      <c r="A38" s="240" t="s">
        <v>16</v>
      </c>
      <c r="B38" s="241"/>
      <c r="C38" s="241"/>
      <c r="D38" s="241"/>
      <c r="E38" s="242"/>
      <c r="F38" s="242"/>
      <c r="G38" s="242"/>
      <c r="H38" s="243"/>
      <c r="I38" s="241"/>
      <c r="J38" s="241"/>
      <c r="K38" s="244"/>
      <c r="L38" s="4"/>
      <c r="M38" s="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8.75" customHeight="1">
      <c r="A39" s="323" t="s">
        <v>17</v>
      </c>
      <c r="B39" s="152"/>
      <c r="C39" s="152"/>
      <c r="D39" s="152"/>
      <c r="E39" s="153"/>
      <c r="F39" s="253" t="s">
        <v>18</v>
      </c>
      <c r="G39" s="253" t="s">
        <v>19</v>
      </c>
      <c r="H39" s="254" t="s">
        <v>20</v>
      </c>
      <c r="I39" s="254" t="s">
        <v>21</v>
      </c>
      <c r="J39" s="251" t="s">
        <v>22</v>
      </c>
      <c r="K39" s="13"/>
      <c r="L39" s="4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8.75" customHeight="1">
      <c r="A40" s="324"/>
      <c r="B40" s="325"/>
      <c r="C40" s="326"/>
      <c r="D40" s="327"/>
      <c r="E40" s="328"/>
      <c r="F40" s="159"/>
      <c r="G40" s="160"/>
      <c r="H40" s="130"/>
      <c r="I40" s="130"/>
      <c r="J40" s="329"/>
      <c r="K40" s="79"/>
      <c r="L40" s="4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8.75" customHeight="1">
      <c r="A41" s="163"/>
      <c r="B41" s="177"/>
      <c r="C41" s="165"/>
      <c r="D41" s="170"/>
      <c r="E41" s="166"/>
      <c r="F41" s="83"/>
      <c r="G41" s="167"/>
      <c r="H41" s="176"/>
      <c r="I41" s="176"/>
      <c r="J41" s="330"/>
      <c r="K41" s="162"/>
      <c r="L41" s="4"/>
      <c r="M41" s="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8.75" customHeight="1">
      <c r="A42" s="331"/>
      <c r="B42" s="91"/>
      <c r="C42" s="91"/>
      <c r="D42" s="91"/>
      <c r="E42" s="172"/>
      <c r="F42" s="173" t="s">
        <v>24</v>
      </c>
      <c r="G42" s="174" t="s">
        <v>25</v>
      </c>
      <c r="H42" s="175" t="s">
        <v>26</v>
      </c>
      <c r="I42" s="175"/>
      <c r="J42" s="330"/>
      <c r="K42" s="162"/>
      <c r="L42" s="4"/>
      <c r="M42" s="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8.75" customHeight="1">
      <c r="A43" s="331"/>
      <c r="B43" s="170"/>
      <c r="C43" s="91"/>
      <c r="D43" s="91"/>
      <c r="E43" s="172"/>
      <c r="F43" s="173"/>
      <c r="G43" s="174"/>
      <c r="H43" s="175"/>
      <c r="I43" s="175"/>
      <c r="J43" s="330"/>
      <c r="K43" s="162"/>
      <c r="L43" s="4"/>
      <c r="M43" s="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8.75" customHeight="1">
      <c r="A44" s="331"/>
      <c r="B44" s="170"/>
      <c r="C44" s="91"/>
      <c r="D44" s="91"/>
      <c r="E44" s="172"/>
      <c r="F44" s="173"/>
      <c r="G44" s="174"/>
      <c r="H44" s="175"/>
      <c r="I44" s="125"/>
      <c r="J44" s="330"/>
      <c r="K44" s="162"/>
      <c r="L44" s="4"/>
      <c r="M44" s="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8.75" customHeight="1">
      <c r="A45" s="125"/>
      <c r="B45" s="170"/>
      <c r="C45" s="91"/>
      <c r="D45" s="91"/>
      <c r="E45" s="172"/>
      <c r="F45" s="181"/>
      <c r="G45" s="164"/>
      <c r="H45" s="125"/>
      <c r="I45" s="125"/>
      <c r="J45" s="178"/>
      <c r="K45" s="166"/>
      <c r="L45" s="4"/>
      <c r="M45" s="5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8.75" customHeight="1">
      <c r="A46" s="125"/>
      <c r="B46" s="170"/>
      <c r="C46" s="91"/>
      <c r="D46" s="91"/>
      <c r="E46" s="172"/>
      <c r="F46" s="181"/>
      <c r="G46" s="164"/>
      <c r="H46" s="125"/>
      <c r="I46" s="125"/>
      <c r="J46" s="178"/>
      <c r="K46" s="332"/>
      <c r="L46" s="4"/>
      <c r="M46" s="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8.75" customHeight="1">
      <c r="A47" s="273"/>
      <c r="B47" s="274"/>
      <c r="C47" s="274"/>
      <c r="D47" s="275"/>
      <c r="E47" s="276"/>
      <c r="F47" s="277"/>
      <c r="G47" s="278"/>
      <c r="H47" s="279"/>
      <c r="I47" s="279"/>
      <c r="J47" s="273"/>
      <c r="K47" s="333"/>
      <c r="L47" s="4"/>
      <c r="M47" s="5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8.75" customHeight="1">
      <c r="A48" s="283" t="s">
        <v>57</v>
      </c>
      <c r="B48" s="284"/>
      <c r="C48" s="284"/>
      <c r="D48" s="284"/>
      <c r="E48" s="285"/>
      <c r="F48" s="285"/>
      <c r="G48" s="285"/>
      <c r="H48" s="286"/>
      <c r="I48" s="287" t="s">
        <v>29</v>
      </c>
      <c r="J48" s="288">
        <f>sum(J40:K47)</f>
        <v>0</v>
      </c>
      <c r="K48" s="289"/>
      <c r="L48" s="4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8.75" customHeight="1">
      <c r="A49" s="290"/>
      <c r="B49" s="291"/>
      <c r="C49" s="291"/>
      <c r="D49" s="291"/>
      <c r="E49" s="292"/>
      <c r="F49" s="292"/>
      <c r="G49" s="292"/>
      <c r="H49" s="293"/>
      <c r="I49" s="294"/>
      <c r="J49" s="295"/>
      <c r="K49" s="296"/>
      <c r="L49" s="4"/>
      <c r="M49" s="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8.75" customHeight="1">
      <c r="A50" s="297" t="s">
        <v>58</v>
      </c>
      <c r="B50" s="298"/>
      <c r="C50" s="299">
        <f>J48</f>
        <v>0</v>
      </c>
      <c r="D50" s="300"/>
      <c r="E50" s="301"/>
      <c r="F50" s="301"/>
      <c r="G50" s="301"/>
      <c r="H50" s="302"/>
      <c r="I50" s="303"/>
      <c r="J50" s="304"/>
      <c r="K50" s="305"/>
      <c r="L50" s="4"/>
      <c r="M50" s="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8.75" customHeight="1">
      <c r="A51" s="297" t="s">
        <v>59</v>
      </c>
      <c r="B51" s="298"/>
      <c r="C51" s="300"/>
      <c r="D51" s="300"/>
      <c r="E51" s="301"/>
      <c r="F51" s="301"/>
      <c r="G51" s="301"/>
      <c r="H51" s="302"/>
      <c r="I51" s="303"/>
      <c r="J51" s="304"/>
      <c r="K51" s="305"/>
      <c r="L51" s="4"/>
      <c r="M51" s="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8.75" customHeight="1">
      <c r="A52" s="306" t="s">
        <v>60</v>
      </c>
      <c r="B52" s="307"/>
      <c r="C52" s="308"/>
      <c r="D52" s="308"/>
      <c r="E52" s="309"/>
      <c r="F52" s="309"/>
      <c r="G52" s="309"/>
      <c r="H52" s="310"/>
      <c r="I52" s="311"/>
      <c r="J52" s="311"/>
      <c r="K52" s="312"/>
      <c r="L52" s="4"/>
      <c r="M52" s="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8.75" customHeight="1">
      <c r="A53" s="313"/>
      <c r="B53" s="314"/>
      <c r="C53" s="194"/>
      <c r="D53" s="194"/>
      <c r="E53" s="195"/>
      <c r="F53" s="195"/>
      <c r="G53" s="195"/>
      <c r="H53" s="170"/>
      <c r="I53" s="196"/>
      <c r="J53" s="196"/>
      <c r="K53" s="197"/>
      <c r="L53" s="4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8.75" customHeight="1">
      <c r="A54" s="315" t="s">
        <v>31</v>
      </c>
      <c r="B54" s="316"/>
      <c r="C54" s="317" t="s">
        <v>61</v>
      </c>
      <c r="D54" s="43"/>
      <c r="E54" s="43"/>
      <c r="F54" s="43"/>
      <c r="G54" s="13"/>
      <c r="H54" s="317" t="s">
        <v>35</v>
      </c>
      <c r="I54" s="43"/>
      <c r="J54" s="43"/>
      <c r="K54" s="13"/>
      <c r="L54" s="133"/>
      <c r="M54" s="134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</row>
    <row r="55" ht="18.75" customHeight="1">
      <c r="A55" s="334" t="str">
        <f>B36</f>
        <v/>
      </c>
      <c r="B55" s="136"/>
      <c r="C55" s="137" t="s">
        <v>37</v>
      </c>
      <c r="D55" s="136"/>
      <c r="E55" s="335" t="s">
        <v>36</v>
      </c>
      <c r="F55" s="319"/>
      <c r="G55" s="136"/>
      <c r="H55" s="320"/>
      <c r="I55" s="43"/>
      <c r="J55" s="43"/>
      <c r="K55" s="13"/>
      <c r="L55" s="4"/>
      <c r="M55" s="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2.75" customHeight="1">
      <c r="A56" s="143" t="s">
        <v>39</v>
      </c>
      <c r="B56" s="13"/>
      <c r="C56" s="143" t="s">
        <v>40</v>
      </c>
      <c r="D56" s="13"/>
      <c r="E56" s="336" t="s">
        <v>42</v>
      </c>
      <c r="F56" s="43"/>
      <c r="G56" s="13"/>
      <c r="H56" s="143" t="s">
        <v>43</v>
      </c>
      <c r="I56" s="43"/>
      <c r="J56" s="43"/>
      <c r="K56" s="13"/>
      <c r="L56" s="4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5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5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5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5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5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5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5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5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5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5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5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5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5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5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5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5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5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5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5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5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5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5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5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5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5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5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5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5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5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5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5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5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5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5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5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5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5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5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5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5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5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5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5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5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5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5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5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5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5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5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5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5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5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5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5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5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5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5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5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5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5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5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5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5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5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5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5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5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5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5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5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5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5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5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5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5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5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5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5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5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5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5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5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5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5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5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5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5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5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5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5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5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5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5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5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5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5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5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5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5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5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5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5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5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5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5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5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5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5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5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5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5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5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5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5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5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5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5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5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5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5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5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5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5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5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5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5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5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5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5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5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5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5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5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5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5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5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5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5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5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5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5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5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5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5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5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5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5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5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5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5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5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5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5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5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5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5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5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5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5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5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5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5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5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5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5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5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5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5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5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5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5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5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5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5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5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5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5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5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5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5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5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5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5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5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5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5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5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5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5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5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5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5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5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5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5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5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5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5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5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5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5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5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5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5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5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5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5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5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5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5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5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5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5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5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5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5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5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5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5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5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5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5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5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5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5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5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5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5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5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5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5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5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5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5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5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5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5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5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5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5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5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5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5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5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5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5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5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5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5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5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5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5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5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5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5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5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5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5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5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5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5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5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5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5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5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5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5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5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5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5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5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5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5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5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5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5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5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5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5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5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5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5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5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5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5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5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5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5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5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5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5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5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5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5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5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5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5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5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5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5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5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5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5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5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5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5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5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5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5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5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5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5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5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5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5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5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5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5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5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5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5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5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5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5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5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5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5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5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5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5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5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5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5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5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5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5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5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5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5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5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5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5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5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5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5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5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5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5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5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5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5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5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5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5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5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5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5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5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5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5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5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5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5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5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5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5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5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5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5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5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5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5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5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5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5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5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5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5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5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5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5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5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5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5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5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5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5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5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5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5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5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5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5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5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5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5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5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5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5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5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5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5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5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5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5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5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5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5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5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5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5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5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5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5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5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5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5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5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5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5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5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5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5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5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5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5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5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5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5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5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5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5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5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5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5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5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5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5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5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5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5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5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5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5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5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5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5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5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5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5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5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5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5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5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5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5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5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5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5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5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5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5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5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5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5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5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5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5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5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5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5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5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5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5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5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5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5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5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5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5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5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5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5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5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5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5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5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5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5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5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5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5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5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5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5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5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5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5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5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5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5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5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5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5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5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5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5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5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5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5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5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5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5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5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5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5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5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5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5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5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5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5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5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5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5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5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5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5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5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5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5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5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5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5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5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5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5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5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5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5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5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5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5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5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5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5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5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5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5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5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5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5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5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5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5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5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5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5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5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5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5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5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5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5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5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5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5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5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5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5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5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5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5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5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5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5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5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5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5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5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5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5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5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5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5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5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5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5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5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5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5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5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5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5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5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5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5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5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5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5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5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5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5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5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5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5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5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5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5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5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5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5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5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5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5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5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5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5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5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5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5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5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5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5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5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5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5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5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5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5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5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5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5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5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5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5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5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5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5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5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5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5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5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5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5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5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5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5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5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5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5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5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5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5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5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5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5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5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5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5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5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5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5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5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5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5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5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5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5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5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5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5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5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5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5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5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5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5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5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5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5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5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5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5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5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5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5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5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5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5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5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5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5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5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5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5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5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5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5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5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5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5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5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5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5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5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5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5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5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5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5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5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5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5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5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46">
    <mergeCell ref="D2:I5"/>
    <mergeCell ref="J2:K2"/>
    <mergeCell ref="B8:G8"/>
    <mergeCell ref="H8:I8"/>
    <mergeCell ref="J8:K8"/>
    <mergeCell ref="H9:I9"/>
    <mergeCell ref="J9:K9"/>
    <mergeCell ref="B9:G9"/>
    <mergeCell ref="A11:E11"/>
    <mergeCell ref="J11:K11"/>
    <mergeCell ref="J20:K20"/>
    <mergeCell ref="C26:G26"/>
    <mergeCell ref="H26:K26"/>
    <mergeCell ref="A27:B27"/>
    <mergeCell ref="H27:K27"/>
    <mergeCell ref="C27:D27"/>
    <mergeCell ref="E27:G27"/>
    <mergeCell ref="A28:B28"/>
    <mergeCell ref="C28:D28"/>
    <mergeCell ref="E28:G28"/>
    <mergeCell ref="H28:K28"/>
    <mergeCell ref="J30:K30"/>
    <mergeCell ref="D30:I33"/>
    <mergeCell ref="B36:G36"/>
    <mergeCell ref="H36:I36"/>
    <mergeCell ref="J36:K36"/>
    <mergeCell ref="B37:G37"/>
    <mergeCell ref="H37:I37"/>
    <mergeCell ref="A39:E39"/>
    <mergeCell ref="J37:K37"/>
    <mergeCell ref="J39:K39"/>
    <mergeCell ref="J41:K41"/>
    <mergeCell ref="J42:K42"/>
    <mergeCell ref="J43:K43"/>
    <mergeCell ref="J44:K44"/>
    <mergeCell ref="J48:K48"/>
    <mergeCell ref="C56:D56"/>
    <mergeCell ref="E56:G56"/>
    <mergeCell ref="C54:G54"/>
    <mergeCell ref="H54:K54"/>
    <mergeCell ref="A55:B55"/>
    <mergeCell ref="C55:D55"/>
    <mergeCell ref="E55:G55"/>
    <mergeCell ref="H55:K55"/>
    <mergeCell ref="A56:B56"/>
    <mergeCell ref="H56:K56"/>
  </mergeCells>
  <printOptions horizontalCentered="1"/>
  <pageMargins bottom="0.087" footer="0.0" header="0.0" left="0.049955991150653" right="0.0249779955753265" top="0.13737897566429577"/>
  <pageSetup paperSize="9" orientation="portrait"/>
  <colBreaks count="2" manualBreakCount="2">
    <brk man="1"/>
    <brk id="11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4.57"/>
    <col customWidth="1" min="3" max="3" width="6.0"/>
    <col customWidth="1" min="4" max="4" width="12.14"/>
    <col customWidth="1" min="5" max="5" width="12.0"/>
    <col customWidth="1" min="6" max="6" width="29.86"/>
    <col customWidth="1" min="7" max="9" width="13.14"/>
    <col customWidth="1" min="10" max="10" width="14.86"/>
    <col customWidth="1" min="11" max="11" width="12.57"/>
    <col customWidth="1" min="12" max="12" width="14.29"/>
    <col customWidth="1" min="13" max="13" width="11.57"/>
    <col customWidth="1" min="14" max="14" width="14.29"/>
    <col customWidth="1" min="15" max="15" width="11.29"/>
    <col customWidth="1" min="16" max="26" width="9.29"/>
  </cols>
  <sheetData>
    <row r="1" ht="12.75" customHeight="1">
      <c r="A1" s="4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6"/>
      <c r="C2" s="7"/>
      <c r="D2" s="7"/>
      <c r="E2" s="211"/>
      <c r="F2" s="9" t="s">
        <v>0</v>
      </c>
      <c r="G2" s="10"/>
      <c r="H2" s="10"/>
      <c r="I2" s="10"/>
      <c r="J2" s="11"/>
      <c r="K2" s="12" t="s">
        <v>1</v>
      </c>
      <c r="L2" s="13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4"/>
      <c r="B3" s="14"/>
      <c r="C3" s="15"/>
      <c r="D3" s="15"/>
      <c r="E3" s="212"/>
      <c r="F3" s="17"/>
      <c r="J3" s="18"/>
      <c r="K3" s="19" t="s">
        <v>2</v>
      </c>
      <c r="L3" s="20" t="s">
        <v>3</v>
      </c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/>
      <c r="B4" s="14"/>
      <c r="C4" s="15"/>
      <c r="D4" s="15"/>
      <c r="E4" s="212"/>
      <c r="F4" s="17"/>
      <c r="J4" s="18"/>
      <c r="K4" s="21" t="s">
        <v>4</v>
      </c>
      <c r="L4" s="22" t="s">
        <v>5</v>
      </c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4"/>
      <c r="B5" s="23"/>
      <c r="C5" s="24"/>
      <c r="D5" s="24"/>
      <c r="E5" s="213"/>
      <c r="F5" s="26"/>
      <c r="G5" s="27"/>
      <c r="H5" s="27"/>
      <c r="I5" s="27"/>
      <c r="J5" s="28"/>
      <c r="K5" s="29" t="s">
        <v>6</v>
      </c>
      <c r="L5" s="30" t="s">
        <v>7</v>
      </c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31"/>
      <c r="C6" s="32"/>
      <c r="D6" s="32"/>
      <c r="E6" s="32"/>
      <c r="F6" s="214"/>
      <c r="G6" s="214"/>
      <c r="H6" s="214"/>
      <c r="I6" s="214"/>
      <c r="J6" s="214"/>
      <c r="K6" s="34" t="s">
        <v>8</v>
      </c>
      <c r="L6" s="35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36" t="s">
        <v>9</v>
      </c>
      <c r="C7" s="37"/>
      <c r="D7" s="37"/>
      <c r="E7" s="37"/>
      <c r="F7" s="38"/>
      <c r="G7" s="38"/>
      <c r="H7" s="38"/>
      <c r="I7" s="39"/>
      <c r="J7" s="37"/>
      <c r="K7" s="37"/>
      <c r="L7" s="40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/>
      <c r="B8" s="41" t="s">
        <v>10</v>
      </c>
      <c r="C8" s="148" t="s">
        <v>62</v>
      </c>
      <c r="D8" s="43"/>
      <c r="E8" s="43"/>
      <c r="F8" s="43"/>
      <c r="G8" s="43"/>
      <c r="H8" s="44"/>
      <c r="I8" s="45" t="s">
        <v>12</v>
      </c>
      <c r="J8" s="44"/>
      <c r="K8" s="337" t="s">
        <v>63</v>
      </c>
      <c r="L8" s="13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/>
      <c r="B9" s="41" t="s">
        <v>13</v>
      </c>
      <c r="C9" s="150" t="s">
        <v>64</v>
      </c>
      <c r="D9" s="43"/>
      <c r="E9" s="43"/>
      <c r="F9" s="43"/>
      <c r="G9" s="43"/>
      <c r="H9" s="13"/>
      <c r="I9" s="45" t="s">
        <v>15</v>
      </c>
      <c r="J9" s="44"/>
      <c r="K9" s="48"/>
      <c r="L9" s="13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36" t="s">
        <v>16</v>
      </c>
      <c r="C10" s="37"/>
      <c r="D10" s="37"/>
      <c r="E10" s="37"/>
      <c r="F10" s="38"/>
      <c r="G10" s="38"/>
      <c r="H10" s="38"/>
      <c r="I10" s="39"/>
      <c r="J10" s="37"/>
      <c r="K10" s="37"/>
      <c r="L10" s="40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4"/>
      <c r="B11" s="151" t="s">
        <v>17</v>
      </c>
      <c r="C11" s="152"/>
      <c r="D11" s="152"/>
      <c r="E11" s="152"/>
      <c r="F11" s="153"/>
      <c r="G11" s="154" t="s">
        <v>18</v>
      </c>
      <c r="H11" s="154" t="s">
        <v>19</v>
      </c>
      <c r="I11" s="62" t="s">
        <v>20</v>
      </c>
      <c r="J11" s="62" t="s">
        <v>21</v>
      </c>
      <c r="K11" s="58" t="s">
        <v>22</v>
      </c>
      <c r="L11" s="13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/>
      <c r="B12" s="155"/>
      <c r="C12" s="156"/>
      <c r="D12" s="157"/>
      <c r="E12" s="156"/>
      <c r="F12" s="158"/>
      <c r="G12" s="159"/>
      <c r="H12" s="160"/>
      <c r="I12" s="130"/>
      <c r="J12" s="130"/>
      <c r="K12" s="161"/>
      <c r="L12" s="162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163"/>
      <c r="C13" s="164"/>
      <c r="D13" s="165"/>
      <c r="E13" s="91"/>
      <c r="F13" s="166"/>
      <c r="G13" s="83"/>
      <c r="H13" s="167"/>
      <c r="I13" s="168"/>
      <c r="J13" s="168"/>
      <c r="K13" s="161"/>
      <c r="L13" s="162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169" t="s">
        <v>65</v>
      </c>
      <c r="C14" s="91"/>
      <c r="D14" s="171"/>
      <c r="E14" s="91"/>
      <c r="F14" s="172"/>
      <c r="G14" s="338" t="s">
        <v>24</v>
      </c>
      <c r="H14" s="339" t="s">
        <v>25</v>
      </c>
      <c r="I14" s="176" t="s">
        <v>26</v>
      </c>
      <c r="J14" s="176" t="s">
        <v>66</v>
      </c>
      <c r="K14" s="161">
        <v>115712.0</v>
      </c>
      <c r="L14" s="162"/>
      <c r="M14" s="4"/>
      <c r="N14" s="5">
        <v>351.0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125" t="s">
        <v>67</v>
      </c>
      <c r="C15" s="91"/>
      <c r="D15" s="165"/>
      <c r="E15" s="340"/>
      <c r="F15" s="172"/>
      <c r="G15" s="181"/>
      <c r="H15" s="164"/>
      <c r="I15" s="125"/>
      <c r="J15" s="125"/>
      <c r="K15" s="161"/>
      <c r="L15" s="162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178"/>
      <c r="C16" s="91"/>
      <c r="D16" s="171"/>
      <c r="E16" s="340"/>
      <c r="F16" s="164"/>
      <c r="G16" s="181"/>
      <c r="H16" s="164"/>
      <c r="I16" s="125"/>
      <c r="J16" s="125"/>
      <c r="K16" s="161"/>
      <c r="L16" s="162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341"/>
      <c r="C17" s="342"/>
      <c r="D17" s="165"/>
      <c r="E17" s="340"/>
      <c r="F17" s="164"/>
      <c r="G17" s="181"/>
      <c r="H17" s="164"/>
      <c r="I17" s="125"/>
      <c r="J17" s="125"/>
      <c r="K17" s="161"/>
      <c r="L17" s="162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343"/>
      <c r="C18" s="340"/>
      <c r="D18" s="165"/>
      <c r="E18" s="340"/>
      <c r="F18" s="164"/>
      <c r="G18" s="181"/>
      <c r="H18" s="164"/>
      <c r="I18" s="125"/>
      <c r="J18" s="125"/>
      <c r="K18" s="183"/>
      <c r="L18" s="184"/>
      <c r="M18" s="4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178"/>
      <c r="C19" s="344"/>
      <c r="D19" s="91"/>
      <c r="E19" s="182"/>
      <c r="F19" s="164"/>
      <c r="G19" s="181"/>
      <c r="H19" s="164"/>
      <c r="I19" s="125"/>
      <c r="J19" s="125"/>
      <c r="K19" s="161"/>
      <c r="L19" s="162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4"/>
      <c r="B20" s="185" t="s">
        <v>28</v>
      </c>
      <c r="C20" s="186"/>
      <c r="D20" s="187"/>
      <c r="E20" s="188"/>
      <c r="F20" s="188"/>
      <c r="G20" s="188"/>
      <c r="H20" s="188"/>
      <c r="I20" s="189"/>
      <c r="J20" s="190" t="s">
        <v>29</v>
      </c>
      <c r="K20" s="191">
        <f>K14</f>
        <v>115712</v>
      </c>
      <c r="L20" s="192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193" t="s">
        <v>30</v>
      </c>
      <c r="C21" s="194"/>
      <c r="D21" s="194"/>
      <c r="E21" s="194"/>
      <c r="F21" s="195"/>
      <c r="G21" s="195"/>
      <c r="H21" s="195"/>
      <c r="I21" s="170"/>
      <c r="J21" s="196"/>
      <c r="K21" s="196"/>
      <c r="L21" s="197"/>
      <c r="M21" s="4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121" t="s">
        <v>31</v>
      </c>
      <c r="C22" s="122"/>
      <c r="D22" s="198" t="s">
        <v>32</v>
      </c>
      <c r="E22" s="199"/>
      <c r="F22" s="123" t="s">
        <v>33</v>
      </c>
      <c r="G22" s="13"/>
      <c r="H22" s="124" t="s">
        <v>34</v>
      </c>
      <c r="I22" s="13"/>
      <c r="J22" s="124" t="s">
        <v>35</v>
      </c>
      <c r="K22" s="43"/>
      <c r="L22" s="13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33"/>
      <c r="B23" s="125"/>
      <c r="C23" s="126"/>
      <c r="D23" s="125"/>
      <c r="E23" s="126"/>
      <c r="F23" s="127"/>
      <c r="G23" s="128"/>
      <c r="H23" s="200"/>
      <c r="I23" s="201"/>
      <c r="J23" s="130"/>
      <c r="K23" s="131"/>
      <c r="L23" s="132"/>
      <c r="M23" s="133"/>
      <c r="N23" s="134"/>
      <c r="O23" s="134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8.75" customHeight="1">
      <c r="A24" s="4"/>
      <c r="B24" s="202"/>
      <c r="C24" s="136"/>
      <c r="D24" s="202"/>
      <c r="E24" s="136"/>
      <c r="F24" s="345" t="s">
        <v>68</v>
      </c>
      <c r="G24" s="139"/>
      <c r="H24" s="346" t="s">
        <v>69</v>
      </c>
      <c r="I24" s="136"/>
      <c r="J24" s="140"/>
      <c r="K24" s="141"/>
      <c r="L24" s="142"/>
      <c r="M24" s="4"/>
      <c r="N24" s="5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143" t="s">
        <v>39</v>
      </c>
      <c r="C25" s="13"/>
      <c r="D25" s="143" t="s">
        <v>40</v>
      </c>
      <c r="E25" s="13"/>
      <c r="F25" s="143" t="s">
        <v>41</v>
      </c>
      <c r="G25" s="13"/>
      <c r="H25" s="144" t="s">
        <v>42</v>
      </c>
      <c r="I25" s="13"/>
      <c r="J25" s="143" t="s">
        <v>43</v>
      </c>
      <c r="K25" s="43"/>
      <c r="L25" s="13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145"/>
      <c r="C26" s="145"/>
      <c r="D26" s="145"/>
      <c r="E26" s="145"/>
      <c r="F26" s="145"/>
      <c r="G26" s="145"/>
      <c r="H26" s="145"/>
      <c r="I26" s="145"/>
      <c r="J26" s="177"/>
      <c r="K26" s="177"/>
      <c r="L26" s="177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347"/>
      <c r="C30" s="347"/>
      <c r="D30" s="347"/>
      <c r="E30" s="348"/>
      <c r="K30" s="349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347"/>
      <c r="C31" s="347"/>
      <c r="D31" s="347"/>
      <c r="K31" s="134"/>
      <c r="L31" s="133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347"/>
      <c r="C32" s="347"/>
      <c r="D32" s="347"/>
      <c r="K32" s="134"/>
      <c r="L32" s="133"/>
      <c r="M32" s="4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347"/>
      <c r="C33" s="347"/>
      <c r="D33" s="347"/>
      <c r="K33" s="134"/>
      <c r="L33" s="350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351"/>
      <c r="C34" s="351"/>
      <c r="D34" s="351"/>
      <c r="E34" s="351"/>
      <c r="F34" s="4"/>
      <c r="G34" s="4"/>
      <c r="H34" s="4"/>
      <c r="I34" s="4"/>
      <c r="J34" s="4"/>
      <c r="K34" s="4"/>
      <c r="L34" s="352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353"/>
      <c r="C35" s="353"/>
      <c r="D35" s="353"/>
      <c r="E35" s="353"/>
      <c r="F35" s="205"/>
      <c r="G35" s="205"/>
      <c r="H35" s="205"/>
      <c r="I35" s="210"/>
      <c r="J35" s="353"/>
      <c r="K35" s="353"/>
      <c r="L35" s="206"/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353"/>
      <c r="C36" s="205"/>
      <c r="G36" s="205"/>
      <c r="H36" s="205"/>
      <c r="I36" s="353"/>
      <c r="K36" s="205"/>
      <c r="M36" s="4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353"/>
      <c r="C37" s="205"/>
      <c r="G37" s="205"/>
      <c r="H37" s="205"/>
      <c r="I37" s="353"/>
      <c r="K37" s="205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353"/>
      <c r="C38" s="205"/>
      <c r="M38" s="4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353"/>
      <c r="C39" s="353"/>
      <c r="D39" s="353"/>
      <c r="E39" s="353"/>
      <c r="F39" s="205"/>
      <c r="G39" s="205"/>
      <c r="H39" s="205"/>
      <c r="I39" s="210"/>
      <c r="J39" s="353"/>
      <c r="K39" s="353"/>
      <c r="L39" s="206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353"/>
      <c r="C40" s="353"/>
      <c r="D40" s="353"/>
      <c r="E40" s="353"/>
      <c r="F40" s="205"/>
      <c r="G40" s="205"/>
      <c r="H40" s="205"/>
      <c r="I40" s="210"/>
      <c r="J40" s="353"/>
      <c r="K40" s="353"/>
      <c r="L40" s="206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354"/>
      <c r="G41" s="354"/>
      <c r="H41" s="354"/>
      <c r="I41" s="354"/>
      <c r="J41" s="354"/>
      <c r="K41" s="354"/>
      <c r="L41" s="35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353"/>
      <c r="C42" s="353"/>
      <c r="D42" s="353"/>
      <c r="E42" s="353"/>
      <c r="F42" s="210"/>
      <c r="G42" s="210"/>
      <c r="H42" s="210"/>
      <c r="I42" s="210"/>
      <c r="J42" s="353"/>
      <c r="K42" s="353"/>
      <c r="L42" s="355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353"/>
      <c r="C43" s="353"/>
      <c r="D43" s="353"/>
      <c r="E43" s="353"/>
      <c r="F43" s="210"/>
      <c r="G43" s="210"/>
      <c r="H43" s="210"/>
      <c r="I43" s="210"/>
      <c r="J43" s="353"/>
      <c r="K43" s="353"/>
      <c r="L43" s="355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353"/>
      <c r="C44" s="353"/>
      <c r="D44" s="353"/>
      <c r="E44" s="353"/>
      <c r="F44" s="210"/>
      <c r="G44" s="210"/>
      <c r="H44" s="210"/>
      <c r="I44" s="210"/>
      <c r="J44" s="206"/>
      <c r="K44" s="206"/>
      <c r="L44" s="356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353"/>
      <c r="C45" s="353"/>
      <c r="D45" s="353"/>
      <c r="E45" s="353"/>
      <c r="F45" s="210"/>
      <c r="G45" s="210"/>
      <c r="H45" s="210"/>
      <c r="I45" s="210"/>
      <c r="J45" s="206"/>
      <c r="K45" s="206"/>
      <c r="L45" s="355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210"/>
      <c r="C46" s="210"/>
      <c r="D46" s="210"/>
      <c r="E46" s="210"/>
      <c r="F46" s="210"/>
      <c r="G46" s="210"/>
      <c r="H46" s="210"/>
      <c r="I46" s="210"/>
      <c r="J46" s="206"/>
      <c r="K46" s="206"/>
      <c r="L46" s="206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353"/>
      <c r="C47" s="353"/>
      <c r="D47" s="353"/>
      <c r="E47" s="353"/>
      <c r="F47" s="205"/>
      <c r="G47" s="205"/>
      <c r="H47" s="205"/>
      <c r="I47" s="210"/>
      <c r="J47" s="357"/>
      <c r="K47" s="357"/>
      <c r="M47" s="4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354"/>
      <c r="G48" s="354"/>
      <c r="H48" s="354"/>
      <c r="I48" s="354"/>
      <c r="J48" s="355"/>
      <c r="K48" s="355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353"/>
      <c r="C49" s="353"/>
      <c r="D49" s="353"/>
      <c r="E49" s="353"/>
      <c r="F49" s="210"/>
      <c r="G49" s="210"/>
      <c r="H49" s="210"/>
      <c r="I49" s="210"/>
      <c r="J49" s="357"/>
      <c r="K49" s="357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353"/>
      <c r="C50" s="353"/>
      <c r="D50" s="353"/>
      <c r="E50" s="353"/>
      <c r="F50" s="210"/>
      <c r="G50" s="210"/>
      <c r="H50" s="210"/>
      <c r="I50" s="210"/>
      <c r="J50" s="355"/>
      <c r="K50" s="355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353"/>
      <c r="C51" s="353"/>
      <c r="D51" s="353"/>
      <c r="E51" s="353"/>
      <c r="F51" s="210"/>
      <c r="G51" s="210"/>
      <c r="H51" s="210"/>
      <c r="I51" s="210"/>
      <c r="J51" s="357"/>
      <c r="K51" s="357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204"/>
      <c r="C52" s="204"/>
      <c r="D52" s="204"/>
      <c r="E52" s="204"/>
      <c r="F52" s="205"/>
      <c r="G52" s="205"/>
      <c r="H52" s="205"/>
      <c r="I52" s="206"/>
      <c r="J52" s="207"/>
      <c r="K52" s="207"/>
      <c r="L52" s="207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208"/>
      <c r="C53" s="208"/>
      <c r="D53" s="208"/>
      <c r="E53" s="208"/>
      <c r="F53" s="208"/>
      <c r="G53" s="208"/>
      <c r="H53" s="208"/>
      <c r="I53" s="209"/>
      <c r="J53" s="208"/>
      <c r="K53" s="208"/>
      <c r="L53" s="206"/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33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133"/>
      <c r="N54" s="134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8.75" customHeight="1">
      <c r="A55" s="4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204"/>
      <c r="D56" s="204"/>
      <c r="F56" s="204"/>
      <c r="G56" s="204"/>
      <c r="H56" s="204"/>
      <c r="I56" s="204"/>
      <c r="K56" s="20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0">
    <mergeCell ref="F2:J5"/>
    <mergeCell ref="K2:L2"/>
    <mergeCell ref="C8:H8"/>
    <mergeCell ref="I8:J8"/>
    <mergeCell ref="K8:L8"/>
    <mergeCell ref="I9:J9"/>
    <mergeCell ref="K9:L9"/>
    <mergeCell ref="C9:H9"/>
    <mergeCell ref="B11:F11"/>
    <mergeCell ref="K11:L11"/>
    <mergeCell ref="K12:L12"/>
    <mergeCell ref="K13:L13"/>
    <mergeCell ref="K14:L14"/>
    <mergeCell ref="K15:L15"/>
    <mergeCell ref="K16:L16"/>
    <mergeCell ref="K17:L17"/>
    <mergeCell ref="K19:L19"/>
    <mergeCell ref="D20:H20"/>
    <mergeCell ref="K20:L20"/>
    <mergeCell ref="H22:I22"/>
    <mergeCell ref="J22:L22"/>
    <mergeCell ref="F22:G22"/>
    <mergeCell ref="B24:C24"/>
    <mergeCell ref="D24:E24"/>
    <mergeCell ref="H24:I24"/>
    <mergeCell ref="B25:C25"/>
    <mergeCell ref="D25:E25"/>
    <mergeCell ref="F25:G25"/>
    <mergeCell ref="I36:J36"/>
    <mergeCell ref="I37:J37"/>
    <mergeCell ref="K47:L47"/>
    <mergeCell ref="K49:L49"/>
    <mergeCell ref="K50:L50"/>
    <mergeCell ref="K51:L51"/>
    <mergeCell ref="H25:I25"/>
    <mergeCell ref="J25:L25"/>
    <mergeCell ref="E30:J33"/>
    <mergeCell ref="K30:L30"/>
    <mergeCell ref="C36:F36"/>
    <mergeCell ref="K36:L36"/>
    <mergeCell ref="K37:L37"/>
    <mergeCell ref="I56:J56"/>
    <mergeCell ref="K56:L56"/>
    <mergeCell ref="C37:F37"/>
    <mergeCell ref="C38:L38"/>
    <mergeCell ref="B41:F41"/>
    <mergeCell ref="B48:F48"/>
    <mergeCell ref="K48:L48"/>
    <mergeCell ref="B56:C56"/>
    <mergeCell ref="D56:E56"/>
  </mergeCells>
  <printOptions horizontalCentered="1"/>
  <pageMargins bottom="0.25" footer="0.0" header="0.0" left="0.0" right="0.0" top="0.2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4.57"/>
    <col customWidth="1" min="3" max="3" width="6.0"/>
    <col customWidth="1" min="4" max="4" width="12.14"/>
    <col customWidth="1" min="5" max="5" width="12.0"/>
    <col customWidth="1" min="6" max="6" width="29.86"/>
    <col customWidth="1" min="7" max="9" width="13.14"/>
    <col customWidth="1" min="10" max="10" width="14.86"/>
    <col customWidth="1" min="11" max="11" width="12.57"/>
    <col customWidth="1" min="12" max="12" width="14.29"/>
    <col customWidth="1" min="13" max="13" width="11.57"/>
    <col customWidth="1" min="14" max="14" width="14.29"/>
    <col customWidth="1" min="15" max="15" width="11.29"/>
    <col customWidth="1" min="16" max="26" width="9.29"/>
  </cols>
  <sheetData>
    <row r="1" ht="12.75" customHeight="1">
      <c r="A1" s="4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6"/>
      <c r="C2" s="7"/>
      <c r="D2" s="7"/>
      <c r="E2" s="211"/>
      <c r="F2" s="9" t="s">
        <v>0</v>
      </c>
      <c r="G2" s="10"/>
      <c r="H2" s="10"/>
      <c r="I2" s="10"/>
      <c r="J2" s="11"/>
      <c r="K2" s="12" t="s">
        <v>1</v>
      </c>
      <c r="L2" s="13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4"/>
      <c r="B3" s="14"/>
      <c r="C3" s="15"/>
      <c r="D3" s="15"/>
      <c r="E3" s="212"/>
      <c r="F3" s="17"/>
      <c r="J3" s="18"/>
      <c r="K3" s="19" t="s">
        <v>2</v>
      </c>
      <c r="L3" s="20" t="s">
        <v>3</v>
      </c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/>
      <c r="B4" s="14"/>
      <c r="C4" s="15"/>
      <c r="D4" s="15"/>
      <c r="E4" s="212"/>
      <c r="F4" s="17"/>
      <c r="J4" s="18"/>
      <c r="K4" s="21" t="s">
        <v>4</v>
      </c>
      <c r="L4" s="22" t="s">
        <v>5</v>
      </c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4"/>
      <c r="B5" s="23"/>
      <c r="C5" s="24"/>
      <c r="D5" s="24"/>
      <c r="E5" s="213"/>
      <c r="F5" s="26"/>
      <c r="G5" s="27"/>
      <c r="H5" s="27"/>
      <c r="I5" s="27"/>
      <c r="J5" s="28"/>
      <c r="K5" s="29" t="s">
        <v>6</v>
      </c>
      <c r="L5" s="30" t="s">
        <v>7</v>
      </c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31"/>
      <c r="C6" s="32"/>
      <c r="D6" s="32"/>
      <c r="E6" s="32"/>
      <c r="F6" s="214"/>
      <c r="G6" s="214"/>
      <c r="H6" s="214"/>
      <c r="I6" s="214"/>
      <c r="J6" s="214"/>
      <c r="K6" s="34" t="s">
        <v>8</v>
      </c>
      <c r="L6" s="35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36" t="s">
        <v>9</v>
      </c>
      <c r="C7" s="37"/>
      <c r="D7" s="37"/>
      <c r="E7" s="37"/>
      <c r="F7" s="38"/>
      <c r="G7" s="38"/>
      <c r="H7" s="38"/>
      <c r="I7" s="39"/>
      <c r="J7" s="37"/>
      <c r="K7" s="37"/>
      <c r="L7" s="40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/>
      <c r="B8" s="41" t="s">
        <v>10</v>
      </c>
      <c r="C8" s="358" t="s">
        <v>70</v>
      </c>
      <c r="D8" s="43"/>
      <c r="E8" s="43"/>
      <c r="F8" s="43"/>
      <c r="G8" s="43"/>
      <c r="H8" s="44"/>
      <c r="I8" s="45" t="s">
        <v>12</v>
      </c>
      <c r="J8" s="44"/>
      <c r="K8" s="149" t="s">
        <v>71</v>
      </c>
      <c r="L8" s="13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/>
      <c r="B9" s="41" t="s">
        <v>13</v>
      </c>
      <c r="C9" s="150" t="s">
        <v>72</v>
      </c>
      <c r="D9" s="43"/>
      <c r="E9" s="43"/>
      <c r="F9" s="43"/>
      <c r="G9" s="43"/>
      <c r="H9" s="13"/>
      <c r="I9" s="45" t="s">
        <v>15</v>
      </c>
      <c r="J9" s="44"/>
      <c r="K9" s="150" t="s">
        <v>73</v>
      </c>
      <c r="L9" s="13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36" t="s">
        <v>16</v>
      </c>
      <c r="C10" s="37"/>
      <c r="D10" s="37"/>
      <c r="E10" s="37"/>
      <c r="F10" s="38"/>
      <c r="G10" s="38"/>
      <c r="H10" s="38"/>
      <c r="I10" s="39"/>
      <c r="J10" s="37"/>
      <c r="K10" s="37"/>
      <c r="L10" s="40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4"/>
      <c r="B11" s="151" t="s">
        <v>17</v>
      </c>
      <c r="C11" s="152"/>
      <c r="D11" s="152"/>
      <c r="E11" s="152"/>
      <c r="F11" s="153"/>
      <c r="G11" s="154" t="s">
        <v>18</v>
      </c>
      <c r="H11" s="154" t="s">
        <v>19</v>
      </c>
      <c r="I11" s="62" t="s">
        <v>20</v>
      </c>
      <c r="J11" s="62" t="s">
        <v>21</v>
      </c>
      <c r="K11" s="58" t="s">
        <v>22</v>
      </c>
      <c r="L11" s="13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/>
      <c r="B12" s="155"/>
      <c r="C12" s="156"/>
      <c r="D12" s="157"/>
      <c r="E12" s="156"/>
      <c r="F12" s="158"/>
      <c r="G12" s="159"/>
      <c r="H12" s="160"/>
      <c r="I12" s="130"/>
      <c r="J12" s="130"/>
      <c r="K12" s="161"/>
      <c r="L12" s="162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163"/>
      <c r="C13" s="164"/>
      <c r="D13" s="165"/>
      <c r="E13" s="91"/>
      <c r="F13" s="166"/>
      <c r="G13" s="83"/>
      <c r="H13" s="167"/>
      <c r="I13" s="168"/>
      <c r="J13" s="168"/>
      <c r="K13" s="161"/>
      <c r="L13" s="162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359" t="s">
        <v>74</v>
      </c>
      <c r="C14" s="91"/>
      <c r="D14" s="171"/>
      <c r="E14" s="91"/>
      <c r="F14" s="172"/>
      <c r="G14" s="173" t="s">
        <v>75</v>
      </c>
      <c r="H14" s="174" t="s">
        <v>76</v>
      </c>
      <c r="I14" s="175" t="s">
        <v>76</v>
      </c>
      <c r="J14" s="175" t="s">
        <v>77</v>
      </c>
      <c r="K14" s="360">
        <v>110264.536</v>
      </c>
      <c r="L14" s="162"/>
      <c r="M14" s="4"/>
      <c r="N14" s="5">
        <v>351.0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125"/>
      <c r="C15" s="91"/>
      <c r="D15" s="165"/>
      <c r="E15" s="340"/>
      <c r="F15" s="172"/>
      <c r="G15" s="361" t="s">
        <v>78</v>
      </c>
      <c r="H15" s="164"/>
      <c r="I15" s="125"/>
      <c r="J15" s="125"/>
      <c r="K15" s="161"/>
      <c r="L15" s="162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178"/>
      <c r="C16" s="91"/>
      <c r="D16" s="171"/>
      <c r="E16" s="340"/>
      <c r="F16" s="164"/>
      <c r="G16" s="361" t="s">
        <v>24</v>
      </c>
      <c r="H16" s="164"/>
      <c r="I16" s="125"/>
      <c r="J16" s="125"/>
      <c r="K16" s="161"/>
      <c r="L16" s="162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178"/>
      <c r="C17" s="170"/>
      <c r="D17" s="165"/>
      <c r="E17" s="340"/>
      <c r="F17" s="164"/>
      <c r="G17" s="181"/>
      <c r="H17" s="164"/>
      <c r="I17" s="125"/>
      <c r="J17" s="125"/>
      <c r="K17" s="161"/>
      <c r="L17" s="162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178"/>
      <c r="C18" s="170"/>
      <c r="D18" s="165"/>
      <c r="E18" s="340"/>
      <c r="F18" s="164"/>
      <c r="G18" s="181"/>
      <c r="H18" s="164"/>
      <c r="I18" s="125"/>
      <c r="J18" s="125"/>
      <c r="K18" s="183"/>
      <c r="L18" s="184"/>
      <c r="M18" s="4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178"/>
      <c r="C19" s="164"/>
      <c r="D19" s="91"/>
      <c r="E19" s="182"/>
      <c r="F19" s="164"/>
      <c r="G19" s="181"/>
      <c r="H19" s="164"/>
      <c r="I19" s="125"/>
      <c r="J19" s="125"/>
      <c r="K19" s="161"/>
      <c r="L19" s="162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4"/>
      <c r="B20" s="185" t="s">
        <v>28</v>
      </c>
      <c r="C20" s="186"/>
      <c r="D20" s="187"/>
      <c r="E20" s="188"/>
      <c r="F20" s="188"/>
      <c r="G20" s="188"/>
      <c r="H20" s="188"/>
      <c r="I20" s="189"/>
      <c r="J20" s="190" t="s">
        <v>29</v>
      </c>
      <c r="K20" s="191">
        <f>SUM(K12:L19)</f>
        <v>110264.536</v>
      </c>
      <c r="L20" s="192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193" t="s">
        <v>30</v>
      </c>
      <c r="C21" s="194"/>
      <c r="D21" s="194"/>
      <c r="E21" s="194"/>
      <c r="F21" s="195"/>
      <c r="G21" s="195"/>
      <c r="H21" s="195"/>
      <c r="I21" s="170"/>
      <c r="J21" s="196"/>
      <c r="K21" s="196"/>
      <c r="L21" s="197"/>
      <c r="M21" s="4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121" t="s">
        <v>31</v>
      </c>
      <c r="C22" s="122"/>
      <c r="D22" s="198" t="s">
        <v>32</v>
      </c>
      <c r="E22" s="199"/>
      <c r="F22" s="123" t="s">
        <v>33</v>
      </c>
      <c r="G22" s="13"/>
      <c r="H22" s="124" t="s">
        <v>34</v>
      </c>
      <c r="I22" s="13"/>
      <c r="J22" s="124" t="s">
        <v>35</v>
      </c>
      <c r="K22" s="43"/>
      <c r="L22" s="13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33"/>
      <c r="B23" s="125"/>
      <c r="C23" s="126"/>
      <c r="D23" s="125"/>
      <c r="E23" s="126"/>
      <c r="F23" s="127"/>
      <c r="G23" s="128"/>
      <c r="H23" s="200"/>
      <c r="I23" s="201"/>
      <c r="J23" s="130"/>
      <c r="K23" s="131"/>
      <c r="L23" s="132"/>
      <c r="M23" s="133"/>
      <c r="N23" s="134"/>
      <c r="O23" s="134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8.75" customHeight="1">
      <c r="A24" s="4"/>
      <c r="B24" s="202"/>
      <c r="C24" s="136"/>
      <c r="D24" s="202"/>
      <c r="E24" s="136"/>
      <c r="F24" s="345" t="s">
        <v>79</v>
      </c>
      <c r="G24" s="139"/>
      <c r="H24" s="346" t="s">
        <v>69</v>
      </c>
      <c r="I24" s="136"/>
      <c r="J24" s="140"/>
      <c r="K24" s="141"/>
      <c r="L24" s="142"/>
      <c r="M24" s="4"/>
      <c r="N24" s="5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143" t="s">
        <v>39</v>
      </c>
      <c r="C25" s="13"/>
      <c r="D25" s="143" t="s">
        <v>40</v>
      </c>
      <c r="E25" s="13"/>
      <c r="F25" s="143" t="s">
        <v>41</v>
      </c>
      <c r="G25" s="13"/>
      <c r="H25" s="144" t="s">
        <v>42</v>
      </c>
      <c r="I25" s="13"/>
      <c r="J25" s="143" t="s">
        <v>43</v>
      </c>
      <c r="K25" s="43"/>
      <c r="L25" s="13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145"/>
      <c r="C26" s="145"/>
      <c r="D26" s="145"/>
      <c r="E26" s="145"/>
      <c r="F26" s="145"/>
      <c r="G26" s="145"/>
      <c r="H26" s="145"/>
      <c r="I26" s="145"/>
      <c r="J26" s="177"/>
      <c r="K26" s="177"/>
      <c r="L26" s="177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347"/>
      <c r="C30" s="347"/>
      <c r="D30" s="347"/>
      <c r="E30" s="348"/>
      <c r="K30" s="349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347"/>
      <c r="C31" s="347"/>
      <c r="D31" s="347"/>
      <c r="K31" s="134"/>
      <c r="L31" s="133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347"/>
      <c r="C32" s="347"/>
      <c r="D32" s="347"/>
      <c r="K32" s="134"/>
      <c r="L32" s="133"/>
      <c r="M32" s="4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347"/>
      <c r="C33" s="347"/>
      <c r="D33" s="347"/>
      <c r="K33" s="134"/>
      <c r="L33" s="350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351"/>
      <c r="C34" s="351"/>
      <c r="D34" s="351"/>
      <c r="E34" s="351"/>
      <c r="F34" s="4"/>
      <c r="G34" s="4"/>
      <c r="H34" s="4"/>
      <c r="I34" s="4"/>
      <c r="J34" s="4"/>
      <c r="K34" s="4"/>
      <c r="L34" s="352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353"/>
      <c r="C35" s="353"/>
      <c r="D35" s="353"/>
      <c r="E35" s="353"/>
      <c r="F35" s="205"/>
      <c r="G35" s="205"/>
      <c r="H35" s="205"/>
      <c r="I35" s="210"/>
      <c r="J35" s="353"/>
      <c r="K35" s="353"/>
      <c r="L35" s="206"/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353"/>
      <c r="C36" s="205"/>
      <c r="G36" s="205"/>
      <c r="H36" s="205"/>
      <c r="I36" s="353"/>
      <c r="K36" s="205"/>
      <c r="M36" s="4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353"/>
      <c r="C37" s="205"/>
      <c r="G37" s="205"/>
      <c r="H37" s="205"/>
      <c r="I37" s="353"/>
      <c r="K37" s="205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353"/>
      <c r="C38" s="205"/>
      <c r="M38" s="4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353"/>
      <c r="C39" s="353"/>
      <c r="D39" s="353"/>
      <c r="E39" s="353"/>
      <c r="F39" s="205"/>
      <c r="G39" s="205"/>
      <c r="H39" s="205"/>
      <c r="I39" s="210"/>
      <c r="J39" s="353"/>
      <c r="K39" s="353"/>
      <c r="L39" s="206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353"/>
      <c r="C40" s="353"/>
      <c r="D40" s="353"/>
      <c r="E40" s="353"/>
      <c r="F40" s="205"/>
      <c r="G40" s="205"/>
      <c r="H40" s="205"/>
      <c r="I40" s="210"/>
      <c r="J40" s="353"/>
      <c r="K40" s="353"/>
      <c r="L40" s="206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354"/>
      <c r="G41" s="354"/>
      <c r="H41" s="354"/>
      <c r="I41" s="354"/>
      <c r="J41" s="354"/>
      <c r="K41" s="354"/>
      <c r="L41" s="35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353"/>
      <c r="C42" s="353"/>
      <c r="D42" s="353"/>
      <c r="E42" s="353"/>
      <c r="F42" s="210"/>
      <c r="G42" s="210"/>
      <c r="H42" s="210"/>
      <c r="I42" s="210"/>
      <c r="J42" s="353"/>
      <c r="K42" s="353"/>
      <c r="L42" s="355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353"/>
      <c r="C43" s="353"/>
      <c r="D43" s="353"/>
      <c r="E43" s="353"/>
      <c r="F43" s="210"/>
      <c r="G43" s="210"/>
      <c r="H43" s="210"/>
      <c r="I43" s="210"/>
      <c r="J43" s="353"/>
      <c r="K43" s="353"/>
      <c r="L43" s="355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353"/>
      <c r="C44" s="353"/>
      <c r="D44" s="353"/>
      <c r="E44" s="353"/>
      <c r="F44" s="210"/>
      <c r="G44" s="210"/>
      <c r="H44" s="210"/>
      <c r="I44" s="210"/>
      <c r="J44" s="206"/>
      <c r="K44" s="206"/>
      <c r="L44" s="356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353"/>
      <c r="C45" s="353"/>
      <c r="D45" s="353"/>
      <c r="E45" s="353"/>
      <c r="F45" s="210"/>
      <c r="G45" s="210"/>
      <c r="H45" s="210"/>
      <c r="I45" s="210"/>
      <c r="J45" s="206"/>
      <c r="K45" s="206"/>
      <c r="L45" s="355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210"/>
      <c r="C46" s="210"/>
      <c r="D46" s="210"/>
      <c r="E46" s="210"/>
      <c r="F46" s="210"/>
      <c r="G46" s="210"/>
      <c r="H46" s="210"/>
      <c r="I46" s="210"/>
      <c r="J46" s="206"/>
      <c r="K46" s="206"/>
      <c r="L46" s="206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353"/>
      <c r="C47" s="353"/>
      <c r="D47" s="353"/>
      <c r="E47" s="353"/>
      <c r="F47" s="205"/>
      <c r="G47" s="205"/>
      <c r="H47" s="205"/>
      <c r="I47" s="210"/>
      <c r="J47" s="357"/>
      <c r="K47" s="357"/>
      <c r="M47" s="4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354"/>
      <c r="G48" s="354"/>
      <c r="H48" s="354"/>
      <c r="I48" s="354"/>
      <c r="J48" s="355"/>
      <c r="K48" s="355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353"/>
      <c r="C49" s="353"/>
      <c r="D49" s="353"/>
      <c r="E49" s="353"/>
      <c r="F49" s="210"/>
      <c r="G49" s="210"/>
      <c r="H49" s="210"/>
      <c r="I49" s="210"/>
      <c r="J49" s="357"/>
      <c r="K49" s="357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353"/>
      <c r="C50" s="353"/>
      <c r="D50" s="353"/>
      <c r="E50" s="353"/>
      <c r="F50" s="210"/>
      <c r="G50" s="210"/>
      <c r="H50" s="210"/>
      <c r="I50" s="210"/>
      <c r="J50" s="355"/>
      <c r="K50" s="355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353"/>
      <c r="C51" s="353"/>
      <c r="D51" s="353"/>
      <c r="E51" s="353"/>
      <c r="F51" s="210"/>
      <c r="G51" s="210"/>
      <c r="H51" s="210"/>
      <c r="I51" s="210"/>
      <c r="J51" s="357"/>
      <c r="K51" s="357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204"/>
      <c r="C52" s="204"/>
      <c r="D52" s="204"/>
      <c r="E52" s="204"/>
      <c r="F52" s="205"/>
      <c r="G52" s="205"/>
      <c r="H52" s="205"/>
      <c r="I52" s="206"/>
      <c r="J52" s="207"/>
      <c r="K52" s="207"/>
      <c r="L52" s="207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208"/>
      <c r="C53" s="208"/>
      <c r="D53" s="208"/>
      <c r="E53" s="208"/>
      <c r="F53" s="208"/>
      <c r="G53" s="208"/>
      <c r="H53" s="208"/>
      <c r="I53" s="209"/>
      <c r="J53" s="208"/>
      <c r="K53" s="208"/>
      <c r="L53" s="206"/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33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133"/>
      <c r="N54" s="134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8.75" customHeight="1">
      <c r="A55" s="4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204"/>
      <c r="D56" s="204"/>
      <c r="F56" s="204"/>
      <c r="G56" s="204"/>
      <c r="H56" s="204"/>
      <c r="I56" s="204"/>
      <c r="K56" s="20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0">
    <mergeCell ref="F2:J5"/>
    <mergeCell ref="K2:L2"/>
    <mergeCell ref="C8:H8"/>
    <mergeCell ref="I8:J8"/>
    <mergeCell ref="K8:L8"/>
    <mergeCell ref="I9:J9"/>
    <mergeCell ref="K9:L9"/>
    <mergeCell ref="C9:H9"/>
    <mergeCell ref="B11:F11"/>
    <mergeCell ref="K11:L11"/>
    <mergeCell ref="K12:L12"/>
    <mergeCell ref="K13:L13"/>
    <mergeCell ref="K14:L14"/>
    <mergeCell ref="K15:L15"/>
    <mergeCell ref="K16:L16"/>
    <mergeCell ref="K17:L17"/>
    <mergeCell ref="K19:L19"/>
    <mergeCell ref="D20:H20"/>
    <mergeCell ref="K20:L20"/>
    <mergeCell ref="H22:I22"/>
    <mergeCell ref="J22:L22"/>
    <mergeCell ref="F22:G22"/>
    <mergeCell ref="B24:C24"/>
    <mergeCell ref="D24:E24"/>
    <mergeCell ref="H24:I24"/>
    <mergeCell ref="B25:C25"/>
    <mergeCell ref="D25:E25"/>
    <mergeCell ref="F25:G25"/>
    <mergeCell ref="I36:J36"/>
    <mergeCell ref="I37:J37"/>
    <mergeCell ref="K47:L47"/>
    <mergeCell ref="K49:L49"/>
    <mergeCell ref="K50:L50"/>
    <mergeCell ref="K51:L51"/>
    <mergeCell ref="H25:I25"/>
    <mergeCell ref="J25:L25"/>
    <mergeCell ref="E30:J33"/>
    <mergeCell ref="K30:L30"/>
    <mergeCell ref="C36:F36"/>
    <mergeCell ref="K36:L36"/>
    <mergeCell ref="K37:L37"/>
    <mergeCell ref="I56:J56"/>
    <mergeCell ref="K56:L56"/>
    <mergeCell ref="C37:F37"/>
    <mergeCell ref="C38:L38"/>
    <mergeCell ref="B41:F41"/>
    <mergeCell ref="B48:F48"/>
    <mergeCell ref="K48:L48"/>
    <mergeCell ref="B56:C56"/>
    <mergeCell ref="D56:E56"/>
  </mergeCells>
  <printOptions horizontalCentered="1"/>
  <pageMargins bottom="0.25" footer="0.0" header="0.0" left="0.0" right="0.0" top="0.2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4.57"/>
    <col customWidth="1" min="3" max="3" width="6.0"/>
    <col customWidth="1" min="4" max="4" width="12.14"/>
    <col customWidth="1" min="5" max="5" width="12.0"/>
    <col customWidth="1" min="6" max="6" width="29.86"/>
    <col customWidth="1" min="7" max="9" width="13.14"/>
    <col customWidth="1" min="10" max="10" width="14.86"/>
    <col customWidth="1" min="11" max="11" width="12.57"/>
    <col customWidth="1" min="12" max="12" width="14.29"/>
    <col customWidth="1" min="13" max="13" width="11.57"/>
    <col customWidth="1" min="14" max="14" width="14.29"/>
    <col customWidth="1" min="15" max="15" width="11.29"/>
    <col customWidth="1" min="16" max="26" width="9.29"/>
  </cols>
  <sheetData>
    <row r="1" ht="12.75" customHeight="1">
      <c r="A1" s="4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6"/>
      <c r="C2" s="7"/>
      <c r="D2" s="7"/>
      <c r="E2" s="211"/>
      <c r="F2" s="9" t="s">
        <v>0</v>
      </c>
      <c r="G2" s="10"/>
      <c r="H2" s="10"/>
      <c r="I2" s="10"/>
      <c r="J2" s="11"/>
      <c r="K2" s="12" t="s">
        <v>1</v>
      </c>
      <c r="L2" s="13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4"/>
      <c r="B3" s="14"/>
      <c r="C3" s="15"/>
      <c r="D3" s="15"/>
      <c r="E3" s="212"/>
      <c r="F3" s="17"/>
      <c r="J3" s="18"/>
      <c r="K3" s="19" t="s">
        <v>2</v>
      </c>
      <c r="L3" s="20" t="s">
        <v>3</v>
      </c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/>
      <c r="B4" s="14"/>
      <c r="C4" s="15"/>
      <c r="D4" s="15"/>
      <c r="E4" s="212"/>
      <c r="F4" s="17"/>
      <c r="J4" s="18"/>
      <c r="K4" s="21" t="s">
        <v>4</v>
      </c>
      <c r="L4" s="22" t="s">
        <v>5</v>
      </c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4"/>
      <c r="B5" s="23"/>
      <c r="C5" s="24"/>
      <c r="D5" s="24"/>
      <c r="E5" s="213"/>
      <c r="F5" s="26"/>
      <c r="G5" s="27"/>
      <c r="H5" s="27"/>
      <c r="I5" s="27"/>
      <c r="J5" s="28"/>
      <c r="K5" s="29" t="s">
        <v>6</v>
      </c>
      <c r="L5" s="30" t="s">
        <v>7</v>
      </c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31"/>
      <c r="C6" s="32"/>
      <c r="D6" s="32"/>
      <c r="E6" s="32"/>
      <c r="F6" s="214"/>
      <c r="G6" s="214"/>
      <c r="H6" s="214"/>
      <c r="I6" s="214"/>
      <c r="J6" s="214"/>
      <c r="K6" s="34" t="s">
        <v>8</v>
      </c>
      <c r="L6" s="35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36" t="s">
        <v>9</v>
      </c>
      <c r="C7" s="37"/>
      <c r="D7" s="37"/>
      <c r="E7" s="37"/>
      <c r="F7" s="38"/>
      <c r="G7" s="38"/>
      <c r="H7" s="38"/>
      <c r="I7" s="39"/>
      <c r="J7" s="37"/>
      <c r="K7" s="37"/>
      <c r="L7" s="40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/>
      <c r="B8" s="41" t="s">
        <v>10</v>
      </c>
      <c r="C8" s="148" t="s">
        <v>80</v>
      </c>
      <c r="D8" s="43"/>
      <c r="E8" s="43"/>
      <c r="F8" s="43"/>
      <c r="G8" s="43"/>
      <c r="H8" s="44"/>
      <c r="I8" s="45" t="s">
        <v>12</v>
      </c>
      <c r="J8" s="44"/>
      <c r="K8" s="337" t="s">
        <v>81</v>
      </c>
      <c r="L8" s="13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/>
      <c r="B9" s="41" t="s">
        <v>13</v>
      </c>
      <c r="C9" s="150" t="s">
        <v>82</v>
      </c>
      <c r="D9" s="43"/>
      <c r="E9" s="43"/>
      <c r="F9" s="43"/>
      <c r="G9" s="43"/>
      <c r="H9" s="13"/>
      <c r="I9" s="45" t="s">
        <v>15</v>
      </c>
      <c r="J9" s="44"/>
      <c r="K9" s="48" t="s">
        <v>83</v>
      </c>
      <c r="L9" s="13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36" t="s">
        <v>16</v>
      </c>
      <c r="C10" s="37"/>
      <c r="D10" s="37"/>
      <c r="E10" s="37"/>
      <c r="F10" s="38"/>
      <c r="G10" s="38"/>
      <c r="H10" s="38"/>
      <c r="I10" s="39"/>
      <c r="J10" s="37"/>
      <c r="K10" s="37"/>
      <c r="L10" s="40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4"/>
      <c r="B11" s="151" t="s">
        <v>17</v>
      </c>
      <c r="C11" s="152"/>
      <c r="D11" s="152"/>
      <c r="E11" s="152"/>
      <c r="F11" s="153"/>
      <c r="G11" s="154" t="s">
        <v>18</v>
      </c>
      <c r="H11" s="154" t="s">
        <v>19</v>
      </c>
      <c r="I11" s="62" t="s">
        <v>20</v>
      </c>
      <c r="J11" s="62" t="s">
        <v>21</v>
      </c>
      <c r="K11" s="58" t="s">
        <v>22</v>
      </c>
      <c r="L11" s="13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/>
      <c r="B12" s="155"/>
      <c r="C12" s="156"/>
      <c r="D12" s="157"/>
      <c r="E12" s="156"/>
      <c r="F12" s="158"/>
      <c r="G12" s="159"/>
      <c r="H12" s="160"/>
      <c r="I12" s="130"/>
      <c r="J12" s="130"/>
      <c r="K12" s="161"/>
      <c r="L12" s="162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163"/>
      <c r="C13" s="164"/>
      <c r="D13" s="165"/>
      <c r="E13" s="91"/>
      <c r="F13" s="166"/>
      <c r="G13" s="83"/>
      <c r="H13" s="167"/>
      <c r="I13" s="168"/>
      <c r="J13" s="168"/>
      <c r="K13" s="161"/>
      <c r="L13" s="162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169" t="s">
        <v>84</v>
      </c>
      <c r="C14" s="91"/>
      <c r="D14" s="171"/>
      <c r="E14" s="91"/>
      <c r="F14" s="172"/>
      <c r="G14" s="338" t="s">
        <v>76</v>
      </c>
      <c r="H14" s="174" t="s">
        <v>76</v>
      </c>
      <c r="I14" s="176" t="s">
        <v>76</v>
      </c>
      <c r="J14" s="176" t="s">
        <v>85</v>
      </c>
      <c r="K14" s="161">
        <v>13270.0</v>
      </c>
      <c r="L14" s="162"/>
      <c r="M14" s="4"/>
      <c r="N14" s="5">
        <v>351.0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125"/>
      <c r="C15" s="91"/>
      <c r="D15" s="165"/>
      <c r="E15" s="340"/>
      <c r="F15" s="172"/>
      <c r="G15" s="181"/>
      <c r="H15" s="164"/>
      <c r="I15" s="125"/>
      <c r="J15" s="125"/>
      <c r="K15" s="161"/>
      <c r="L15" s="162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178"/>
      <c r="C16" s="91"/>
      <c r="D16" s="171"/>
      <c r="E16" s="340"/>
      <c r="F16" s="164"/>
      <c r="G16" s="181"/>
      <c r="H16" s="164"/>
      <c r="I16" s="125"/>
      <c r="J16" s="125"/>
      <c r="K16" s="161"/>
      <c r="L16" s="162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341"/>
      <c r="C17" s="342"/>
      <c r="D17" s="165"/>
      <c r="E17" s="340"/>
      <c r="F17" s="164"/>
      <c r="G17" s="181"/>
      <c r="H17" s="164"/>
      <c r="I17" s="125"/>
      <c r="J17" s="125"/>
      <c r="K17" s="161"/>
      <c r="L17" s="162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362"/>
      <c r="C18" s="340"/>
      <c r="D18" s="165"/>
      <c r="E18" s="340"/>
      <c r="F18" s="164"/>
      <c r="G18" s="181"/>
      <c r="H18" s="164"/>
      <c r="I18" s="125"/>
      <c r="J18" s="125"/>
      <c r="K18" s="183"/>
      <c r="L18" s="184"/>
      <c r="M18" s="4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178"/>
      <c r="C19" s="344"/>
      <c r="D19" s="91"/>
      <c r="E19" s="182"/>
      <c r="F19" s="164"/>
      <c r="G19" s="181"/>
      <c r="H19" s="164"/>
      <c r="I19" s="125"/>
      <c r="J19" s="125"/>
      <c r="K19" s="161"/>
      <c r="L19" s="162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4"/>
      <c r="B20" s="185" t="s">
        <v>28</v>
      </c>
      <c r="C20" s="186"/>
      <c r="D20" s="187"/>
      <c r="E20" s="188"/>
      <c r="F20" s="188"/>
      <c r="G20" s="188"/>
      <c r="H20" s="188"/>
      <c r="I20" s="189"/>
      <c r="J20" s="190" t="s">
        <v>29</v>
      </c>
      <c r="K20" s="191">
        <f>SUM(K13:L15)</f>
        <v>13270</v>
      </c>
      <c r="L20" s="192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193" t="s">
        <v>30</v>
      </c>
      <c r="C21" s="194"/>
      <c r="D21" s="194"/>
      <c r="E21" s="194"/>
      <c r="F21" s="195"/>
      <c r="G21" s="195"/>
      <c r="H21" s="195"/>
      <c r="I21" s="170"/>
      <c r="J21" s="196"/>
      <c r="K21" s="196"/>
      <c r="L21" s="197"/>
      <c r="M21" s="4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121" t="s">
        <v>31</v>
      </c>
      <c r="C22" s="122"/>
      <c r="D22" s="198" t="s">
        <v>32</v>
      </c>
      <c r="E22" s="199"/>
      <c r="F22" s="123" t="s">
        <v>33</v>
      </c>
      <c r="G22" s="13"/>
      <c r="H22" s="124" t="s">
        <v>34</v>
      </c>
      <c r="I22" s="13"/>
      <c r="J22" s="124" t="s">
        <v>35</v>
      </c>
      <c r="K22" s="43"/>
      <c r="L22" s="13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33"/>
      <c r="B23" s="125"/>
      <c r="C23" s="126"/>
      <c r="D23" s="125"/>
      <c r="E23" s="126"/>
      <c r="F23" s="127"/>
      <c r="G23" s="128"/>
      <c r="H23" s="200"/>
      <c r="I23" s="201"/>
      <c r="J23" s="130"/>
      <c r="K23" s="131"/>
      <c r="L23" s="132"/>
      <c r="M23" s="133"/>
      <c r="N23" s="134"/>
      <c r="O23" s="134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8.75" customHeight="1">
      <c r="A24" s="4"/>
      <c r="B24" s="202"/>
      <c r="C24" s="136"/>
      <c r="D24" s="202" t="s">
        <v>86</v>
      </c>
      <c r="E24" s="136"/>
      <c r="F24" s="345" t="s">
        <v>87</v>
      </c>
      <c r="G24" s="139"/>
      <c r="H24" s="346" t="s">
        <v>69</v>
      </c>
      <c r="I24" s="136"/>
      <c r="J24" s="140"/>
      <c r="K24" s="141"/>
      <c r="L24" s="142"/>
      <c r="M24" s="4"/>
      <c r="N24" s="5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143" t="s">
        <v>39</v>
      </c>
      <c r="C25" s="13"/>
      <c r="D25" s="143" t="s">
        <v>40</v>
      </c>
      <c r="E25" s="13"/>
      <c r="F25" s="143" t="s">
        <v>41</v>
      </c>
      <c r="G25" s="13"/>
      <c r="H25" s="144" t="s">
        <v>42</v>
      </c>
      <c r="I25" s="13"/>
      <c r="J25" s="143" t="s">
        <v>43</v>
      </c>
      <c r="K25" s="43"/>
      <c r="L25" s="13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145"/>
      <c r="C26" s="145"/>
      <c r="D26" s="145"/>
      <c r="E26" s="145"/>
      <c r="F26" s="145"/>
      <c r="G26" s="145"/>
      <c r="H26" s="145"/>
      <c r="I26" s="145"/>
      <c r="J26" s="177"/>
      <c r="K26" s="177"/>
      <c r="L26" s="177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347"/>
      <c r="C30" s="347"/>
      <c r="D30" s="347"/>
      <c r="E30" s="348"/>
      <c r="K30" s="349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347"/>
      <c r="C31" s="347"/>
      <c r="D31" s="347"/>
      <c r="K31" s="134"/>
      <c r="L31" s="133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347"/>
      <c r="C32" s="347"/>
      <c r="D32" s="347"/>
      <c r="K32" s="134"/>
      <c r="L32" s="133"/>
      <c r="M32" s="4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347"/>
      <c r="C33" s="347"/>
      <c r="D33" s="347"/>
      <c r="K33" s="134"/>
      <c r="L33" s="350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351"/>
      <c r="C34" s="351"/>
      <c r="D34" s="351"/>
      <c r="E34" s="351"/>
      <c r="F34" s="4"/>
      <c r="G34" s="4"/>
      <c r="H34" s="4"/>
      <c r="I34" s="4"/>
      <c r="J34" s="4"/>
      <c r="K34" s="4"/>
      <c r="L34" s="352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353"/>
      <c r="C35" s="353"/>
      <c r="D35" s="353"/>
      <c r="E35" s="353"/>
      <c r="F35" s="205"/>
      <c r="G35" s="205"/>
      <c r="H35" s="205"/>
      <c r="I35" s="210"/>
      <c r="J35" s="353"/>
      <c r="K35" s="353"/>
      <c r="L35" s="206"/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353"/>
      <c r="C36" s="205"/>
      <c r="G36" s="205"/>
      <c r="H36" s="205"/>
      <c r="I36" s="353"/>
      <c r="K36" s="205"/>
      <c r="M36" s="4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353"/>
      <c r="C37" s="205"/>
      <c r="G37" s="205"/>
      <c r="H37" s="205"/>
      <c r="I37" s="353"/>
      <c r="K37" s="205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353"/>
      <c r="C38" s="205"/>
      <c r="M38" s="4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353"/>
      <c r="C39" s="353"/>
      <c r="D39" s="353"/>
      <c r="E39" s="353"/>
      <c r="F39" s="205"/>
      <c r="G39" s="205"/>
      <c r="H39" s="205"/>
      <c r="I39" s="210"/>
      <c r="J39" s="353"/>
      <c r="K39" s="353"/>
      <c r="L39" s="206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353"/>
      <c r="C40" s="353"/>
      <c r="D40" s="353"/>
      <c r="E40" s="353"/>
      <c r="F40" s="205"/>
      <c r="G40" s="205"/>
      <c r="H40" s="205"/>
      <c r="I40" s="210"/>
      <c r="J40" s="353"/>
      <c r="K40" s="353"/>
      <c r="L40" s="206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354"/>
      <c r="G41" s="354"/>
      <c r="H41" s="354"/>
      <c r="I41" s="354"/>
      <c r="J41" s="354"/>
      <c r="K41" s="354"/>
      <c r="L41" s="35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353"/>
      <c r="C42" s="353"/>
      <c r="D42" s="353"/>
      <c r="E42" s="353"/>
      <c r="F42" s="210"/>
      <c r="G42" s="210"/>
      <c r="H42" s="210"/>
      <c r="I42" s="210"/>
      <c r="J42" s="353"/>
      <c r="K42" s="353"/>
      <c r="L42" s="355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353"/>
      <c r="C43" s="353"/>
      <c r="D43" s="353"/>
      <c r="E43" s="353"/>
      <c r="F43" s="210"/>
      <c r="G43" s="210"/>
      <c r="H43" s="210"/>
      <c r="I43" s="210"/>
      <c r="J43" s="353"/>
      <c r="K43" s="353"/>
      <c r="L43" s="355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353"/>
      <c r="C44" s="353"/>
      <c r="D44" s="353"/>
      <c r="E44" s="353"/>
      <c r="F44" s="210"/>
      <c r="G44" s="210"/>
      <c r="H44" s="210"/>
      <c r="I44" s="210"/>
      <c r="J44" s="206"/>
      <c r="K44" s="206"/>
      <c r="L44" s="356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353"/>
      <c r="C45" s="353"/>
      <c r="D45" s="353"/>
      <c r="E45" s="353"/>
      <c r="F45" s="210"/>
      <c r="G45" s="210"/>
      <c r="H45" s="210"/>
      <c r="I45" s="210"/>
      <c r="J45" s="206"/>
      <c r="K45" s="206"/>
      <c r="L45" s="355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210"/>
      <c r="C46" s="210"/>
      <c r="D46" s="210"/>
      <c r="E46" s="210"/>
      <c r="F46" s="210"/>
      <c r="G46" s="210"/>
      <c r="H46" s="210"/>
      <c r="I46" s="210"/>
      <c r="J46" s="206"/>
      <c r="K46" s="206"/>
      <c r="L46" s="206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353"/>
      <c r="C47" s="353"/>
      <c r="D47" s="353"/>
      <c r="E47" s="353"/>
      <c r="F47" s="205"/>
      <c r="G47" s="205"/>
      <c r="H47" s="205"/>
      <c r="I47" s="210"/>
      <c r="J47" s="357"/>
      <c r="K47" s="357"/>
      <c r="M47" s="4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354"/>
      <c r="G48" s="354"/>
      <c r="H48" s="354"/>
      <c r="I48" s="354"/>
      <c r="J48" s="355"/>
      <c r="K48" s="355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353"/>
      <c r="C49" s="353"/>
      <c r="D49" s="353"/>
      <c r="E49" s="353"/>
      <c r="F49" s="210"/>
      <c r="G49" s="210"/>
      <c r="H49" s="210"/>
      <c r="I49" s="210"/>
      <c r="J49" s="357"/>
      <c r="K49" s="357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353"/>
      <c r="C50" s="353"/>
      <c r="D50" s="353"/>
      <c r="E50" s="353"/>
      <c r="F50" s="210"/>
      <c r="G50" s="210"/>
      <c r="H50" s="210"/>
      <c r="I50" s="210"/>
      <c r="J50" s="355"/>
      <c r="K50" s="355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353"/>
      <c r="C51" s="353"/>
      <c r="D51" s="353"/>
      <c r="E51" s="353"/>
      <c r="F51" s="210"/>
      <c r="G51" s="210"/>
      <c r="H51" s="210"/>
      <c r="I51" s="210"/>
      <c r="J51" s="357"/>
      <c r="K51" s="357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204"/>
      <c r="C52" s="204"/>
      <c r="D52" s="204"/>
      <c r="E52" s="204"/>
      <c r="F52" s="205"/>
      <c r="G52" s="205"/>
      <c r="H52" s="205"/>
      <c r="I52" s="206"/>
      <c r="J52" s="207"/>
      <c r="K52" s="207"/>
      <c r="L52" s="207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208"/>
      <c r="C53" s="208"/>
      <c r="D53" s="208"/>
      <c r="E53" s="208"/>
      <c r="F53" s="208"/>
      <c r="G53" s="208"/>
      <c r="H53" s="208"/>
      <c r="I53" s="209"/>
      <c r="J53" s="208"/>
      <c r="K53" s="208"/>
      <c r="L53" s="206"/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33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133"/>
      <c r="N54" s="134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8.75" customHeight="1">
      <c r="A55" s="4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204"/>
      <c r="D56" s="204"/>
      <c r="F56" s="204"/>
      <c r="G56" s="204"/>
      <c r="H56" s="204"/>
      <c r="I56" s="204"/>
      <c r="K56" s="20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0">
    <mergeCell ref="F2:J5"/>
    <mergeCell ref="K2:L2"/>
    <mergeCell ref="C8:H8"/>
    <mergeCell ref="I8:J8"/>
    <mergeCell ref="K8:L8"/>
    <mergeCell ref="I9:J9"/>
    <mergeCell ref="K9:L9"/>
    <mergeCell ref="C9:H9"/>
    <mergeCell ref="B11:F11"/>
    <mergeCell ref="K11:L11"/>
    <mergeCell ref="K12:L12"/>
    <mergeCell ref="K13:L13"/>
    <mergeCell ref="K14:L14"/>
    <mergeCell ref="K15:L15"/>
    <mergeCell ref="K16:L16"/>
    <mergeCell ref="K17:L17"/>
    <mergeCell ref="K19:L19"/>
    <mergeCell ref="D20:H20"/>
    <mergeCell ref="K20:L20"/>
    <mergeCell ref="H22:I22"/>
    <mergeCell ref="J22:L22"/>
    <mergeCell ref="F22:G22"/>
    <mergeCell ref="B24:C24"/>
    <mergeCell ref="D24:E24"/>
    <mergeCell ref="H24:I24"/>
    <mergeCell ref="B25:C25"/>
    <mergeCell ref="D25:E25"/>
    <mergeCell ref="F25:G25"/>
    <mergeCell ref="I36:J36"/>
    <mergeCell ref="I37:J37"/>
    <mergeCell ref="K47:L47"/>
    <mergeCell ref="K49:L49"/>
    <mergeCell ref="K50:L50"/>
    <mergeCell ref="K51:L51"/>
    <mergeCell ref="H25:I25"/>
    <mergeCell ref="J25:L25"/>
    <mergeCell ref="E30:J33"/>
    <mergeCell ref="K30:L30"/>
    <mergeCell ref="C36:F36"/>
    <mergeCell ref="K36:L36"/>
    <mergeCell ref="K37:L37"/>
    <mergeCell ref="I56:J56"/>
    <mergeCell ref="K56:L56"/>
    <mergeCell ref="C37:F37"/>
    <mergeCell ref="C38:L38"/>
    <mergeCell ref="B41:F41"/>
    <mergeCell ref="B48:F48"/>
    <mergeCell ref="K48:L48"/>
    <mergeCell ref="B56:C56"/>
    <mergeCell ref="D56:E56"/>
  </mergeCells>
  <printOptions horizontalCentered="1"/>
  <pageMargins bottom="0.25" footer="0.0" header="0.0" left="0.0" right="0.0" top="0.2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4.57"/>
    <col customWidth="1" min="3" max="3" width="6.0"/>
    <col customWidth="1" min="4" max="4" width="12.14"/>
    <col customWidth="1" min="5" max="5" width="12.0"/>
    <col customWidth="1" min="6" max="6" width="29.86"/>
    <col customWidth="1" min="7" max="9" width="13.14"/>
    <col customWidth="1" min="10" max="10" width="14.86"/>
    <col customWidth="1" min="11" max="11" width="12.57"/>
    <col customWidth="1" min="12" max="12" width="14.29"/>
    <col customWidth="1" min="13" max="13" width="11.57"/>
    <col customWidth="1" min="14" max="14" width="14.29"/>
    <col customWidth="1" min="15" max="15" width="11.29"/>
    <col customWidth="1" min="16" max="26" width="9.29"/>
  </cols>
  <sheetData>
    <row r="1" ht="12.75" customHeight="1">
      <c r="A1" s="4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6"/>
      <c r="C2" s="7"/>
      <c r="D2" s="7"/>
      <c r="E2" s="211"/>
      <c r="F2" s="9" t="s">
        <v>0</v>
      </c>
      <c r="G2" s="10"/>
      <c r="H2" s="10"/>
      <c r="I2" s="10"/>
      <c r="J2" s="11"/>
      <c r="K2" s="12" t="s">
        <v>1</v>
      </c>
      <c r="L2" s="13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4"/>
      <c r="B3" s="14"/>
      <c r="C3" s="15"/>
      <c r="D3" s="15"/>
      <c r="E3" s="212"/>
      <c r="F3" s="17"/>
      <c r="J3" s="18"/>
      <c r="K3" s="19" t="s">
        <v>2</v>
      </c>
      <c r="L3" s="20" t="s">
        <v>3</v>
      </c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/>
      <c r="B4" s="14"/>
      <c r="C4" s="15"/>
      <c r="D4" s="15"/>
      <c r="E4" s="212"/>
      <c r="F4" s="17"/>
      <c r="J4" s="18"/>
      <c r="K4" s="21" t="s">
        <v>4</v>
      </c>
      <c r="L4" s="22" t="s">
        <v>5</v>
      </c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4"/>
      <c r="B5" s="23"/>
      <c r="C5" s="24"/>
      <c r="D5" s="24"/>
      <c r="E5" s="213"/>
      <c r="F5" s="26"/>
      <c r="G5" s="27"/>
      <c r="H5" s="27"/>
      <c r="I5" s="27"/>
      <c r="J5" s="28"/>
      <c r="K5" s="29" t="s">
        <v>6</v>
      </c>
      <c r="L5" s="30" t="s">
        <v>7</v>
      </c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31"/>
      <c r="C6" s="32"/>
      <c r="D6" s="32"/>
      <c r="E6" s="32"/>
      <c r="F6" s="214"/>
      <c r="G6" s="214"/>
      <c r="H6" s="214"/>
      <c r="I6" s="214"/>
      <c r="J6" s="214"/>
      <c r="K6" s="34" t="s">
        <v>8</v>
      </c>
      <c r="L6" s="35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36" t="s">
        <v>9</v>
      </c>
      <c r="C7" s="37"/>
      <c r="D7" s="37"/>
      <c r="E7" s="37"/>
      <c r="F7" s="38"/>
      <c r="G7" s="38"/>
      <c r="H7" s="38"/>
      <c r="I7" s="39"/>
      <c r="J7" s="37"/>
      <c r="K7" s="37"/>
      <c r="L7" s="40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/>
      <c r="B8" s="41" t="s">
        <v>10</v>
      </c>
      <c r="C8" s="148" t="s">
        <v>88</v>
      </c>
      <c r="D8" s="43"/>
      <c r="E8" s="43"/>
      <c r="F8" s="43"/>
      <c r="G8" s="43"/>
      <c r="H8" s="44"/>
      <c r="I8" s="45" t="s">
        <v>12</v>
      </c>
      <c r="J8" s="44"/>
      <c r="K8" s="337" t="s">
        <v>89</v>
      </c>
      <c r="L8" s="13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/>
      <c r="B9" s="41" t="s">
        <v>13</v>
      </c>
      <c r="C9" s="150" t="s">
        <v>90</v>
      </c>
      <c r="D9" s="43"/>
      <c r="E9" s="43"/>
      <c r="F9" s="43"/>
      <c r="G9" s="43"/>
      <c r="H9" s="13"/>
      <c r="I9" s="45" t="s">
        <v>15</v>
      </c>
      <c r="J9" s="44"/>
      <c r="K9" s="48"/>
      <c r="L9" s="13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36" t="s">
        <v>16</v>
      </c>
      <c r="C10" s="37"/>
      <c r="D10" s="37"/>
      <c r="E10" s="37"/>
      <c r="F10" s="38"/>
      <c r="G10" s="38"/>
      <c r="H10" s="38"/>
      <c r="I10" s="39"/>
      <c r="J10" s="37"/>
      <c r="K10" s="37"/>
      <c r="L10" s="40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4"/>
      <c r="B11" s="151" t="s">
        <v>17</v>
      </c>
      <c r="C11" s="152"/>
      <c r="D11" s="152"/>
      <c r="E11" s="152"/>
      <c r="F11" s="153"/>
      <c r="G11" s="154" t="s">
        <v>18</v>
      </c>
      <c r="H11" s="154" t="s">
        <v>19</v>
      </c>
      <c r="I11" s="62" t="s">
        <v>20</v>
      </c>
      <c r="J11" s="62" t="s">
        <v>21</v>
      </c>
      <c r="K11" s="58" t="s">
        <v>22</v>
      </c>
      <c r="L11" s="13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/>
      <c r="B12" s="155"/>
      <c r="C12" s="156"/>
      <c r="D12" s="157"/>
      <c r="E12" s="156"/>
      <c r="F12" s="158"/>
      <c r="G12" s="159"/>
      <c r="H12" s="160"/>
      <c r="I12" s="130"/>
      <c r="J12" s="130"/>
      <c r="K12" s="161"/>
      <c r="L12" s="162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163"/>
      <c r="C13" s="164"/>
      <c r="D13" s="165"/>
      <c r="E13" s="91"/>
      <c r="F13" s="166"/>
      <c r="G13" s="83"/>
      <c r="H13" s="167"/>
      <c r="I13" s="168"/>
      <c r="J13" s="168"/>
      <c r="K13" s="161"/>
      <c r="L13" s="162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169" t="s">
        <v>91</v>
      </c>
      <c r="C14" s="363"/>
      <c r="D14" s="364"/>
      <c r="E14" s="363"/>
      <c r="F14" s="365"/>
      <c r="G14" s="366" t="s">
        <v>24</v>
      </c>
      <c r="H14" s="367" t="s">
        <v>76</v>
      </c>
      <c r="I14" s="368" t="s">
        <v>92</v>
      </c>
      <c r="J14" s="368" t="s">
        <v>93</v>
      </c>
      <c r="K14" s="161">
        <v>4500.0</v>
      </c>
      <c r="L14" s="162"/>
      <c r="M14" s="4"/>
      <c r="N14" s="5">
        <v>351.0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169" t="s">
        <v>94</v>
      </c>
      <c r="C15" s="363"/>
      <c r="D15" s="369"/>
      <c r="E15" s="370"/>
      <c r="F15" s="365"/>
      <c r="G15" s="366" t="s">
        <v>24</v>
      </c>
      <c r="H15" s="367" t="s">
        <v>76</v>
      </c>
      <c r="I15" s="368" t="s">
        <v>92</v>
      </c>
      <c r="J15" s="371" t="s">
        <v>95</v>
      </c>
      <c r="K15" s="161">
        <v>1491.93</v>
      </c>
      <c r="L15" s="162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169" t="s">
        <v>96</v>
      </c>
      <c r="C16" s="363"/>
      <c r="D16" s="364"/>
      <c r="E16" s="370"/>
      <c r="F16" s="372"/>
      <c r="G16" s="366" t="s">
        <v>24</v>
      </c>
      <c r="H16" s="367" t="s">
        <v>76</v>
      </c>
      <c r="I16" s="368" t="s">
        <v>92</v>
      </c>
      <c r="J16" s="371" t="s">
        <v>95</v>
      </c>
      <c r="K16" s="161">
        <v>250.0</v>
      </c>
      <c r="L16" s="162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341"/>
      <c r="C17" s="342"/>
      <c r="D17" s="165"/>
      <c r="E17" s="340"/>
      <c r="F17" s="164"/>
      <c r="G17" s="181"/>
      <c r="H17" s="164"/>
      <c r="I17" s="125"/>
      <c r="J17" s="125"/>
      <c r="K17" s="161"/>
      <c r="L17" s="162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362"/>
      <c r="C18" s="340"/>
      <c r="D18" s="165"/>
      <c r="E18" s="340"/>
      <c r="F18" s="164"/>
      <c r="G18" s="181"/>
      <c r="H18" s="164"/>
      <c r="I18" s="125"/>
      <c r="J18" s="125"/>
      <c r="K18" s="183"/>
      <c r="L18" s="184"/>
      <c r="M18" s="4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178"/>
      <c r="C19" s="344"/>
      <c r="D19" s="91"/>
      <c r="E19" s="182"/>
      <c r="F19" s="164"/>
      <c r="G19" s="181"/>
      <c r="H19" s="164"/>
      <c r="I19" s="125"/>
      <c r="J19" s="125"/>
      <c r="K19" s="161"/>
      <c r="L19" s="162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4"/>
      <c r="B20" s="185" t="s">
        <v>28</v>
      </c>
      <c r="C20" s="186"/>
      <c r="D20" s="187"/>
      <c r="E20" s="188"/>
      <c r="F20" s="188"/>
      <c r="G20" s="188"/>
      <c r="H20" s="188"/>
      <c r="I20" s="189"/>
      <c r="J20" s="190" t="s">
        <v>29</v>
      </c>
      <c r="K20" s="191">
        <f>SUM(K13:L18)</f>
        <v>6241.93</v>
      </c>
      <c r="L20" s="192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193" t="s">
        <v>30</v>
      </c>
      <c r="C21" s="194"/>
      <c r="D21" s="194"/>
      <c r="E21" s="194"/>
      <c r="F21" s="195"/>
      <c r="G21" s="195"/>
      <c r="H21" s="195"/>
      <c r="I21" s="170"/>
      <c r="J21" s="196"/>
      <c r="K21" s="196"/>
      <c r="L21" s="197"/>
      <c r="M21" s="4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121" t="s">
        <v>31</v>
      </c>
      <c r="C22" s="122"/>
      <c r="D22" s="198" t="s">
        <v>32</v>
      </c>
      <c r="E22" s="199"/>
      <c r="F22" s="123" t="s">
        <v>33</v>
      </c>
      <c r="G22" s="13"/>
      <c r="H22" s="124" t="s">
        <v>34</v>
      </c>
      <c r="I22" s="13"/>
      <c r="J22" s="124" t="s">
        <v>35</v>
      </c>
      <c r="K22" s="43"/>
      <c r="L22" s="13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33"/>
      <c r="B23" s="125"/>
      <c r="C23" s="126"/>
      <c r="D23" s="125"/>
      <c r="E23" s="126"/>
      <c r="F23" s="127"/>
      <c r="G23" s="128"/>
      <c r="H23" s="200"/>
      <c r="I23" s="201"/>
      <c r="J23" s="130"/>
      <c r="K23" s="131"/>
      <c r="L23" s="132"/>
      <c r="M23" s="133"/>
      <c r="N23" s="134"/>
      <c r="O23" s="134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8.75" customHeight="1">
      <c r="A24" s="4"/>
      <c r="B24" s="202"/>
      <c r="C24" s="136"/>
      <c r="D24" s="202" t="s">
        <v>86</v>
      </c>
      <c r="E24" s="136"/>
      <c r="F24" s="345" t="s">
        <v>87</v>
      </c>
      <c r="G24" s="139"/>
      <c r="H24" s="346" t="s">
        <v>69</v>
      </c>
      <c r="I24" s="136"/>
      <c r="J24" s="140"/>
      <c r="K24" s="141"/>
      <c r="L24" s="142"/>
      <c r="M24" s="4"/>
      <c r="N24" s="5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143" t="s">
        <v>39</v>
      </c>
      <c r="C25" s="13"/>
      <c r="D25" s="143" t="s">
        <v>40</v>
      </c>
      <c r="E25" s="13"/>
      <c r="F25" s="143" t="s">
        <v>41</v>
      </c>
      <c r="G25" s="13"/>
      <c r="H25" s="144" t="s">
        <v>42</v>
      </c>
      <c r="I25" s="13"/>
      <c r="J25" s="143" t="s">
        <v>43</v>
      </c>
      <c r="K25" s="43"/>
      <c r="L25" s="13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145"/>
      <c r="C26" s="145"/>
      <c r="D26" s="145"/>
      <c r="E26" s="145"/>
      <c r="F26" s="145"/>
      <c r="G26" s="145"/>
      <c r="H26" s="145"/>
      <c r="I26" s="145"/>
      <c r="J26" s="177"/>
      <c r="K26" s="177"/>
      <c r="L26" s="177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347"/>
      <c r="C30" s="347"/>
      <c r="D30" s="347"/>
      <c r="E30" s="348"/>
      <c r="K30" s="349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347"/>
      <c r="C31" s="347"/>
      <c r="D31" s="347"/>
      <c r="K31" s="134"/>
      <c r="L31" s="133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347"/>
      <c r="C32" s="347"/>
      <c r="D32" s="347"/>
      <c r="K32" s="134"/>
      <c r="L32" s="133"/>
      <c r="M32" s="4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347"/>
      <c r="C33" s="347"/>
      <c r="D33" s="347"/>
      <c r="K33" s="134"/>
      <c r="L33" s="350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351"/>
      <c r="C34" s="351"/>
      <c r="D34" s="351"/>
      <c r="E34" s="351"/>
      <c r="F34" s="4"/>
      <c r="G34" s="4"/>
      <c r="H34" s="4"/>
      <c r="I34" s="4"/>
      <c r="J34" s="4"/>
      <c r="K34" s="4"/>
      <c r="L34" s="352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353"/>
      <c r="C35" s="353"/>
      <c r="D35" s="353"/>
      <c r="E35" s="353"/>
      <c r="F35" s="205"/>
      <c r="G35" s="205"/>
      <c r="H35" s="205"/>
      <c r="I35" s="210"/>
      <c r="J35" s="353"/>
      <c r="K35" s="353"/>
      <c r="L35" s="206"/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353"/>
      <c r="C36" s="205"/>
      <c r="G36" s="205"/>
      <c r="H36" s="205"/>
      <c r="I36" s="353"/>
      <c r="K36" s="205"/>
      <c r="M36" s="4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353"/>
      <c r="C37" s="205"/>
      <c r="G37" s="205"/>
      <c r="H37" s="205"/>
      <c r="I37" s="353"/>
      <c r="K37" s="205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353"/>
      <c r="C38" s="205"/>
      <c r="M38" s="4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353"/>
      <c r="C39" s="353"/>
      <c r="D39" s="353"/>
      <c r="E39" s="353"/>
      <c r="F39" s="205"/>
      <c r="G39" s="205"/>
      <c r="H39" s="205"/>
      <c r="I39" s="210"/>
      <c r="J39" s="353"/>
      <c r="K39" s="353"/>
      <c r="L39" s="206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353"/>
      <c r="C40" s="353"/>
      <c r="D40" s="353"/>
      <c r="E40" s="353"/>
      <c r="F40" s="205"/>
      <c r="G40" s="205"/>
      <c r="H40" s="205"/>
      <c r="I40" s="210"/>
      <c r="J40" s="353"/>
      <c r="K40" s="353"/>
      <c r="L40" s="206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354"/>
      <c r="G41" s="354"/>
      <c r="H41" s="354"/>
      <c r="I41" s="354"/>
      <c r="J41" s="354"/>
      <c r="K41" s="354"/>
      <c r="L41" s="35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353"/>
      <c r="C42" s="353"/>
      <c r="D42" s="353"/>
      <c r="E42" s="353"/>
      <c r="F42" s="210"/>
      <c r="G42" s="210"/>
      <c r="H42" s="210"/>
      <c r="I42" s="210"/>
      <c r="J42" s="353"/>
      <c r="K42" s="353"/>
      <c r="L42" s="355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353"/>
      <c r="C43" s="353"/>
      <c r="D43" s="353"/>
      <c r="E43" s="353"/>
      <c r="F43" s="210"/>
      <c r="G43" s="210"/>
      <c r="H43" s="210"/>
      <c r="I43" s="210"/>
      <c r="J43" s="353"/>
      <c r="K43" s="353"/>
      <c r="L43" s="355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353"/>
      <c r="C44" s="353"/>
      <c r="D44" s="353"/>
      <c r="E44" s="353"/>
      <c r="F44" s="210"/>
      <c r="G44" s="210"/>
      <c r="H44" s="210"/>
      <c r="I44" s="210"/>
      <c r="J44" s="206"/>
      <c r="K44" s="206"/>
      <c r="L44" s="356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353"/>
      <c r="C45" s="353"/>
      <c r="D45" s="353"/>
      <c r="E45" s="353"/>
      <c r="F45" s="210"/>
      <c r="G45" s="210"/>
      <c r="H45" s="210"/>
      <c r="I45" s="210"/>
      <c r="J45" s="206"/>
      <c r="K45" s="206"/>
      <c r="L45" s="355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210"/>
      <c r="C46" s="210"/>
      <c r="D46" s="210"/>
      <c r="E46" s="210"/>
      <c r="F46" s="210"/>
      <c r="G46" s="210"/>
      <c r="H46" s="210"/>
      <c r="I46" s="210"/>
      <c r="J46" s="206"/>
      <c r="K46" s="206"/>
      <c r="L46" s="206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353"/>
      <c r="C47" s="353"/>
      <c r="D47" s="353"/>
      <c r="E47" s="353"/>
      <c r="F47" s="205"/>
      <c r="G47" s="205"/>
      <c r="H47" s="205"/>
      <c r="I47" s="210"/>
      <c r="J47" s="357"/>
      <c r="K47" s="357"/>
      <c r="M47" s="4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354"/>
      <c r="G48" s="354"/>
      <c r="H48" s="354"/>
      <c r="I48" s="354"/>
      <c r="J48" s="355"/>
      <c r="K48" s="355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353"/>
      <c r="C49" s="353"/>
      <c r="D49" s="353"/>
      <c r="E49" s="353"/>
      <c r="F49" s="210"/>
      <c r="G49" s="210"/>
      <c r="H49" s="210"/>
      <c r="I49" s="210"/>
      <c r="J49" s="357"/>
      <c r="K49" s="357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353"/>
      <c r="C50" s="353"/>
      <c r="D50" s="353"/>
      <c r="E50" s="353"/>
      <c r="F50" s="210"/>
      <c r="G50" s="210"/>
      <c r="H50" s="210"/>
      <c r="I50" s="210"/>
      <c r="J50" s="355"/>
      <c r="K50" s="355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353"/>
      <c r="C51" s="353"/>
      <c r="D51" s="353"/>
      <c r="E51" s="353"/>
      <c r="F51" s="210"/>
      <c r="G51" s="210"/>
      <c r="H51" s="210"/>
      <c r="I51" s="210"/>
      <c r="J51" s="357"/>
      <c r="K51" s="357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204"/>
      <c r="C52" s="204"/>
      <c r="D52" s="204"/>
      <c r="E52" s="204"/>
      <c r="F52" s="205"/>
      <c r="G52" s="205"/>
      <c r="H52" s="205"/>
      <c r="I52" s="206"/>
      <c r="J52" s="207"/>
      <c r="K52" s="207"/>
      <c r="L52" s="207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208"/>
      <c r="C53" s="208"/>
      <c r="D53" s="208"/>
      <c r="E53" s="208"/>
      <c r="F53" s="208"/>
      <c r="G53" s="208"/>
      <c r="H53" s="208"/>
      <c r="I53" s="209"/>
      <c r="J53" s="208"/>
      <c r="K53" s="208"/>
      <c r="L53" s="206"/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33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133"/>
      <c r="N54" s="134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8.75" customHeight="1">
      <c r="A55" s="4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204"/>
      <c r="D56" s="204"/>
      <c r="F56" s="204"/>
      <c r="G56" s="204"/>
      <c r="H56" s="204"/>
      <c r="I56" s="204"/>
      <c r="K56" s="20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0">
    <mergeCell ref="F2:J5"/>
    <mergeCell ref="K2:L2"/>
    <mergeCell ref="C8:H8"/>
    <mergeCell ref="I8:J8"/>
    <mergeCell ref="K8:L8"/>
    <mergeCell ref="I9:J9"/>
    <mergeCell ref="K9:L9"/>
    <mergeCell ref="C9:H9"/>
    <mergeCell ref="B11:F11"/>
    <mergeCell ref="K11:L11"/>
    <mergeCell ref="K12:L12"/>
    <mergeCell ref="K13:L13"/>
    <mergeCell ref="K14:L14"/>
    <mergeCell ref="K15:L15"/>
    <mergeCell ref="K16:L16"/>
    <mergeCell ref="K17:L17"/>
    <mergeCell ref="K19:L19"/>
    <mergeCell ref="D20:H20"/>
    <mergeCell ref="K20:L20"/>
    <mergeCell ref="H22:I22"/>
    <mergeCell ref="J22:L22"/>
    <mergeCell ref="F22:G22"/>
    <mergeCell ref="B24:C24"/>
    <mergeCell ref="D24:E24"/>
    <mergeCell ref="H24:I24"/>
    <mergeCell ref="B25:C25"/>
    <mergeCell ref="D25:E25"/>
    <mergeCell ref="F25:G25"/>
    <mergeCell ref="I36:J36"/>
    <mergeCell ref="I37:J37"/>
    <mergeCell ref="K47:L47"/>
    <mergeCell ref="K49:L49"/>
    <mergeCell ref="K50:L50"/>
    <mergeCell ref="K51:L51"/>
    <mergeCell ref="H25:I25"/>
    <mergeCell ref="J25:L25"/>
    <mergeCell ref="E30:J33"/>
    <mergeCell ref="K30:L30"/>
    <mergeCell ref="C36:F36"/>
    <mergeCell ref="K36:L36"/>
    <mergeCell ref="K37:L37"/>
    <mergeCell ref="I56:J56"/>
    <mergeCell ref="K56:L56"/>
    <mergeCell ref="C37:F37"/>
    <mergeCell ref="C38:L38"/>
    <mergeCell ref="B41:F41"/>
    <mergeCell ref="B48:F48"/>
    <mergeCell ref="K48:L48"/>
    <mergeCell ref="B56:C56"/>
    <mergeCell ref="D56:E56"/>
  </mergeCells>
  <printOptions horizontalCentered="1"/>
  <pageMargins bottom="0.25" footer="0.0" header="0.0" left="0.0" right="0.0" top="0.2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4.57"/>
    <col customWidth="1" min="3" max="3" width="6.0"/>
    <col customWidth="1" min="4" max="4" width="12.14"/>
    <col customWidth="1" min="5" max="5" width="12.0"/>
    <col customWidth="1" min="6" max="6" width="29.86"/>
    <col customWidth="1" min="7" max="9" width="13.14"/>
    <col customWidth="1" min="10" max="10" width="14.86"/>
    <col customWidth="1" min="11" max="11" width="12.57"/>
    <col customWidth="1" min="12" max="12" width="14.29"/>
    <col customWidth="1" min="13" max="13" width="11.57"/>
    <col customWidth="1" min="14" max="14" width="14.29"/>
    <col customWidth="1" min="15" max="15" width="11.29"/>
    <col customWidth="1" min="16" max="26" width="9.29"/>
  </cols>
  <sheetData>
    <row r="1" ht="12.75" customHeight="1">
      <c r="A1" s="4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6"/>
      <c r="C2" s="7"/>
      <c r="D2" s="7"/>
      <c r="E2" s="211"/>
      <c r="F2" s="9" t="s">
        <v>0</v>
      </c>
      <c r="G2" s="10"/>
      <c r="H2" s="10"/>
      <c r="I2" s="10"/>
      <c r="J2" s="11"/>
      <c r="K2" s="12" t="s">
        <v>1</v>
      </c>
      <c r="L2" s="13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4"/>
      <c r="B3" s="14"/>
      <c r="C3" s="15"/>
      <c r="D3" s="15"/>
      <c r="E3" s="212"/>
      <c r="F3" s="17"/>
      <c r="J3" s="18"/>
      <c r="K3" s="19" t="s">
        <v>2</v>
      </c>
      <c r="L3" s="20" t="s">
        <v>3</v>
      </c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/>
      <c r="B4" s="14"/>
      <c r="C4" s="15"/>
      <c r="D4" s="15"/>
      <c r="E4" s="212"/>
      <c r="F4" s="17"/>
      <c r="J4" s="18"/>
      <c r="K4" s="21" t="s">
        <v>4</v>
      </c>
      <c r="L4" s="22" t="s">
        <v>5</v>
      </c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4"/>
      <c r="B5" s="23"/>
      <c r="C5" s="24"/>
      <c r="D5" s="24"/>
      <c r="E5" s="213"/>
      <c r="F5" s="26"/>
      <c r="G5" s="27"/>
      <c r="H5" s="27"/>
      <c r="I5" s="27"/>
      <c r="J5" s="28"/>
      <c r="K5" s="29" t="s">
        <v>6</v>
      </c>
      <c r="L5" s="30" t="s">
        <v>7</v>
      </c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31"/>
      <c r="C6" s="32"/>
      <c r="D6" s="32"/>
      <c r="E6" s="32"/>
      <c r="F6" s="214"/>
      <c r="G6" s="214"/>
      <c r="H6" s="214"/>
      <c r="I6" s="214"/>
      <c r="J6" s="214"/>
      <c r="K6" s="34" t="s">
        <v>8</v>
      </c>
      <c r="L6" s="35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36" t="s">
        <v>9</v>
      </c>
      <c r="C7" s="37"/>
      <c r="D7" s="37"/>
      <c r="E7" s="37"/>
      <c r="F7" s="38"/>
      <c r="G7" s="38"/>
      <c r="H7" s="38"/>
      <c r="I7" s="39"/>
      <c r="J7" s="37"/>
      <c r="K7" s="37"/>
      <c r="L7" s="40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/>
      <c r="B8" s="41" t="s">
        <v>10</v>
      </c>
      <c r="C8" s="148" t="s">
        <v>97</v>
      </c>
      <c r="D8" s="43"/>
      <c r="E8" s="43"/>
      <c r="F8" s="43"/>
      <c r="G8" s="43"/>
      <c r="H8" s="44"/>
      <c r="I8" s="45" t="s">
        <v>12</v>
      </c>
      <c r="J8" s="44"/>
      <c r="K8" s="337" t="s">
        <v>98</v>
      </c>
      <c r="L8" s="13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/>
      <c r="B9" s="41" t="s">
        <v>13</v>
      </c>
      <c r="C9" s="150" t="s">
        <v>64</v>
      </c>
      <c r="D9" s="43"/>
      <c r="E9" s="43"/>
      <c r="F9" s="43"/>
      <c r="G9" s="43"/>
      <c r="H9" s="13"/>
      <c r="I9" s="45" t="s">
        <v>15</v>
      </c>
      <c r="J9" s="44"/>
      <c r="K9" s="48" t="s">
        <v>99</v>
      </c>
      <c r="L9" s="13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36" t="s">
        <v>16</v>
      </c>
      <c r="C10" s="37"/>
      <c r="D10" s="37"/>
      <c r="E10" s="37"/>
      <c r="F10" s="38"/>
      <c r="G10" s="38"/>
      <c r="H10" s="38"/>
      <c r="I10" s="39"/>
      <c r="J10" s="37"/>
      <c r="K10" s="37"/>
      <c r="L10" s="40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4"/>
      <c r="B11" s="151" t="s">
        <v>17</v>
      </c>
      <c r="C11" s="152"/>
      <c r="D11" s="152"/>
      <c r="E11" s="152"/>
      <c r="F11" s="153"/>
      <c r="G11" s="154" t="s">
        <v>18</v>
      </c>
      <c r="H11" s="154" t="s">
        <v>19</v>
      </c>
      <c r="I11" s="62" t="s">
        <v>20</v>
      </c>
      <c r="J11" s="62" t="s">
        <v>21</v>
      </c>
      <c r="K11" s="58" t="s">
        <v>22</v>
      </c>
      <c r="L11" s="13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/>
      <c r="B12" s="155"/>
      <c r="C12" s="156"/>
      <c r="D12" s="157"/>
      <c r="E12" s="156"/>
      <c r="F12" s="158"/>
      <c r="G12" s="159"/>
      <c r="H12" s="160"/>
      <c r="I12" s="130"/>
      <c r="J12" s="130"/>
      <c r="K12" s="161"/>
      <c r="L12" s="162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163"/>
      <c r="C13" s="164"/>
      <c r="D13" s="165"/>
      <c r="E13" s="91"/>
      <c r="F13" s="166"/>
      <c r="G13" s="83"/>
      <c r="H13" s="167"/>
      <c r="I13" s="168"/>
      <c r="J13" s="168"/>
      <c r="K13" s="161"/>
      <c r="L13" s="162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169" t="s">
        <v>100</v>
      </c>
      <c r="C14" s="91"/>
      <c r="D14" s="171"/>
      <c r="E14" s="91"/>
      <c r="F14" s="172"/>
      <c r="G14" s="338" t="s">
        <v>24</v>
      </c>
      <c r="H14" s="339" t="s">
        <v>101</v>
      </c>
      <c r="I14" s="176" t="s">
        <v>26</v>
      </c>
      <c r="J14" s="176" t="s">
        <v>93</v>
      </c>
      <c r="K14" s="161">
        <v>50000.0</v>
      </c>
      <c r="L14" s="162"/>
      <c r="M14" s="4"/>
      <c r="N14" s="5">
        <v>351.0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125"/>
      <c r="C15" s="91"/>
      <c r="D15" s="165"/>
      <c r="E15" s="340"/>
      <c r="F15" s="172"/>
      <c r="G15" s="181"/>
      <c r="H15" s="164"/>
      <c r="I15" s="125"/>
      <c r="J15" s="125"/>
      <c r="K15" s="161"/>
      <c r="L15" s="162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178"/>
      <c r="C16" s="91"/>
      <c r="D16" s="171"/>
      <c r="E16" s="340"/>
      <c r="F16" s="164"/>
      <c r="G16" s="181"/>
      <c r="H16" s="164"/>
      <c r="I16" s="125"/>
      <c r="J16" s="125"/>
      <c r="K16" s="161"/>
      <c r="L16" s="162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341"/>
      <c r="C17" s="342"/>
      <c r="D17" s="165"/>
      <c r="E17" s="340"/>
      <c r="F17" s="164"/>
      <c r="G17" s="181"/>
      <c r="H17" s="164"/>
      <c r="I17" s="125"/>
      <c r="J17" s="125"/>
      <c r="K17" s="161"/>
      <c r="L17" s="162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362"/>
      <c r="C18" s="340"/>
      <c r="D18" s="165"/>
      <c r="E18" s="340"/>
      <c r="F18" s="164"/>
      <c r="G18" s="181"/>
      <c r="H18" s="164"/>
      <c r="I18" s="125"/>
      <c r="J18" s="125"/>
      <c r="K18" s="183"/>
      <c r="L18" s="184"/>
      <c r="M18" s="4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178"/>
      <c r="C19" s="344"/>
      <c r="D19" s="91"/>
      <c r="E19" s="182"/>
      <c r="F19" s="164"/>
      <c r="G19" s="181"/>
      <c r="H19" s="164"/>
      <c r="I19" s="125"/>
      <c r="J19" s="125"/>
      <c r="K19" s="161"/>
      <c r="L19" s="162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4"/>
      <c r="B20" s="185" t="s">
        <v>28</v>
      </c>
      <c r="C20" s="186"/>
      <c r="D20" s="187"/>
      <c r="E20" s="188"/>
      <c r="F20" s="188"/>
      <c r="G20" s="188"/>
      <c r="H20" s="188"/>
      <c r="I20" s="189"/>
      <c r="J20" s="190" t="s">
        <v>29</v>
      </c>
      <c r="K20" s="191">
        <f>SUM(K13:L15)</f>
        <v>50000</v>
      </c>
      <c r="L20" s="192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193" t="s">
        <v>30</v>
      </c>
      <c r="C21" s="194"/>
      <c r="D21" s="194"/>
      <c r="E21" s="194"/>
      <c r="F21" s="195"/>
      <c r="G21" s="195"/>
      <c r="H21" s="195"/>
      <c r="I21" s="170"/>
      <c r="J21" s="196"/>
      <c r="K21" s="196"/>
      <c r="L21" s="197"/>
      <c r="M21" s="4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121" t="s">
        <v>31</v>
      </c>
      <c r="C22" s="122"/>
      <c r="D22" s="198" t="s">
        <v>32</v>
      </c>
      <c r="E22" s="199"/>
      <c r="F22" s="123" t="s">
        <v>33</v>
      </c>
      <c r="G22" s="13"/>
      <c r="H22" s="124" t="s">
        <v>34</v>
      </c>
      <c r="I22" s="13"/>
      <c r="J22" s="124" t="s">
        <v>35</v>
      </c>
      <c r="K22" s="43"/>
      <c r="L22" s="13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33"/>
      <c r="B23" s="125"/>
      <c r="C23" s="126"/>
      <c r="D23" s="125"/>
      <c r="E23" s="126"/>
      <c r="F23" s="127"/>
      <c r="G23" s="128"/>
      <c r="H23" s="200"/>
      <c r="I23" s="201"/>
      <c r="J23" s="130"/>
      <c r="K23" s="131"/>
      <c r="L23" s="132"/>
      <c r="M23" s="133"/>
      <c r="N23" s="134"/>
      <c r="O23" s="134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8.75" customHeight="1">
      <c r="A24" s="4"/>
      <c r="B24" s="202"/>
      <c r="C24" s="136"/>
      <c r="D24" s="202"/>
      <c r="E24" s="136"/>
      <c r="F24" s="345" t="s">
        <v>87</v>
      </c>
      <c r="G24" s="139"/>
      <c r="H24" s="346" t="s">
        <v>69</v>
      </c>
      <c r="I24" s="136"/>
      <c r="J24" s="140"/>
      <c r="K24" s="141"/>
      <c r="L24" s="142"/>
      <c r="M24" s="4"/>
      <c r="N24" s="5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143" t="s">
        <v>39</v>
      </c>
      <c r="C25" s="13"/>
      <c r="D25" s="143" t="s">
        <v>40</v>
      </c>
      <c r="E25" s="13"/>
      <c r="F25" s="143" t="s">
        <v>41</v>
      </c>
      <c r="G25" s="13"/>
      <c r="H25" s="144" t="s">
        <v>42</v>
      </c>
      <c r="I25" s="13"/>
      <c r="J25" s="143" t="s">
        <v>43</v>
      </c>
      <c r="K25" s="43"/>
      <c r="L25" s="13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145"/>
      <c r="C26" s="145"/>
      <c r="D26" s="145"/>
      <c r="E26" s="145"/>
      <c r="F26" s="145"/>
      <c r="G26" s="145"/>
      <c r="H26" s="145"/>
      <c r="I26" s="145"/>
      <c r="J26" s="177"/>
      <c r="K26" s="177"/>
      <c r="L26" s="177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347"/>
      <c r="C30" s="347"/>
      <c r="D30" s="347"/>
      <c r="E30" s="348"/>
      <c r="K30" s="349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347"/>
      <c r="C31" s="347"/>
      <c r="D31" s="347"/>
      <c r="K31" s="134"/>
      <c r="L31" s="133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347"/>
      <c r="C32" s="347"/>
      <c r="D32" s="347"/>
      <c r="K32" s="134"/>
      <c r="L32" s="133"/>
      <c r="M32" s="4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347"/>
      <c r="C33" s="347"/>
      <c r="D33" s="347"/>
      <c r="K33" s="134"/>
      <c r="L33" s="350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351"/>
      <c r="C34" s="351"/>
      <c r="D34" s="351"/>
      <c r="E34" s="351"/>
      <c r="F34" s="4"/>
      <c r="G34" s="4"/>
      <c r="H34" s="4"/>
      <c r="I34" s="4"/>
      <c r="J34" s="4"/>
      <c r="K34" s="4"/>
      <c r="L34" s="352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353"/>
      <c r="C35" s="353"/>
      <c r="D35" s="353"/>
      <c r="E35" s="353"/>
      <c r="F35" s="205"/>
      <c r="G35" s="205"/>
      <c r="H35" s="205"/>
      <c r="I35" s="210"/>
      <c r="J35" s="353"/>
      <c r="K35" s="353"/>
      <c r="L35" s="206"/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353"/>
      <c r="C36" s="205"/>
      <c r="G36" s="205"/>
      <c r="H36" s="205"/>
      <c r="I36" s="353"/>
      <c r="K36" s="205"/>
      <c r="M36" s="4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353"/>
      <c r="C37" s="205"/>
      <c r="G37" s="205"/>
      <c r="H37" s="205"/>
      <c r="I37" s="353"/>
      <c r="K37" s="205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353"/>
      <c r="C38" s="205"/>
      <c r="M38" s="4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353"/>
      <c r="C39" s="353"/>
      <c r="D39" s="353"/>
      <c r="E39" s="353"/>
      <c r="F39" s="205"/>
      <c r="G39" s="205"/>
      <c r="H39" s="205"/>
      <c r="I39" s="210"/>
      <c r="J39" s="353"/>
      <c r="K39" s="353"/>
      <c r="L39" s="206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353"/>
      <c r="C40" s="353"/>
      <c r="D40" s="353"/>
      <c r="E40" s="353"/>
      <c r="F40" s="205"/>
      <c r="G40" s="205"/>
      <c r="H40" s="205"/>
      <c r="I40" s="210"/>
      <c r="J40" s="353"/>
      <c r="K40" s="353"/>
      <c r="L40" s="206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354"/>
      <c r="G41" s="354"/>
      <c r="H41" s="354"/>
      <c r="I41" s="354"/>
      <c r="J41" s="354"/>
      <c r="K41" s="354"/>
      <c r="L41" s="35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353"/>
      <c r="C42" s="353"/>
      <c r="D42" s="353"/>
      <c r="E42" s="353"/>
      <c r="F42" s="210"/>
      <c r="G42" s="210"/>
      <c r="H42" s="210"/>
      <c r="I42" s="210"/>
      <c r="J42" s="353"/>
      <c r="K42" s="353"/>
      <c r="L42" s="355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353"/>
      <c r="C43" s="353"/>
      <c r="D43" s="353"/>
      <c r="E43" s="353"/>
      <c r="F43" s="210"/>
      <c r="G43" s="210"/>
      <c r="H43" s="210"/>
      <c r="I43" s="210"/>
      <c r="J43" s="353"/>
      <c r="K43" s="353"/>
      <c r="L43" s="355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353"/>
      <c r="C44" s="353"/>
      <c r="D44" s="353"/>
      <c r="E44" s="353"/>
      <c r="F44" s="210"/>
      <c r="G44" s="210"/>
      <c r="H44" s="210"/>
      <c r="I44" s="210"/>
      <c r="J44" s="206"/>
      <c r="K44" s="206"/>
      <c r="L44" s="356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353"/>
      <c r="C45" s="353"/>
      <c r="D45" s="353"/>
      <c r="E45" s="353"/>
      <c r="F45" s="210"/>
      <c r="G45" s="210"/>
      <c r="H45" s="210"/>
      <c r="I45" s="210"/>
      <c r="J45" s="206"/>
      <c r="K45" s="206"/>
      <c r="L45" s="355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210"/>
      <c r="C46" s="210"/>
      <c r="D46" s="210"/>
      <c r="E46" s="210"/>
      <c r="F46" s="210"/>
      <c r="G46" s="210"/>
      <c r="H46" s="210"/>
      <c r="I46" s="210"/>
      <c r="J46" s="206"/>
      <c r="K46" s="206"/>
      <c r="L46" s="206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353"/>
      <c r="C47" s="353"/>
      <c r="D47" s="353"/>
      <c r="E47" s="353"/>
      <c r="F47" s="205"/>
      <c r="G47" s="205"/>
      <c r="H47" s="205"/>
      <c r="I47" s="210"/>
      <c r="J47" s="357"/>
      <c r="K47" s="357"/>
      <c r="M47" s="4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354"/>
      <c r="G48" s="354"/>
      <c r="H48" s="354"/>
      <c r="I48" s="354"/>
      <c r="J48" s="355"/>
      <c r="K48" s="355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353"/>
      <c r="C49" s="353"/>
      <c r="D49" s="353"/>
      <c r="E49" s="353"/>
      <c r="F49" s="210"/>
      <c r="G49" s="210"/>
      <c r="H49" s="210"/>
      <c r="I49" s="210"/>
      <c r="J49" s="357"/>
      <c r="K49" s="357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353"/>
      <c r="C50" s="353"/>
      <c r="D50" s="353"/>
      <c r="E50" s="353"/>
      <c r="F50" s="210"/>
      <c r="G50" s="210"/>
      <c r="H50" s="210"/>
      <c r="I50" s="210"/>
      <c r="J50" s="355"/>
      <c r="K50" s="355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353"/>
      <c r="C51" s="353"/>
      <c r="D51" s="353"/>
      <c r="E51" s="353"/>
      <c r="F51" s="210"/>
      <c r="G51" s="210"/>
      <c r="H51" s="210"/>
      <c r="I51" s="210"/>
      <c r="J51" s="357"/>
      <c r="K51" s="357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204"/>
      <c r="C52" s="204"/>
      <c r="D52" s="204"/>
      <c r="E52" s="204"/>
      <c r="F52" s="205"/>
      <c r="G52" s="205"/>
      <c r="H52" s="205"/>
      <c r="I52" s="206"/>
      <c r="J52" s="207"/>
      <c r="K52" s="207"/>
      <c r="L52" s="207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208"/>
      <c r="C53" s="208"/>
      <c r="D53" s="208"/>
      <c r="E53" s="208"/>
      <c r="F53" s="208"/>
      <c r="G53" s="208"/>
      <c r="H53" s="208"/>
      <c r="I53" s="209"/>
      <c r="J53" s="208"/>
      <c r="K53" s="208"/>
      <c r="L53" s="206"/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33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133"/>
      <c r="N54" s="134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8.75" customHeight="1">
      <c r="A55" s="4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204"/>
      <c r="D56" s="204"/>
      <c r="F56" s="204"/>
      <c r="G56" s="204"/>
      <c r="H56" s="204"/>
      <c r="I56" s="204"/>
      <c r="K56" s="20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0">
    <mergeCell ref="F2:J5"/>
    <mergeCell ref="K2:L2"/>
    <mergeCell ref="C8:H8"/>
    <mergeCell ref="I8:J8"/>
    <mergeCell ref="K8:L8"/>
    <mergeCell ref="I9:J9"/>
    <mergeCell ref="K9:L9"/>
    <mergeCell ref="C9:H9"/>
    <mergeCell ref="B11:F11"/>
    <mergeCell ref="K11:L11"/>
    <mergeCell ref="K12:L12"/>
    <mergeCell ref="K13:L13"/>
    <mergeCell ref="K14:L14"/>
    <mergeCell ref="K15:L15"/>
    <mergeCell ref="K16:L16"/>
    <mergeCell ref="K17:L17"/>
    <mergeCell ref="K19:L19"/>
    <mergeCell ref="D20:H20"/>
    <mergeCell ref="K20:L20"/>
    <mergeCell ref="H22:I22"/>
    <mergeCell ref="J22:L22"/>
    <mergeCell ref="F22:G22"/>
    <mergeCell ref="B24:C24"/>
    <mergeCell ref="D24:E24"/>
    <mergeCell ref="H24:I24"/>
    <mergeCell ref="B25:C25"/>
    <mergeCell ref="D25:E25"/>
    <mergeCell ref="F25:G25"/>
    <mergeCell ref="I36:J36"/>
    <mergeCell ref="I37:J37"/>
    <mergeCell ref="K47:L47"/>
    <mergeCell ref="K49:L49"/>
    <mergeCell ref="K50:L50"/>
    <mergeCell ref="K51:L51"/>
    <mergeCell ref="H25:I25"/>
    <mergeCell ref="J25:L25"/>
    <mergeCell ref="E30:J33"/>
    <mergeCell ref="K30:L30"/>
    <mergeCell ref="C36:F36"/>
    <mergeCell ref="K36:L36"/>
    <mergeCell ref="K37:L37"/>
    <mergeCell ref="I56:J56"/>
    <mergeCell ref="K56:L56"/>
    <mergeCell ref="C37:F37"/>
    <mergeCell ref="C38:L38"/>
    <mergeCell ref="B41:F41"/>
    <mergeCell ref="B48:F48"/>
    <mergeCell ref="K48:L48"/>
    <mergeCell ref="B56:C56"/>
    <mergeCell ref="D56:E56"/>
  </mergeCells>
  <printOptions horizontalCentered="1"/>
  <pageMargins bottom="0.25" footer="0.0" header="0.0" left="0.0" right="0.0" top="0.2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4.57"/>
    <col customWidth="1" min="3" max="3" width="6.0"/>
    <col customWidth="1" min="4" max="4" width="12.14"/>
    <col customWidth="1" min="5" max="5" width="12.0"/>
    <col customWidth="1" min="6" max="6" width="29.86"/>
    <col customWidth="1" min="7" max="9" width="13.14"/>
    <col customWidth="1" min="10" max="10" width="14.86"/>
    <col customWidth="1" min="11" max="11" width="12.57"/>
    <col customWidth="1" min="12" max="12" width="14.29"/>
    <col customWidth="1" min="13" max="13" width="11.57"/>
    <col customWidth="1" min="14" max="14" width="14.29"/>
    <col customWidth="1" min="15" max="15" width="11.29"/>
    <col customWidth="1" min="16" max="26" width="9.29"/>
  </cols>
  <sheetData>
    <row r="1" ht="12.75" customHeight="1">
      <c r="A1" s="4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6"/>
      <c r="C2" s="7"/>
      <c r="D2" s="7"/>
      <c r="E2" s="211"/>
      <c r="F2" s="9" t="s">
        <v>0</v>
      </c>
      <c r="G2" s="10"/>
      <c r="H2" s="10"/>
      <c r="I2" s="10"/>
      <c r="J2" s="11"/>
      <c r="K2" s="12" t="s">
        <v>1</v>
      </c>
      <c r="L2" s="13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4"/>
      <c r="B3" s="14"/>
      <c r="C3" s="15"/>
      <c r="D3" s="15"/>
      <c r="E3" s="212"/>
      <c r="F3" s="17"/>
      <c r="J3" s="18"/>
      <c r="K3" s="19" t="s">
        <v>2</v>
      </c>
      <c r="L3" s="20" t="s">
        <v>3</v>
      </c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/>
      <c r="B4" s="14"/>
      <c r="C4" s="15"/>
      <c r="D4" s="15"/>
      <c r="E4" s="212"/>
      <c r="F4" s="17"/>
      <c r="J4" s="18"/>
      <c r="K4" s="21" t="s">
        <v>4</v>
      </c>
      <c r="L4" s="22" t="s">
        <v>5</v>
      </c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4"/>
      <c r="B5" s="23"/>
      <c r="C5" s="24"/>
      <c r="D5" s="24"/>
      <c r="E5" s="213"/>
      <c r="F5" s="26"/>
      <c r="G5" s="27"/>
      <c r="H5" s="27"/>
      <c r="I5" s="27"/>
      <c r="J5" s="28"/>
      <c r="K5" s="29" t="s">
        <v>6</v>
      </c>
      <c r="L5" s="30" t="s">
        <v>7</v>
      </c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31"/>
      <c r="C6" s="32"/>
      <c r="D6" s="32"/>
      <c r="E6" s="32"/>
      <c r="F6" s="214"/>
      <c r="G6" s="214"/>
      <c r="H6" s="214"/>
      <c r="I6" s="214"/>
      <c r="J6" s="214"/>
      <c r="K6" s="34" t="s">
        <v>8</v>
      </c>
      <c r="L6" s="35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36" t="s">
        <v>9</v>
      </c>
      <c r="C7" s="37"/>
      <c r="D7" s="37"/>
      <c r="E7" s="37"/>
      <c r="F7" s="38"/>
      <c r="G7" s="38"/>
      <c r="H7" s="38"/>
      <c r="I7" s="39"/>
      <c r="J7" s="37"/>
      <c r="K7" s="37"/>
      <c r="L7" s="40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/>
      <c r="B8" s="41" t="s">
        <v>10</v>
      </c>
      <c r="C8" s="148" t="s">
        <v>102</v>
      </c>
      <c r="D8" s="43"/>
      <c r="E8" s="43"/>
      <c r="F8" s="43"/>
      <c r="G8" s="43"/>
      <c r="H8" s="44"/>
      <c r="I8" s="45" t="s">
        <v>12</v>
      </c>
      <c r="J8" s="44"/>
      <c r="K8" s="373" t="s">
        <v>103</v>
      </c>
      <c r="L8" s="13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/>
      <c r="B9" s="41" t="s">
        <v>13</v>
      </c>
      <c r="C9" s="150" t="s">
        <v>104</v>
      </c>
      <c r="D9" s="43"/>
      <c r="E9" s="43"/>
      <c r="F9" s="43"/>
      <c r="G9" s="43"/>
      <c r="H9" s="13"/>
      <c r="I9" s="45" t="s">
        <v>15</v>
      </c>
      <c r="J9" s="44"/>
      <c r="K9" s="374" t="s">
        <v>105</v>
      </c>
      <c r="L9" s="13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36" t="s">
        <v>16</v>
      </c>
      <c r="C10" s="37"/>
      <c r="D10" s="37"/>
      <c r="E10" s="37"/>
      <c r="F10" s="38"/>
      <c r="G10" s="38"/>
      <c r="H10" s="38"/>
      <c r="I10" s="39"/>
      <c r="J10" s="37"/>
      <c r="K10" s="37"/>
      <c r="L10" s="40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4"/>
      <c r="B11" s="151" t="s">
        <v>17</v>
      </c>
      <c r="C11" s="152"/>
      <c r="D11" s="152"/>
      <c r="E11" s="152"/>
      <c r="F11" s="153"/>
      <c r="G11" s="154" t="s">
        <v>18</v>
      </c>
      <c r="H11" s="154" t="s">
        <v>19</v>
      </c>
      <c r="I11" s="62" t="s">
        <v>20</v>
      </c>
      <c r="J11" s="62" t="s">
        <v>21</v>
      </c>
      <c r="K11" s="58" t="s">
        <v>22</v>
      </c>
      <c r="L11" s="13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/>
      <c r="B12" s="155"/>
      <c r="C12" s="156"/>
      <c r="D12" s="157"/>
      <c r="E12" s="156"/>
      <c r="F12" s="158"/>
      <c r="G12" s="159"/>
      <c r="H12" s="160"/>
      <c r="I12" s="130"/>
      <c r="J12" s="130"/>
      <c r="K12" s="161"/>
      <c r="L12" s="162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163"/>
      <c r="C13" s="164"/>
      <c r="D13" s="165"/>
      <c r="E13" s="91"/>
      <c r="F13" s="166"/>
      <c r="G13" s="83"/>
      <c r="H13" s="167"/>
      <c r="I13" s="168"/>
      <c r="J13" s="168"/>
      <c r="K13" s="161"/>
      <c r="L13" s="162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169" t="s">
        <v>106</v>
      </c>
      <c r="C14" s="91"/>
      <c r="D14" s="171"/>
      <c r="E14" s="91"/>
      <c r="F14" s="172"/>
      <c r="G14" s="173" t="s">
        <v>24</v>
      </c>
      <c r="H14" s="174" t="s">
        <v>101</v>
      </c>
      <c r="I14" s="176" t="s">
        <v>26</v>
      </c>
      <c r="J14" s="176" t="s">
        <v>107</v>
      </c>
      <c r="K14" s="161">
        <v>20000.0</v>
      </c>
      <c r="L14" s="162"/>
      <c r="M14" s="4"/>
      <c r="N14" s="5">
        <v>351.0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125"/>
      <c r="C15" s="91"/>
      <c r="D15" s="165"/>
      <c r="E15" s="340"/>
      <c r="F15" s="172"/>
      <c r="G15" s="181"/>
      <c r="H15" s="164"/>
      <c r="I15" s="125"/>
      <c r="J15" s="125"/>
      <c r="K15" s="161"/>
      <c r="L15" s="162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125" t="s">
        <v>108</v>
      </c>
      <c r="C16" s="91"/>
      <c r="D16" s="171"/>
      <c r="E16" s="340"/>
      <c r="F16" s="164"/>
      <c r="G16" s="181"/>
      <c r="H16" s="164"/>
      <c r="I16" s="125"/>
      <c r="J16" s="125"/>
      <c r="K16" s="161"/>
      <c r="L16" s="162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341"/>
      <c r="C17" s="342"/>
      <c r="D17" s="165"/>
      <c r="E17" s="340"/>
      <c r="F17" s="164"/>
      <c r="G17" s="181"/>
      <c r="H17" s="164"/>
      <c r="I17" s="125"/>
      <c r="J17" s="125"/>
      <c r="K17" s="161"/>
      <c r="L17" s="162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362"/>
      <c r="C18" s="165"/>
      <c r="D18" s="165"/>
      <c r="E18" s="340"/>
      <c r="F18" s="164"/>
      <c r="G18" s="181"/>
      <c r="H18" s="164"/>
      <c r="I18" s="125"/>
      <c r="J18" s="125"/>
      <c r="K18" s="183"/>
      <c r="L18" s="184"/>
      <c r="M18" s="4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178"/>
      <c r="C19" s="182"/>
      <c r="D19" s="91"/>
      <c r="E19" s="182"/>
      <c r="F19" s="164"/>
      <c r="G19" s="181"/>
      <c r="H19" s="164"/>
      <c r="I19" s="125"/>
      <c r="J19" s="125"/>
      <c r="K19" s="161"/>
      <c r="L19" s="162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4"/>
      <c r="B20" s="185" t="s">
        <v>28</v>
      </c>
      <c r="C20" s="186"/>
      <c r="D20" s="187"/>
      <c r="E20" s="188"/>
      <c r="F20" s="188"/>
      <c r="G20" s="188"/>
      <c r="H20" s="188"/>
      <c r="I20" s="189"/>
      <c r="J20" s="190" t="s">
        <v>29</v>
      </c>
      <c r="K20" s="191">
        <f>SUM(K13:L15)</f>
        <v>20000</v>
      </c>
      <c r="L20" s="192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193" t="s">
        <v>30</v>
      </c>
      <c r="C21" s="194"/>
      <c r="D21" s="194"/>
      <c r="E21" s="194"/>
      <c r="F21" s="195"/>
      <c r="G21" s="195"/>
      <c r="H21" s="195"/>
      <c r="I21" s="170"/>
      <c r="J21" s="196"/>
      <c r="K21" s="196"/>
      <c r="L21" s="197"/>
      <c r="M21" s="4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121" t="s">
        <v>31</v>
      </c>
      <c r="C22" s="122"/>
      <c r="D22" s="198" t="s">
        <v>32</v>
      </c>
      <c r="E22" s="199"/>
      <c r="F22" s="123" t="s">
        <v>33</v>
      </c>
      <c r="G22" s="13"/>
      <c r="H22" s="124" t="s">
        <v>34</v>
      </c>
      <c r="I22" s="13"/>
      <c r="J22" s="124" t="s">
        <v>35</v>
      </c>
      <c r="K22" s="43"/>
      <c r="L22" s="13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33"/>
      <c r="B23" s="125"/>
      <c r="C23" s="126"/>
      <c r="D23" s="125"/>
      <c r="E23" s="126"/>
      <c r="F23" s="127"/>
      <c r="G23" s="128"/>
      <c r="H23" s="200"/>
      <c r="I23" s="201"/>
      <c r="J23" s="130"/>
      <c r="K23" s="131"/>
      <c r="L23" s="132"/>
      <c r="M23" s="133"/>
      <c r="N23" s="134"/>
      <c r="O23" s="134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8.75" customHeight="1">
      <c r="A24" s="4"/>
      <c r="B24" s="202"/>
      <c r="C24" s="136"/>
      <c r="D24" s="202"/>
      <c r="E24" s="136"/>
      <c r="F24" s="345" t="s">
        <v>79</v>
      </c>
      <c r="G24" s="139"/>
      <c r="H24" s="346" t="s">
        <v>69</v>
      </c>
      <c r="I24" s="136"/>
      <c r="J24" s="140"/>
      <c r="K24" s="141"/>
      <c r="L24" s="142"/>
      <c r="M24" s="4"/>
      <c r="N24" s="5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143" t="s">
        <v>39</v>
      </c>
      <c r="C25" s="13"/>
      <c r="D25" s="143" t="s">
        <v>40</v>
      </c>
      <c r="E25" s="13"/>
      <c r="F25" s="143" t="s">
        <v>41</v>
      </c>
      <c r="G25" s="13"/>
      <c r="H25" s="144" t="s">
        <v>42</v>
      </c>
      <c r="I25" s="13"/>
      <c r="J25" s="143" t="s">
        <v>43</v>
      </c>
      <c r="K25" s="43"/>
      <c r="L25" s="13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145"/>
      <c r="C26" s="145"/>
      <c r="D26" s="145"/>
      <c r="E26" s="145"/>
      <c r="F26" s="145"/>
      <c r="G26" s="145"/>
      <c r="H26" s="145"/>
      <c r="I26" s="145"/>
      <c r="J26" s="177"/>
      <c r="K26" s="177"/>
      <c r="L26" s="177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347"/>
      <c r="C30" s="347"/>
      <c r="D30" s="347"/>
      <c r="E30" s="348"/>
      <c r="K30" s="349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347"/>
      <c r="C31" s="347"/>
      <c r="D31" s="347"/>
      <c r="K31" s="134"/>
      <c r="L31" s="133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347"/>
      <c r="C32" s="347"/>
      <c r="D32" s="347"/>
      <c r="K32" s="134"/>
      <c r="L32" s="133"/>
      <c r="M32" s="4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347"/>
      <c r="C33" s="347"/>
      <c r="D33" s="347"/>
      <c r="K33" s="134"/>
      <c r="L33" s="350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351"/>
      <c r="C34" s="351"/>
      <c r="D34" s="351"/>
      <c r="E34" s="351"/>
      <c r="F34" s="4"/>
      <c r="G34" s="4"/>
      <c r="H34" s="4"/>
      <c r="I34" s="4"/>
      <c r="J34" s="4"/>
      <c r="K34" s="4"/>
      <c r="L34" s="352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353"/>
      <c r="C35" s="353"/>
      <c r="D35" s="353"/>
      <c r="E35" s="353"/>
      <c r="F35" s="205"/>
      <c r="G35" s="205"/>
      <c r="H35" s="205"/>
      <c r="I35" s="210"/>
      <c r="J35" s="353"/>
      <c r="K35" s="353"/>
      <c r="L35" s="206"/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353"/>
      <c r="C36" s="205"/>
      <c r="G36" s="205"/>
      <c r="H36" s="205"/>
      <c r="I36" s="353"/>
      <c r="K36" s="205"/>
      <c r="M36" s="4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353"/>
      <c r="C37" s="205"/>
      <c r="G37" s="205"/>
      <c r="H37" s="205"/>
      <c r="I37" s="353"/>
      <c r="K37" s="205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353"/>
      <c r="C38" s="205"/>
      <c r="M38" s="4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353"/>
      <c r="C39" s="353"/>
      <c r="D39" s="353"/>
      <c r="E39" s="353"/>
      <c r="F39" s="205"/>
      <c r="G39" s="205"/>
      <c r="H39" s="205"/>
      <c r="I39" s="210"/>
      <c r="J39" s="353"/>
      <c r="K39" s="353"/>
      <c r="L39" s="206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353"/>
      <c r="C40" s="353"/>
      <c r="D40" s="353"/>
      <c r="E40" s="353"/>
      <c r="F40" s="205"/>
      <c r="G40" s="205"/>
      <c r="H40" s="205"/>
      <c r="I40" s="210"/>
      <c r="J40" s="353"/>
      <c r="K40" s="353"/>
      <c r="L40" s="206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354"/>
      <c r="G41" s="354"/>
      <c r="H41" s="354"/>
      <c r="I41" s="354"/>
      <c r="J41" s="354"/>
      <c r="K41" s="354"/>
      <c r="L41" s="35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353"/>
      <c r="C42" s="353"/>
      <c r="D42" s="353"/>
      <c r="E42" s="353"/>
      <c r="F42" s="210"/>
      <c r="G42" s="210"/>
      <c r="H42" s="210"/>
      <c r="I42" s="210"/>
      <c r="J42" s="353"/>
      <c r="K42" s="353"/>
      <c r="L42" s="355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353"/>
      <c r="C43" s="353"/>
      <c r="D43" s="353"/>
      <c r="E43" s="353"/>
      <c r="F43" s="210"/>
      <c r="G43" s="210"/>
      <c r="H43" s="210"/>
      <c r="I43" s="210"/>
      <c r="J43" s="353"/>
      <c r="K43" s="353"/>
      <c r="L43" s="355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353"/>
      <c r="C44" s="353"/>
      <c r="D44" s="353"/>
      <c r="E44" s="353"/>
      <c r="F44" s="210"/>
      <c r="G44" s="210"/>
      <c r="H44" s="210"/>
      <c r="I44" s="210"/>
      <c r="J44" s="206"/>
      <c r="K44" s="206"/>
      <c r="L44" s="356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353"/>
      <c r="C45" s="353"/>
      <c r="D45" s="353"/>
      <c r="E45" s="353"/>
      <c r="F45" s="210"/>
      <c r="G45" s="210"/>
      <c r="H45" s="210"/>
      <c r="I45" s="210"/>
      <c r="J45" s="206"/>
      <c r="K45" s="206"/>
      <c r="L45" s="355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210"/>
      <c r="C46" s="210"/>
      <c r="D46" s="210"/>
      <c r="E46" s="210"/>
      <c r="F46" s="210"/>
      <c r="G46" s="210"/>
      <c r="H46" s="210"/>
      <c r="I46" s="210"/>
      <c r="J46" s="206"/>
      <c r="K46" s="206"/>
      <c r="L46" s="206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353"/>
      <c r="C47" s="353"/>
      <c r="D47" s="353"/>
      <c r="E47" s="353"/>
      <c r="F47" s="205"/>
      <c r="G47" s="205"/>
      <c r="H47" s="205"/>
      <c r="I47" s="210"/>
      <c r="J47" s="357"/>
      <c r="K47" s="357"/>
      <c r="M47" s="4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354"/>
      <c r="G48" s="354"/>
      <c r="H48" s="354"/>
      <c r="I48" s="354"/>
      <c r="J48" s="355"/>
      <c r="K48" s="355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353"/>
      <c r="C49" s="353"/>
      <c r="D49" s="353"/>
      <c r="E49" s="353"/>
      <c r="F49" s="210"/>
      <c r="G49" s="210"/>
      <c r="H49" s="210"/>
      <c r="I49" s="210"/>
      <c r="J49" s="357"/>
      <c r="K49" s="357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353"/>
      <c r="C50" s="353"/>
      <c r="D50" s="353"/>
      <c r="E50" s="353"/>
      <c r="F50" s="210"/>
      <c r="G50" s="210"/>
      <c r="H50" s="210"/>
      <c r="I50" s="210"/>
      <c r="J50" s="355"/>
      <c r="K50" s="355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353"/>
      <c r="C51" s="353"/>
      <c r="D51" s="353"/>
      <c r="E51" s="353"/>
      <c r="F51" s="210"/>
      <c r="G51" s="210"/>
      <c r="H51" s="210"/>
      <c r="I51" s="210"/>
      <c r="J51" s="357"/>
      <c r="K51" s="357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204"/>
      <c r="C52" s="204"/>
      <c r="D52" s="204"/>
      <c r="E52" s="204"/>
      <c r="F52" s="205"/>
      <c r="G52" s="205"/>
      <c r="H52" s="205"/>
      <c r="I52" s="206"/>
      <c r="J52" s="207"/>
      <c r="K52" s="207"/>
      <c r="L52" s="207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208"/>
      <c r="C53" s="208"/>
      <c r="D53" s="208"/>
      <c r="E53" s="208"/>
      <c r="F53" s="208"/>
      <c r="G53" s="208"/>
      <c r="H53" s="208"/>
      <c r="I53" s="209"/>
      <c r="J53" s="208"/>
      <c r="K53" s="208"/>
      <c r="L53" s="206"/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33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133"/>
      <c r="N54" s="134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8.75" customHeight="1">
      <c r="A55" s="4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204"/>
      <c r="D56" s="204"/>
      <c r="F56" s="204"/>
      <c r="G56" s="204"/>
      <c r="H56" s="204"/>
      <c r="I56" s="204"/>
      <c r="K56" s="20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0">
    <mergeCell ref="F2:J5"/>
    <mergeCell ref="K2:L2"/>
    <mergeCell ref="C8:H8"/>
    <mergeCell ref="I8:J8"/>
    <mergeCell ref="K8:L8"/>
    <mergeCell ref="I9:J9"/>
    <mergeCell ref="K9:L9"/>
    <mergeCell ref="C9:H9"/>
    <mergeCell ref="B11:F11"/>
    <mergeCell ref="K11:L11"/>
    <mergeCell ref="K12:L12"/>
    <mergeCell ref="K13:L13"/>
    <mergeCell ref="K14:L14"/>
    <mergeCell ref="K15:L15"/>
    <mergeCell ref="K16:L16"/>
    <mergeCell ref="K17:L17"/>
    <mergeCell ref="K19:L19"/>
    <mergeCell ref="D20:H20"/>
    <mergeCell ref="K20:L20"/>
    <mergeCell ref="H22:I22"/>
    <mergeCell ref="J22:L22"/>
    <mergeCell ref="F22:G22"/>
    <mergeCell ref="B24:C24"/>
    <mergeCell ref="D24:E24"/>
    <mergeCell ref="H24:I24"/>
    <mergeCell ref="B25:C25"/>
    <mergeCell ref="D25:E25"/>
    <mergeCell ref="F25:G25"/>
    <mergeCell ref="I36:J36"/>
    <mergeCell ref="I37:J37"/>
    <mergeCell ref="K47:L47"/>
    <mergeCell ref="K49:L49"/>
    <mergeCell ref="K50:L50"/>
    <mergeCell ref="K51:L51"/>
    <mergeCell ref="H25:I25"/>
    <mergeCell ref="J25:L25"/>
    <mergeCell ref="E30:J33"/>
    <mergeCell ref="K30:L30"/>
    <mergeCell ref="C36:F36"/>
    <mergeCell ref="K36:L36"/>
    <mergeCell ref="K37:L37"/>
    <mergeCell ref="I56:J56"/>
    <mergeCell ref="K56:L56"/>
    <mergeCell ref="C37:F37"/>
    <mergeCell ref="C38:L38"/>
    <mergeCell ref="B41:F41"/>
    <mergeCell ref="B48:F48"/>
    <mergeCell ref="K48:L48"/>
    <mergeCell ref="B56:C56"/>
    <mergeCell ref="D56:E56"/>
  </mergeCells>
  <printOptions horizontalCentered="1"/>
  <pageMargins bottom="0.25" footer="0.0" header="0.0" left="0.0" right="0.0" top="0.2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4.57"/>
    <col customWidth="1" min="3" max="3" width="6.0"/>
    <col customWidth="1" min="4" max="4" width="12.14"/>
    <col customWidth="1" min="5" max="5" width="12.0"/>
    <col customWidth="1" min="6" max="6" width="29.86"/>
    <col customWidth="1" min="7" max="9" width="13.14"/>
    <col customWidth="1" min="10" max="10" width="14.86"/>
    <col customWidth="1" min="11" max="11" width="12.57"/>
    <col customWidth="1" min="12" max="12" width="14.29"/>
    <col customWidth="1" min="13" max="13" width="11.57"/>
    <col customWidth="1" min="14" max="14" width="14.29"/>
    <col customWidth="1" min="15" max="15" width="11.29"/>
    <col customWidth="1" min="16" max="26" width="9.29"/>
  </cols>
  <sheetData>
    <row r="1" ht="12.75" customHeight="1">
      <c r="A1" s="4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6"/>
      <c r="C2" s="7"/>
      <c r="D2" s="7"/>
      <c r="E2" s="211"/>
      <c r="F2" s="9" t="s">
        <v>0</v>
      </c>
      <c r="G2" s="10"/>
      <c r="H2" s="10"/>
      <c r="I2" s="10"/>
      <c r="J2" s="11"/>
      <c r="K2" s="12" t="s">
        <v>1</v>
      </c>
      <c r="L2" s="13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4"/>
      <c r="B3" s="14"/>
      <c r="C3" s="15"/>
      <c r="D3" s="15"/>
      <c r="E3" s="212"/>
      <c r="F3" s="17"/>
      <c r="J3" s="18"/>
      <c r="K3" s="19" t="s">
        <v>2</v>
      </c>
      <c r="L3" s="20" t="s">
        <v>3</v>
      </c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/>
      <c r="B4" s="14"/>
      <c r="C4" s="15"/>
      <c r="D4" s="15"/>
      <c r="E4" s="212"/>
      <c r="F4" s="17"/>
      <c r="J4" s="18"/>
      <c r="K4" s="21" t="s">
        <v>4</v>
      </c>
      <c r="L4" s="22" t="s">
        <v>5</v>
      </c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4"/>
      <c r="B5" s="23"/>
      <c r="C5" s="24"/>
      <c r="D5" s="24"/>
      <c r="E5" s="213"/>
      <c r="F5" s="26"/>
      <c r="G5" s="27"/>
      <c r="H5" s="27"/>
      <c r="I5" s="27"/>
      <c r="J5" s="28"/>
      <c r="K5" s="29" t="s">
        <v>6</v>
      </c>
      <c r="L5" s="30" t="s">
        <v>7</v>
      </c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31"/>
      <c r="C6" s="32"/>
      <c r="D6" s="32"/>
      <c r="E6" s="32"/>
      <c r="F6" s="214"/>
      <c r="G6" s="214"/>
      <c r="H6" s="214"/>
      <c r="I6" s="214"/>
      <c r="J6" s="214"/>
      <c r="K6" s="34" t="s">
        <v>8</v>
      </c>
      <c r="L6" s="35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36" t="s">
        <v>9</v>
      </c>
      <c r="C7" s="37"/>
      <c r="D7" s="37"/>
      <c r="E7" s="37"/>
      <c r="F7" s="38"/>
      <c r="G7" s="38"/>
      <c r="H7" s="38"/>
      <c r="I7" s="39"/>
      <c r="J7" s="37"/>
      <c r="K7" s="37"/>
      <c r="L7" s="40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/>
      <c r="B8" s="41" t="s">
        <v>10</v>
      </c>
      <c r="C8" s="148" t="s">
        <v>109</v>
      </c>
      <c r="D8" s="43"/>
      <c r="E8" s="43"/>
      <c r="F8" s="43"/>
      <c r="G8" s="43"/>
      <c r="H8" s="44"/>
      <c r="I8" s="45" t="s">
        <v>12</v>
      </c>
      <c r="J8" s="44"/>
      <c r="K8" s="337" t="s">
        <v>110</v>
      </c>
      <c r="L8" s="13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/>
      <c r="B9" s="41" t="s">
        <v>13</v>
      </c>
      <c r="C9" s="150" t="s">
        <v>111</v>
      </c>
      <c r="D9" s="43"/>
      <c r="E9" s="43"/>
      <c r="F9" s="43"/>
      <c r="G9" s="43"/>
      <c r="H9" s="13"/>
      <c r="I9" s="45" t="s">
        <v>15</v>
      </c>
      <c r="J9" s="44"/>
      <c r="K9" s="48"/>
      <c r="L9" s="13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36" t="s">
        <v>16</v>
      </c>
      <c r="C10" s="37"/>
      <c r="D10" s="37"/>
      <c r="E10" s="37"/>
      <c r="F10" s="38"/>
      <c r="G10" s="38"/>
      <c r="H10" s="38"/>
      <c r="I10" s="39"/>
      <c r="J10" s="37"/>
      <c r="K10" s="37"/>
      <c r="L10" s="40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4"/>
      <c r="B11" s="151" t="s">
        <v>17</v>
      </c>
      <c r="C11" s="152"/>
      <c r="D11" s="152"/>
      <c r="E11" s="152"/>
      <c r="F11" s="153"/>
      <c r="G11" s="154" t="s">
        <v>18</v>
      </c>
      <c r="H11" s="154" t="s">
        <v>19</v>
      </c>
      <c r="I11" s="62" t="s">
        <v>20</v>
      </c>
      <c r="J11" s="62" t="s">
        <v>21</v>
      </c>
      <c r="K11" s="58" t="s">
        <v>22</v>
      </c>
      <c r="L11" s="13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/>
      <c r="B12" s="155"/>
      <c r="C12" s="156"/>
      <c r="D12" s="157"/>
      <c r="E12" s="156"/>
      <c r="F12" s="158"/>
      <c r="G12" s="159"/>
      <c r="H12" s="160"/>
      <c r="I12" s="130"/>
      <c r="J12" s="130"/>
      <c r="K12" s="161"/>
      <c r="L12" s="162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163"/>
      <c r="C13" s="164"/>
      <c r="D13" s="165"/>
      <c r="E13" s="91"/>
      <c r="F13" s="166"/>
      <c r="G13" s="83"/>
      <c r="H13" s="167"/>
      <c r="I13" s="168"/>
      <c r="J13" s="168"/>
      <c r="K13" s="161"/>
      <c r="L13" s="162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169" t="s">
        <v>112</v>
      </c>
      <c r="C14" s="363"/>
      <c r="D14" s="364"/>
      <c r="E14" s="363"/>
      <c r="F14" s="365"/>
      <c r="G14" s="366" t="s">
        <v>24</v>
      </c>
      <c r="H14" s="367" t="s">
        <v>25</v>
      </c>
      <c r="I14" s="368" t="s">
        <v>26</v>
      </c>
      <c r="J14" s="368" t="s">
        <v>113</v>
      </c>
      <c r="K14" s="161">
        <v>4500.0</v>
      </c>
      <c r="L14" s="162"/>
      <c r="M14" s="4"/>
      <c r="N14" s="5">
        <v>351.0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169"/>
      <c r="C15" s="363"/>
      <c r="D15" s="369"/>
      <c r="E15" s="370"/>
      <c r="F15" s="365"/>
      <c r="G15" s="366"/>
      <c r="H15" s="367"/>
      <c r="I15" s="368"/>
      <c r="J15" s="371"/>
      <c r="K15" s="161"/>
      <c r="L15" s="162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169"/>
      <c r="C16" s="363"/>
      <c r="D16" s="364"/>
      <c r="E16" s="370"/>
      <c r="F16" s="372"/>
      <c r="G16" s="366"/>
      <c r="H16" s="367"/>
      <c r="I16" s="368"/>
      <c r="J16" s="371"/>
      <c r="K16" s="161"/>
      <c r="L16" s="162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341"/>
      <c r="C17" s="342"/>
      <c r="D17" s="165"/>
      <c r="E17" s="340"/>
      <c r="F17" s="164"/>
      <c r="G17" s="181"/>
      <c r="H17" s="164"/>
      <c r="I17" s="125"/>
      <c r="J17" s="125"/>
      <c r="K17" s="161"/>
      <c r="L17" s="162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362"/>
      <c r="C18" s="340"/>
      <c r="D18" s="165"/>
      <c r="E18" s="340"/>
      <c r="F18" s="164"/>
      <c r="G18" s="181"/>
      <c r="H18" s="164"/>
      <c r="I18" s="125"/>
      <c r="J18" s="125"/>
      <c r="K18" s="183"/>
      <c r="L18" s="184"/>
      <c r="M18" s="4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178"/>
      <c r="C19" s="344"/>
      <c r="D19" s="91"/>
      <c r="E19" s="182"/>
      <c r="F19" s="164"/>
      <c r="G19" s="181"/>
      <c r="H19" s="164"/>
      <c r="I19" s="125"/>
      <c r="J19" s="125"/>
      <c r="K19" s="161"/>
      <c r="L19" s="162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4"/>
      <c r="B20" s="185" t="s">
        <v>28</v>
      </c>
      <c r="C20" s="186"/>
      <c r="D20" s="187"/>
      <c r="E20" s="188"/>
      <c r="F20" s="188"/>
      <c r="G20" s="188"/>
      <c r="H20" s="188"/>
      <c r="I20" s="189"/>
      <c r="J20" s="190" t="s">
        <v>29</v>
      </c>
      <c r="K20" s="191">
        <f>SUM(K13:L18)</f>
        <v>4500</v>
      </c>
      <c r="L20" s="192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193" t="s">
        <v>30</v>
      </c>
      <c r="C21" s="194"/>
      <c r="D21" s="194"/>
      <c r="E21" s="194"/>
      <c r="F21" s="195"/>
      <c r="G21" s="195"/>
      <c r="H21" s="195"/>
      <c r="I21" s="170"/>
      <c r="J21" s="196"/>
      <c r="K21" s="196"/>
      <c r="L21" s="197"/>
      <c r="M21" s="4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121" t="s">
        <v>31</v>
      </c>
      <c r="C22" s="122"/>
      <c r="D22" s="198" t="s">
        <v>32</v>
      </c>
      <c r="E22" s="199"/>
      <c r="F22" s="123" t="s">
        <v>33</v>
      </c>
      <c r="G22" s="13"/>
      <c r="H22" s="124" t="s">
        <v>34</v>
      </c>
      <c r="I22" s="13"/>
      <c r="J22" s="124" t="s">
        <v>35</v>
      </c>
      <c r="K22" s="43"/>
      <c r="L22" s="13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33"/>
      <c r="B23" s="125"/>
      <c r="C23" s="126"/>
      <c r="D23" s="125"/>
      <c r="E23" s="126"/>
      <c r="F23" s="127"/>
      <c r="G23" s="128"/>
      <c r="H23" s="200"/>
      <c r="I23" s="201"/>
      <c r="J23" s="130"/>
      <c r="K23" s="131"/>
      <c r="L23" s="132"/>
      <c r="M23" s="133"/>
      <c r="N23" s="134"/>
      <c r="O23" s="134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8.75" customHeight="1">
      <c r="A24" s="4"/>
      <c r="B24" s="202"/>
      <c r="C24" s="136"/>
      <c r="D24" s="202"/>
      <c r="E24" s="136"/>
      <c r="F24" s="345" t="s">
        <v>87</v>
      </c>
      <c r="G24" s="139"/>
      <c r="H24" s="346" t="s">
        <v>69</v>
      </c>
      <c r="I24" s="136"/>
      <c r="J24" s="140"/>
      <c r="K24" s="141"/>
      <c r="L24" s="142"/>
      <c r="M24" s="4"/>
      <c r="N24" s="5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143" t="s">
        <v>39</v>
      </c>
      <c r="C25" s="13"/>
      <c r="D25" s="143" t="s">
        <v>40</v>
      </c>
      <c r="E25" s="13"/>
      <c r="F25" s="143" t="s">
        <v>41</v>
      </c>
      <c r="G25" s="13"/>
      <c r="H25" s="144" t="s">
        <v>42</v>
      </c>
      <c r="I25" s="13"/>
      <c r="J25" s="143" t="s">
        <v>43</v>
      </c>
      <c r="K25" s="43"/>
      <c r="L25" s="13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145"/>
      <c r="C26" s="145"/>
      <c r="D26" s="145"/>
      <c r="E26" s="145"/>
      <c r="F26" s="145"/>
      <c r="G26" s="145"/>
      <c r="H26" s="145"/>
      <c r="I26" s="145"/>
      <c r="J26" s="177"/>
      <c r="K26" s="177"/>
      <c r="L26" s="177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347"/>
      <c r="C30" s="347"/>
      <c r="D30" s="347"/>
      <c r="E30" s="348"/>
      <c r="K30" s="349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347"/>
      <c r="C31" s="347"/>
      <c r="D31" s="347"/>
      <c r="K31" s="134"/>
      <c r="L31" s="133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347"/>
      <c r="C32" s="347"/>
      <c r="D32" s="347"/>
      <c r="K32" s="134"/>
      <c r="L32" s="133"/>
      <c r="M32" s="4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347"/>
      <c r="C33" s="347"/>
      <c r="D33" s="347"/>
      <c r="K33" s="134"/>
      <c r="L33" s="350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351"/>
      <c r="C34" s="351"/>
      <c r="D34" s="351"/>
      <c r="E34" s="351"/>
      <c r="F34" s="4"/>
      <c r="G34" s="4"/>
      <c r="H34" s="4"/>
      <c r="I34" s="4"/>
      <c r="J34" s="4"/>
      <c r="K34" s="4"/>
      <c r="L34" s="352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353"/>
      <c r="C35" s="353"/>
      <c r="D35" s="353"/>
      <c r="E35" s="353"/>
      <c r="F35" s="205"/>
      <c r="G35" s="205"/>
      <c r="H35" s="205"/>
      <c r="I35" s="210"/>
      <c r="J35" s="353"/>
      <c r="K35" s="353"/>
      <c r="L35" s="206"/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353"/>
      <c r="C36" s="205"/>
      <c r="G36" s="205"/>
      <c r="H36" s="205"/>
      <c r="I36" s="353"/>
      <c r="K36" s="205"/>
      <c r="M36" s="4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353"/>
      <c r="C37" s="205"/>
      <c r="G37" s="205"/>
      <c r="H37" s="205"/>
      <c r="I37" s="353"/>
      <c r="K37" s="205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353"/>
      <c r="C38" s="205"/>
      <c r="M38" s="4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353"/>
      <c r="C39" s="353"/>
      <c r="D39" s="353"/>
      <c r="E39" s="353"/>
      <c r="F39" s="205"/>
      <c r="G39" s="205"/>
      <c r="H39" s="205"/>
      <c r="I39" s="210"/>
      <c r="J39" s="353"/>
      <c r="K39" s="353"/>
      <c r="L39" s="206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353"/>
      <c r="C40" s="353"/>
      <c r="D40" s="353"/>
      <c r="E40" s="353"/>
      <c r="F40" s="205"/>
      <c r="G40" s="205"/>
      <c r="H40" s="205"/>
      <c r="I40" s="210"/>
      <c r="J40" s="353"/>
      <c r="K40" s="353"/>
      <c r="L40" s="206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354"/>
      <c r="G41" s="354"/>
      <c r="H41" s="354"/>
      <c r="I41" s="354"/>
      <c r="J41" s="354"/>
      <c r="K41" s="354"/>
      <c r="L41" s="35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353"/>
      <c r="C42" s="353"/>
      <c r="D42" s="353"/>
      <c r="E42" s="353"/>
      <c r="F42" s="210"/>
      <c r="G42" s="210"/>
      <c r="H42" s="210"/>
      <c r="I42" s="210"/>
      <c r="J42" s="353"/>
      <c r="K42" s="353"/>
      <c r="L42" s="355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353"/>
      <c r="C43" s="353"/>
      <c r="D43" s="353"/>
      <c r="E43" s="353"/>
      <c r="F43" s="210"/>
      <c r="G43" s="210"/>
      <c r="H43" s="210"/>
      <c r="I43" s="210"/>
      <c r="J43" s="353"/>
      <c r="K43" s="353"/>
      <c r="L43" s="355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353"/>
      <c r="C44" s="353"/>
      <c r="D44" s="353"/>
      <c r="E44" s="353"/>
      <c r="F44" s="210"/>
      <c r="G44" s="210"/>
      <c r="H44" s="210"/>
      <c r="I44" s="210"/>
      <c r="J44" s="206"/>
      <c r="K44" s="206"/>
      <c r="L44" s="356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353"/>
      <c r="C45" s="353"/>
      <c r="D45" s="353"/>
      <c r="E45" s="353"/>
      <c r="F45" s="210"/>
      <c r="G45" s="210"/>
      <c r="H45" s="210"/>
      <c r="I45" s="210"/>
      <c r="J45" s="206"/>
      <c r="K45" s="206"/>
      <c r="L45" s="355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210"/>
      <c r="C46" s="210"/>
      <c r="D46" s="210"/>
      <c r="E46" s="210"/>
      <c r="F46" s="210"/>
      <c r="G46" s="210"/>
      <c r="H46" s="210"/>
      <c r="I46" s="210"/>
      <c r="J46" s="206"/>
      <c r="K46" s="206"/>
      <c r="L46" s="206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353"/>
      <c r="C47" s="353"/>
      <c r="D47" s="353"/>
      <c r="E47" s="353"/>
      <c r="F47" s="205"/>
      <c r="G47" s="205"/>
      <c r="H47" s="205"/>
      <c r="I47" s="210"/>
      <c r="J47" s="357"/>
      <c r="K47" s="357"/>
      <c r="M47" s="4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354"/>
      <c r="G48" s="354"/>
      <c r="H48" s="354"/>
      <c r="I48" s="354"/>
      <c r="J48" s="355"/>
      <c r="K48" s="355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353"/>
      <c r="C49" s="353"/>
      <c r="D49" s="353"/>
      <c r="E49" s="353"/>
      <c r="F49" s="210"/>
      <c r="G49" s="210"/>
      <c r="H49" s="210"/>
      <c r="I49" s="210"/>
      <c r="J49" s="357"/>
      <c r="K49" s="357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353"/>
      <c r="C50" s="353"/>
      <c r="D50" s="353"/>
      <c r="E50" s="353"/>
      <c r="F50" s="210"/>
      <c r="G50" s="210"/>
      <c r="H50" s="210"/>
      <c r="I50" s="210"/>
      <c r="J50" s="355"/>
      <c r="K50" s="355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353"/>
      <c r="C51" s="353"/>
      <c r="D51" s="353"/>
      <c r="E51" s="353"/>
      <c r="F51" s="210"/>
      <c r="G51" s="210"/>
      <c r="H51" s="210"/>
      <c r="I51" s="210"/>
      <c r="J51" s="357"/>
      <c r="K51" s="357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204"/>
      <c r="C52" s="204"/>
      <c r="D52" s="204"/>
      <c r="E52" s="204"/>
      <c r="F52" s="205"/>
      <c r="G52" s="205"/>
      <c r="H52" s="205"/>
      <c r="I52" s="206"/>
      <c r="J52" s="207"/>
      <c r="K52" s="207"/>
      <c r="L52" s="207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208"/>
      <c r="C53" s="208"/>
      <c r="D53" s="208"/>
      <c r="E53" s="208"/>
      <c r="F53" s="208"/>
      <c r="G53" s="208"/>
      <c r="H53" s="208"/>
      <c r="I53" s="209"/>
      <c r="J53" s="208"/>
      <c r="K53" s="208"/>
      <c r="L53" s="206"/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33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133"/>
      <c r="N54" s="134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8.75" customHeight="1">
      <c r="A55" s="4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204"/>
      <c r="D56" s="204"/>
      <c r="F56" s="204"/>
      <c r="G56" s="204"/>
      <c r="H56" s="204"/>
      <c r="I56" s="204"/>
      <c r="K56" s="20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0">
    <mergeCell ref="F2:J5"/>
    <mergeCell ref="K2:L2"/>
    <mergeCell ref="C8:H8"/>
    <mergeCell ref="I8:J8"/>
    <mergeCell ref="K8:L8"/>
    <mergeCell ref="I9:J9"/>
    <mergeCell ref="K9:L9"/>
    <mergeCell ref="C9:H9"/>
    <mergeCell ref="B11:F11"/>
    <mergeCell ref="K11:L11"/>
    <mergeCell ref="K12:L12"/>
    <mergeCell ref="K13:L13"/>
    <mergeCell ref="K14:L14"/>
    <mergeCell ref="K15:L15"/>
    <mergeCell ref="K16:L16"/>
    <mergeCell ref="K17:L17"/>
    <mergeCell ref="K19:L19"/>
    <mergeCell ref="D20:H20"/>
    <mergeCell ref="K20:L20"/>
    <mergeCell ref="H22:I22"/>
    <mergeCell ref="J22:L22"/>
    <mergeCell ref="F22:G22"/>
    <mergeCell ref="B24:C24"/>
    <mergeCell ref="D24:E24"/>
    <mergeCell ref="H24:I24"/>
    <mergeCell ref="B25:C25"/>
    <mergeCell ref="D25:E25"/>
    <mergeCell ref="F25:G25"/>
    <mergeCell ref="I36:J36"/>
    <mergeCell ref="I37:J37"/>
    <mergeCell ref="K47:L47"/>
    <mergeCell ref="K49:L49"/>
    <mergeCell ref="K50:L50"/>
    <mergeCell ref="K51:L51"/>
    <mergeCell ref="H25:I25"/>
    <mergeCell ref="J25:L25"/>
    <mergeCell ref="E30:J33"/>
    <mergeCell ref="K30:L30"/>
    <mergeCell ref="C36:F36"/>
    <mergeCell ref="K36:L36"/>
    <mergeCell ref="K37:L37"/>
    <mergeCell ref="I56:J56"/>
    <mergeCell ref="K56:L56"/>
    <mergeCell ref="C37:F37"/>
    <mergeCell ref="C38:L38"/>
    <mergeCell ref="B41:F41"/>
    <mergeCell ref="B48:F48"/>
    <mergeCell ref="K48:L48"/>
    <mergeCell ref="B56:C56"/>
    <mergeCell ref="D56:E56"/>
  </mergeCells>
  <printOptions horizontalCentered="1"/>
  <pageMargins bottom="0.25" footer="0.0" header="0.0" left="0.0" right="0.0" top="0.2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4.57"/>
    <col customWidth="1" min="3" max="3" width="6.0"/>
    <col customWidth="1" min="4" max="4" width="12.14"/>
    <col customWidth="1" min="5" max="5" width="12.0"/>
    <col customWidth="1" min="6" max="6" width="29.86"/>
    <col customWidth="1" min="7" max="9" width="13.14"/>
    <col customWidth="1" min="10" max="10" width="14.86"/>
    <col customWidth="1" min="11" max="11" width="12.57"/>
    <col customWidth="1" min="12" max="12" width="14.29"/>
    <col customWidth="1" min="13" max="13" width="11.57"/>
    <col customWidth="1" min="14" max="14" width="14.29"/>
    <col customWidth="1" min="15" max="15" width="11.29"/>
    <col customWidth="1" min="16" max="26" width="9.29"/>
  </cols>
  <sheetData>
    <row r="1" ht="12.75" customHeight="1">
      <c r="A1" s="4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6"/>
      <c r="C2" s="7"/>
      <c r="D2" s="7"/>
      <c r="E2" s="211"/>
      <c r="F2" s="9" t="s">
        <v>0</v>
      </c>
      <c r="G2" s="10"/>
      <c r="H2" s="10"/>
      <c r="I2" s="10"/>
      <c r="J2" s="11"/>
      <c r="K2" s="12" t="s">
        <v>1</v>
      </c>
      <c r="L2" s="13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4"/>
      <c r="B3" s="14"/>
      <c r="C3" s="15"/>
      <c r="D3" s="15"/>
      <c r="E3" s="212"/>
      <c r="F3" s="17"/>
      <c r="J3" s="18"/>
      <c r="K3" s="19" t="s">
        <v>2</v>
      </c>
      <c r="L3" s="20" t="s">
        <v>3</v>
      </c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/>
      <c r="B4" s="14"/>
      <c r="C4" s="15"/>
      <c r="D4" s="15"/>
      <c r="E4" s="212"/>
      <c r="F4" s="17"/>
      <c r="J4" s="18"/>
      <c r="K4" s="21" t="s">
        <v>4</v>
      </c>
      <c r="L4" s="22" t="s">
        <v>5</v>
      </c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4"/>
      <c r="B5" s="23"/>
      <c r="C5" s="24"/>
      <c r="D5" s="24"/>
      <c r="E5" s="213"/>
      <c r="F5" s="26"/>
      <c r="G5" s="27"/>
      <c r="H5" s="27"/>
      <c r="I5" s="27"/>
      <c r="J5" s="28"/>
      <c r="K5" s="29" t="s">
        <v>6</v>
      </c>
      <c r="L5" s="30" t="s">
        <v>7</v>
      </c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31"/>
      <c r="C6" s="32"/>
      <c r="D6" s="32"/>
      <c r="E6" s="32"/>
      <c r="F6" s="214"/>
      <c r="G6" s="214"/>
      <c r="H6" s="214"/>
      <c r="I6" s="214"/>
      <c r="J6" s="214"/>
      <c r="K6" s="34" t="s">
        <v>8</v>
      </c>
      <c r="L6" s="35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36" t="s">
        <v>9</v>
      </c>
      <c r="C7" s="37"/>
      <c r="D7" s="37"/>
      <c r="E7" s="37"/>
      <c r="F7" s="38"/>
      <c r="G7" s="38"/>
      <c r="H7" s="38"/>
      <c r="I7" s="39"/>
      <c r="J7" s="37"/>
      <c r="K7" s="37"/>
      <c r="L7" s="40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/>
      <c r="B8" s="41" t="s">
        <v>10</v>
      </c>
      <c r="C8" s="148" t="s">
        <v>114</v>
      </c>
      <c r="D8" s="43"/>
      <c r="E8" s="43"/>
      <c r="F8" s="43"/>
      <c r="G8" s="43"/>
      <c r="H8" s="44"/>
      <c r="I8" s="45" t="s">
        <v>12</v>
      </c>
      <c r="J8" s="44"/>
      <c r="K8" s="373" t="s">
        <v>115</v>
      </c>
      <c r="L8" s="13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/>
      <c r="B9" s="41" t="s">
        <v>13</v>
      </c>
      <c r="C9" s="150" t="s">
        <v>116</v>
      </c>
      <c r="D9" s="43"/>
      <c r="E9" s="43"/>
      <c r="F9" s="43"/>
      <c r="G9" s="43"/>
      <c r="H9" s="13"/>
      <c r="I9" s="45" t="s">
        <v>15</v>
      </c>
      <c r="J9" s="44"/>
      <c r="K9" s="48"/>
      <c r="L9" s="13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36" t="s">
        <v>16</v>
      </c>
      <c r="C10" s="37"/>
      <c r="D10" s="37"/>
      <c r="E10" s="37"/>
      <c r="F10" s="38"/>
      <c r="G10" s="38"/>
      <c r="H10" s="38"/>
      <c r="I10" s="39"/>
      <c r="J10" s="37"/>
      <c r="K10" s="37"/>
      <c r="L10" s="40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4"/>
      <c r="B11" s="151" t="s">
        <v>17</v>
      </c>
      <c r="C11" s="152"/>
      <c r="D11" s="152"/>
      <c r="E11" s="152"/>
      <c r="F11" s="153"/>
      <c r="G11" s="154" t="s">
        <v>18</v>
      </c>
      <c r="H11" s="154" t="s">
        <v>19</v>
      </c>
      <c r="I11" s="62" t="s">
        <v>20</v>
      </c>
      <c r="J11" s="62" t="s">
        <v>21</v>
      </c>
      <c r="K11" s="58" t="s">
        <v>22</v>
      </c>
      <c r="L11" s="13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/>
      <c r="B12" s="155"/>
      <c r="C12" s="156"/>
      <c r="D12" s="157"/>
      <c r="E12" s="156"/>
      <c r="F12" s="158"/>
      <c r="G12" s="159"/>
      <c r="H12" s="160"/>
      <c r="I12" s="130"/>
      <c r="J12" s="130"/>
      <c r="K12" s="161"/>
      <c r="L12" s="162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163"/>
      <c r="C13" s="164"/>
      <c r="D13" s="165"/>
      <c r="E13" s="91"/>
      <c r="F13" s="166"/>
      <c r="G13" s="83"/>
      <c r="H13" s="167"/>
      <c r="I13" s="168"/>
      <c r="J13" s="168"/>
      <c r="K13" s="161"/>
      <c r="L13" s="162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169" t="s">
        <v>117</v>
      </c>
      <c r="C14" s="91"/>
      <c r="D14" s="171"/>
      <c r="E14" s="91"/>
      <c r="F14" s="172"/>
      <c r="G14" s="173" t="s">
        <v>24</v>
      </c>
      <c r="H14" s="174" t="s">
        <v>25</v>
      </c>
      <c r="I14" s="176" t="s">
        <v>26</v>
      </c>
      <c r="J14" s="176" t="s">
        <v>118</v>
      </c>
      <c r="K14" s="161">
        <v>3360.0</v>
      </c>
      <c r="L14" s="162"/>
      <c r="M14" s="4"/>
      <c r="N14" s="5">
        <v>351.0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125"/>
      <c r="C15" s="91"/>
      <c r="D15" s="165"/>
      <c r="E15" s="340"/>
      <c r="F15" s="172"/>
      <c r="G15" s="181"/>
      <c r="H15" s="164"/>
      <c r="I15" s="125"/>
      <c r="J15" s="125"/>
      <c r="K15" s="161"/>
      <c r="L15" s="162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178"/>
      <c r="C16" s="91"/>
      <c r="D16" s="171"/>
      <c r="E16" s="340"/>
      <c r="F16" s="164"/>
      <c r="G16" s="181"/>
      <c r="H16" s="164"/>
      <c r="I16" s="125"/>
      <c r="J16" s="125"/>
      <c r="K16" s="161"/>
      <c r="L16" s="162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341"/>
      <c r="C17" s="342"/>
      <c r="D17" s="165"/>
      <c r="E17" s="340"/>
      <c r="F17" s="164"/>
      <c r="G17" s="181"/>
      <c r="H17" s="164"/>
      <c r="I17" s="125"/>
      <c r="J17" s="125"/>
      <c r="K17" s="161"/>
      <c r="L17" s="162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362"/>
      <c r="C18" s="165"/>
      <c r="D18" s="165"/>
      <c r="E18" s="340"/>
      <c r="F18" s="164"/>
      <c r="G18" s="181"/>
      <c r="H18" s="164"/>
      <c r="I18" s="125"/>
      <c r="J18" s="125"/>
      <c r="K18" s="183"/>
      <c r="L18" s="184"/>
      <c r="M18" s="4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178"/>
      <c r="C19" s="182"/>
      <c r="D19" s="91"/>
      <c r="E19" s="182"/>
      <c r="F19" s="164"/>
      <c r="G19" s="181"/>
      <c r="H19" s="164"/>
      <c r="I19" s="125"/>
      <c r="J19" s="125"/>
      <c r="K19" s="161"/>
      <c r="L19" s="162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4"/>
      <c r="B20" s="185" t="s">
        <v>28</v>
      </c>
      <c r="C20" s="186"/>
      <c r="D20" s="187"/>
      <c r="E20" s="188"/>
      <c r="F20" s="188"/>
      <c r="G20" s="188"/>
      <c r="H20" s="188"/>
      <c r="I20" s="189"/>
      <c r="J20" s="190" t="s">
        <v>29</v>
      </c>
      <c r="K20" s="191">
        <f>SUM(K13:L15)</f>
        <v>3360</v>
      </c>
      <c r="L20" s="192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193" t="s">
        <v>30</v>
      </c>
      <c r="C21" s="194"/>
      <c r="D21" s="194"/>
      <c r="E21" s="194"/>
      <c r="F21" s="195"/>
      <c r="G21" s="195"/>
      <c r="H21" s="195"/>
      <c r="I21" s="170"/>
      <c r="J21" s="196"/>
      <c r="K21" s="196"/>
      <c r="L21" s="197"/>
      <c r="M21" s="4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121" t="s">
        <v>31</v>
      </c>
      <c r="C22" s="122"/>
      <c r="D22" s="198" t="s">
        <v>32</v>
      </c>
      <c r="E22" s="199"/>
      <c r="F22" s="123" t="s">
        <v>33</v>
      </c>
      <c r="G22" s="13"/>
      <c r="H22" s="124" t="s">
        <v>34</v>
      </c>
      <c r="I22" s="13"/>
      <c r="J22" s="124" t="s">
        <v>35</v>
      </c>
      <c r="K22" s="43"/>
      <c r="L22" s="13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33"/>
      <c r="B23" s="125"/>
      <c r="C23" s="126"/>
      <c r="D23" s="125"/>
      <c r="E23" s="126"/>
      <c r="F23" s="127"/>
      <c r="G23" s="128"/>
      <c r="H23" s="200"/>
      <c r="I23" s="201"/>
      <c r="J23" s="130"/>
      <c r="K23" s="131"/>
      <c r="L23" s="132"/>
      <c r="M23" s="133"/>
      <c r="N23" s="134"/>
      <c r="O23" s="134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8.75" customHeight="1">
      <c r="A24" s="4"/>
      <c r="B24" s="202"/>
      <c r="C24" s="136"/>
      <c r="D24" s="202" t="s">
        <v>86</v>
      </c>
      <c r="E24" s="136"/>
      <c r="F24" s="345" t="s">
        <v>119</v>
      </c>
      <c r="G24" s="139"/>
      <c r="H24" s="346" t="s">
        <v>69</v>
      </c>
      <c r="I24" s="136"/>
      <c r="J24" s="140"/>
      <c r="K24" s="141"/>
      <c r="L24" s="142"/>
      <c r="M24" s="4"/>
      <c r="N24" s="5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143" t="s">
        <v>39</v>
      </c>
      <c r="C25" s="13"/>
      <c r="D25" s="143" t="s">
        <v>40</v>
      </c>
      <c r="E25" s="13"/>
      <c r="F25" s="143" t="s">
        <v>41</v>
      </c>
      <c r="G25" s="13"/>
      <c r="H25" s="144" t="s">
        <v>42</v>
      </c>
      <c r="I25" s="13"/>
      <c r="J25" s="143" t="s">
        <v>43</v>
      </c>
      <c r="K25" s="43"/>
      <c r="L25" s="13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145"/>
      <c r="C26" s="145"/>
      <c r="D26" s="145"/>
      <c r="E26" s="145"/>
      <c r="F26" s="145"/>
      <c r="G26" s="145"/>
      <c r="H26" s="145"/>
      <c r="I26" s="145"/>
      <c r="J26" s="177"/>
      <c r="K26" s="177"/>
      <c r="L26" s="177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347"/>
      <c r="C30" s="347"/>
      <c r="D30" s="347"/>
      <c r="E30" s="348"/>
      <c r="K30" s="349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347"/>
      <c r="C31" s="347"/>
      <c r="D31" s="347"/>
      <c r="K31" s="134"/>
      <c r="L31" s="133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347"/>
      <c r="C32" s="347"/>
      <c r="D32" s="347"/>
      <c r="K32" s="134"/>
      <c r="L32" s="133"/>
      <c r="M32" s="4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347"/>
      <c r="C33" s="347"/>
      <c r="D33" s="347"/>
      <c r="K33" s="134"/>
      <c r="L33" s="350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351"/>
      <c r="C34" s="351"/>
      <c r="D34" s="351"/>
      <c r="E34" s="351"/>
      <c r="F34" s="4"/>
      <c r="G34" s="4"/>
      <c r="H34" s="4"/>
      <c r="I34" s="4"/>
      <c r="J34" s="4"/>
      <c r="K34" s="4"/>
      <c r="L34" s="352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353"/>
      <c r="C35" s="353"/>
      <c r="D35" s="353"/>
      <c r="E35" s="353"/>
      <c r="F35" s="205"/>
      <c r="G35" s="205"/>
      <c r="H35" s="205"/>
      <c r="I35" s="210"/>
      <c r="J35" s="353"/>
      <c r="K35" s="353"/>
      <c r="L35" s="206"/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353"/>
      <c r="C36" s="205"/>
      <c r="G36" s="205"/>
      <c r="H36" s="205"/>
      <c r="I36" s="353"/>
      <c r="K36" s="205"/>
      <c r="M36" s="4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353"/>
      <c r="C37" s="205"/>
      <c r="G37" s="205"/>
      <c r="H37" s="205"/>
      <c r="I37" s="353"/>
      <c r="K37" s="205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353"/>
      <c r="C38" s="205"/>
      <c r="M38" s="4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353"/>
      <c r="C39" s="353"/>
      <c r="D39" s="353"/>
      <c r="E39" s="353"/>
      <c r="F39" s="205"/>
      <c r="G39" s="205"/>
      <c r="H39" s="205"/>
      <c r="I39" s="210"/>
      <c r="J39" s="353"/>
      <c r="K39" s="353"/>
      <c r="L39" s="206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353"/>
      <c r="C40" s="353"/>
      <c r="D40" s="353"/>
      <c r="E40" s="353"/>
      <c r="F40" s="205"/>
      <c r="G40" s="205"/>
      <c r="H40" s="205"/>
      <c r="I40" s="210"/>
      <c r="J40" s="353"/>
      <c r="K40" s="353"/>
      <c r="L40" s="206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354"/>
      <c r="G41" s="354"/>
      <c r="H41" s="354"/>
      <c r="I41" s="354"/>
      <c r="J41" s="354"/>
      <c r="K41" s="354"/>
      <c r="L41" s="35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353"/>
      <c r="C42" s="353"/>
      <c r="D42" s="353"/>
      <c r="E42" s="353"/>
      <c r="F42" s="210"/>
      <c r="G42" s="210"/>
      <c r="H42" s="210"/>
      <c r="I42" s="210"/>
      <c r="J42" s="353"/>
      <c r="K42" s="353"/>
      <c r="L42" s="355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353"/>
      <c r="C43" s="353"/>
      <c r="D43" s="353"/>
      <c r="E43" s="353"/>
      <c r="F43" s="210"/>
      <c r="G43" s="210"/>
      <c r="H43" s="210"/>
      <c r="I43" s="210"/>
      <c r="J43" s="353"/>
      <c r="K43" s="353"/>
      <c r="L43" s="355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353"/>
      <c r="C44" s="353"/>
      <c r="D44" s="353"/>
      <c r="E44" s="353"/>
      <c r="F44" s="210"/>
      <c r="G44" s="210"/>
      <c r="H44" s="210"/>
      <c r="I44" s="210"/>
      <c r="J44" s="206"/>
      <c r="K44" s="206"/>
      <c r="L44" s="356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353"/>
      <c r="C45" s="353"/>
      <c r="D45" s="353"/>
      <c r="E45" s="353"/>
      <c r="F45" s="210"/>
      <c r="G45" s="210"/>
      <c r="H45" s="210"/>
      <c r="I45" s="210"/>
      <c r="J45" s="206"/>
      <c r="K45" s="206"/>
      <c r="L45" s="355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210"/>
      <c r="C46" s="210"/>
      <c r="D46" s="210"/>
      <c r="E46" s="210"/>
      <c r="F46" s="210"/>
      <c r="G46" s="210"/>
      <c r="H46" s="210"/>
      <c r="I46" s="210"/>
      <c r="J46" s="206"/>
      <c r="K46" s="206"/>
      <c r="L46" s="206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353"/>
      <c r="C47" s="353"/>
      <c r="D47" s="353"/>
      <c r="E47" s="353"/>
      <c r="F47" s="205"/>
      <c r="G47" s="205"/>
      <c r="H47" s="205"/>
      <c r="I47" s="210"/>
      <c r="J47" s="357"/>
      <c r="K47" s="357"/>
      <c r="M47" s="4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354"/>
      <c r="G48" s="354"/>
      <c r="H48" s="354"/>
      <c r="I48" s="354"/>
      <c r="J48" s="355"/>
      <c r="K48" s="355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353"/>
      <c r="C49" s="353"/>
      <c r="D49" s="353"/>
      <c r="E49" s="353"/>
      <c r="F49" s="210"/>
      <c r="G49" s="210"/>
      <c r="H49" s="210"/>
      <c r="I49" s="210"/>
      <c r="J49" s="357"/>
      <c r="K49" s="357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353"/>
      <c r="C50" s="353"/>
      <c r="D50" s="353"/>
      <c r="E50" s="353"/>
      <c r="F50" s="210"/>
      <c r="G50" s="210"/>
      <c r="H50" s="210"/>
      <c r="I50" s="210"/>
      <c r="J50" s="355"/>
      <c r="K50" s="355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353"/>
      <c r="C51" s="353"/>
      <c r="D51" s="353"/>
      <c r="E51" s="353"/>
      <c r="F51" s="210"/>
      <c r="G51" s="210"/>
      <c r="H51" s="210"/>
      <c r="I51" s="210"/>
      <c r="J51" s="357"/>
      <c r="K51" s="357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204"/>
      <c r="C52" s="204"/>
      <c r="D52" s="204"/>
      <c r="E52" s="204"/>
      <c r="F52" s="205"/>
      <c r="G52" s="205"/>
      <c r="H52" s="205"/>
      <c r="I52" s="206"/>
      <c r="J52" s="207"/>
      <c r="K52" s="207"/>
      <c r="L52" s="207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208"/>
      <c r="C53" s="208"/>
      <c r="D53" s="208"/>
      <c r="E53" s="208"/>
      <c r="F53" s="208"/>
      <c r="G53" s="208"/>
      <c r="H53" s="208"/>
      <c r="I53" s="209"/>
      <c r="J53" s="208"/>
      <c r="K53" s="208"/>
      <c r="L53" s="206"/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33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133"/>
      <c r="N54" s="134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8.75" customHeight="1">
      <c r="A55" s="4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204"/>
      <c r="D56" s="204"/>
      <c r="F56" s="204"/>
      <c r="G56" s="204"/>
      <c r="H56" s="204"/>
      <c r="I56" s="204"/>
      <c r="K56" s="20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0">
    <mergeCell ref="F2:J5"/>
    <mergeCell ref="K2:L2"/>
    <mergeCell ref="C8:H8"/>
    <mergeCell ref="I8:J8"/>
    <mergeCell ref="K8:L8"/>
    <mergeCell ref="I9:J9"/>
    <mergeCell ref="K9:L9"/>
    <mergeCell ref="C9:H9"/>
    <mergeCell ref="B11:F11"/>
    <mergeCell ref="K11:L11"/>
    <mergeCell ref="K12:L12"/>
    <mergeCell ref="K13:L13"/>
    <mergeCell ref="K14:L14"/>
    <mergeCell ref="K15:L15"/>
    <mergeCell ref="K16:L16"/>
    <mergeCell ref="K17:L17"/>
    <mergeCell ref="K19:L19"/>
    <mergeCell ref="D20:H20"/>
    <mergeCell ref="K20:L20"/>
    <mergeCell ref="H22:I22"/>
    <mergeCell ref="J22:L22"/>
    <mergeCell ref="F22:G22"/>
    <mergeCell ref="B24:C24"/>
    <mergeCell ref="D24:E24"/>
    <mergeCell ref="H24:I24"/>
    <mergeCell ref="B25:C25"/>
    <mergeCell ref="D25:E25"/>
    <mergeCell ref="F25:G25"/>
    <mergeCell ref="I36:J36"/>
    <mergeCell ref="I37:J37"/>
    <mergeCell ref="K47:L47"/>
    <mergeCell ref="K49:L49"/>
    <mergeCell ref="K50:L50"/>
    <mergeCell ref="K51:L51"/>
    <mergeCell ref="H25:I25"/>
    <mergeCell ref="J25:L25"/>
    <mergeCell ref="E30:J33"/>
    <mergeCell ref="K30:L30"/>
    <mergeCell ref="C36:F36"/>
    <mergeCell ref="K36:L36"/>
    <mergeCell ref="K37:L37"/>
    <mergeCell ref="I56:J56"/>
    <mergeCell ref="K56:L56"/>
    <mergeCell ref="C37:F37"/>
    <mergeCell ref="C38:L38"/>
    <mergeCell ref="B41:F41"/>
    <mergeCell ref="B48:F48"/>
    <mergeCell ref="K48:L48"/>
    <mergeCell ref="B56:C56"/>
    <mergeCell ref="D56:E56"/>
  </mergeCells>
  <printOptions horizontalCentered="1"/>
  <pageMargins bottom="0.25" footer="0.0" header="0.0" left="0.0" right="0.0" top="0.2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4.57"/>
    <col customWidth="1" min="3" max="3" width="6.0"/>
    <col customWidth="1" min="4" max="4" width="12.14"/>
    <col customWidth="1" min="5" max="5" width="12.0"/>
    <col customWidth="1" min="6" max="6" width="29.86"/>
    <col customWidth="1" min="7" max="9" width="13.14"/>
    <col customWidth="1" min="10" max="10" width="14.86"/>
    <col customWidth="1" min="11" max="11" width="12.57"/>
    <col customWidth="1" min="12" max="12" width="14.29"/>
    <col customWidth="1" min="13" max="13" width="11.57"/>
    <col customWidth="1" min="14" max="14" width="14.29"/>
    <col customWidth="1" min="15" max="15" width="11.29"/>
    <col customWidth="1" min="16" max="26" width="9.29"/>
  </cols>
  <sheetData>
    <row r="1" ht="12.75" customHeight="1">
      <c r="A1" s="4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6"/>
      <c r="C2" s="7"/>
      <c r="D2" s="7"/>
      <c r="E2" s="211"/>
      <c r="F2" s="9" t="s">
        <v>0</v>
      </c>
      <c r="G2" s="10"/>
      <c r="H2" s="10"/>
      <c r="I2" s="10"/>
      <c r="J2" s="11"/>
      <c r="K2" s="12" t="s">
        <v>1</v>
      </c>
      <c r="L2" s="13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4"/>
      <c r="B3" s="14"/>
      <c r="C3" s="15"/>
      <c r="D3" s="15"/>
      <c r="E3" s="212"/>
      <c r="F3" s="17"/>
      <c r="J3" s="18"/>
      <c r="K3" s="19" t="s">
        <v>2</v>
      </c>
      <c r="L3" s="20" t="s">
        <v>3</v>
      </c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/>
      <c r="B4" s="14"/>
      <c r="C4" s="15"/>
      <c r="D4" s="15"/>
      <c r="E4" s="212"/>
      <c r="F4" s="17"/>
      <c r="J4" s="18"/>
      <c r="K4" s="21" t="s">
        <v>4</v>
      </c>
      <c r="L4" s="22" t="s">
        <v>5</v>
      </c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4"/>
      <c r="B5" s="23"/>
      <c r="C5" s="24"/>
      <c r="D5" s="24"/>
      <c r="E5" s="213"/>
      <c r="F5" s="26"/>
      <c r="G5" s="27"/>
      <c r="H5" s="27"/>
      <c r="I5" s="27"/>
      <c r="J5" s="28"/>
      <c r="K5" s="29" t="s">
        <v>6</v>
      </c>
      <c r="L5" s="30" t="s">
        <v>7</v>
      </c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31"/>
      <c r="C6" s="32"/>
      <c r="D6" s="32"/>
      <c r="E6" s="32"/>
      <c r="F6" s="214"/>
      <c r="G6" s="214"/>
      <c r="H6" s="214"/>
      <c r="I6" s="214"/>
      <c r="J6" s="214"/>
      <c r="K6" s="34" t="s">
        <v>8</v>
      </c>
      <c r="L6" s="35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36" t="s">
        <v>9</v>
      </c>
      <c r="C7" s="37"/>
      <c r="D7" s="37"/>
      <c r="E7" s="37"/>
      <c r="F7" s="38"/>
      <c r="G7" s="38"/>
      <c r="H7" s="38"/>
      <c r="I7" s="39"/>
      <c r="J7" s="37"/>
      <c r="K7" s="37"/>
      <c r="L7" s="40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/>
      <c r="B8" s="41" t="s">
        <v>10</v>
      </c>
      <c r="C8" s="148" t="s">
        <v>120</v>
      </c>
      <c r="D8" s="43"/>
      <c r="E8" s="43"/>
      <c r="F8" s="43"/>
      <c r="G8" s="43"/>
      <c r="H8" s="44"/>
      <c r="I8" s="45" t="s">
        <v>12</v>
      </c>
      <c r="J8" s="44"/>
      <c r="K8" s="373" t="s">
        <v>121</v>
      </c>
      <c r="L8" s="13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/>
      <c r="B9" s="41" t="s">
        <v>13</v>
      </c>
      <c r="C9" s="150" t="s">
        <v>122</v>
      </c>
      <c r="D9" s="43"/>
      <c r="E9" s="43"/>
      <c r="F9" s="43"/>
      <c r="G9" s="43"/>
      <c r="H9" s="13"/>
      <c r="I9" s="45" t="s">
        <v>15</v>
      </c>
      <c r="J9" s="44"/>
      <c r="K9" s="374" t="s">
        <v>123</v>
      </c>
      <c r="L9" s="13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36" t="s">
        <v>16</v>
      </c>
      <c r="C10" s="37"/>
      <c r="D10" s="37"/>
      <c r="E10" s="37"/>
      <c r="F10" s="38"/>
      <c r="G10" s="38"/>
      <c r="H10" s="38"/>
      <c r="I10" s="39"/>
      <c r="J10" s="37"/>
      <c r="K10" s="37"/>
      <c r="L10" s="40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4"/>
      <c r="B11" s="151" t="s">
        <v>17</v>
      </c>
      <c r="C11" s="152"/>
      <c r="D11" s="152"/>
      <c r="E11" s="152"/>
      <c r="F11" s="153"/>
      <c r="G11" s="154" t="s">
        <v>18</v>
      </c>
      <c r="H11" s="154" t="s">
        <v>19</v>
      </c>
      <c r="I11" s="62" t="s">
        <v>20</v>
      </c>
      <c r="J11" s="62" t="s">
        <v>21</v>
      </c>
      <c r="K11" s="58" t="s">
        <v>22</v>
      </c>
      <c r="L11" s="13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/>
      <c r="B12" s="155"/>
      <c r="C12" s="156"/>
      <c r="D12" s="157"/>
      <c r="E12" s="156"/>
      <c r="F12" s="158"/>
      <c r="G12" s="159"/>
      <c r="H12" s="160"/>
      <c r="I12" s="130"/>
      <c r="J12" s="130"/>
      <c r="K12" s="161"/>
      <c r="L12" s="162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163" t="s">
        <v>124</v>
      </c>
      <c r="C13" s="164"/>
      <c r="D13" s="165"/>
      <c r="E13" s="91"/>
      <c r="F13" s="166"/>
      <c r="G13" s="83"/>
      <c r="H13" s="167"/>
      <c r="I13" s="168"/>
      <c r="J13" s="168"/>
      <c r="K13" s="161"/>
      <c r="L13" s="162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169"/>
      <c r="C14" s="91"/>
      <c r="D14" s="171"/>
      <c r="E14" s="91"/>
      <c r="F14" s="172"/>
      <c r="G14" s="173" t="s">
        <v>24</v>
      </c>
      <c r="H14" s="174" t="s">
        <v>25</v>
      </c>
      <c r="I14" s="176" t="s">
        <v>26</v>
      </c>
      <c r="J14" s="176" t="s">
        <v>125</v>
      </c>
      <c r="K14" s="161">
        <v>50000.0</v>
      </c>
      <c r="L14" s="162"/>
      <c r="M14" s="4"/>
      <c r="N14" s="5">
        <v>351.0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125"/>
      <c r="C15" s="91"/>
      <c r="D15" s="165"/>
      <c r="E15" s="340"/>
      <c r="F15" s="172"/>
      <c r="G15" s="181"/>
      <c r="H15" s="164"/>
      <c r="I15" s="125"/>
      <c r="J15" s="125"/>
      <c r="K15" s="161"/>
      <c r="L15" s="162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178"/>
      <c r="C16" s="91"/>
      <c r="D16" s="171"/>
      <c r="E16" s="340"/>
      <c r="F16" s="164"/>
      <c r="G16" s="181"/>
      <c r="H16" s="164"/>
      <c r="I16" s="125"/>
      <c r="J16" s="125"/>
      <c r="K16" s="161"/>
      <c r="L16" s="162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178"/>
      <c r="C17" s="170"/>
      <c r="D17" s="165"/>
      <c r="E17" s="340"/>
      <c r="F17" s="164"/>
      <c r="G17" s="181"/>
      <c r="H17" s="164"/>
      <c r="I17" s="125"/>
      <c r="J17" s="125"/>
      <c r="K17" s="161"/>
      <c r="L17" s="162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178"/>
      <c r="C18" s="170"/>
      <c r="D18" s="165"/>
      <c r="E18" s="340"/>
      <c r="F18" s="164"/>
      <c r="G18" s="181"/>
      <c r="H18" s="164"/>
      <c r="I18" s="125"/>
      <c r="J18" s="125"/>
      <c r="K18" s="183"/>
      <c r="L18" s="184"/>
      <c r="M18" s="4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178"/>
      <c r="C19" s="164"/>
      <c r="D19" s="91"/>
      <c r="E19" s="182"/>
      <c r="F19" s="164"/>
      <c r="G19" s="181"/>
      <c r="H19" s="164"/>
      <c r="I19" s="125"/>
      <c r="J19" s="125"/>
      <c r="K19" s="161"/>
      <c r="L19" s="162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4"/>
      <c r="B20" s="185" t="s">
        <v>28</v>
      </c>
      <c r="C20" s="186"/>
      <c r="D20" s="187"/>
      <c r="E20" s="188"/>
      <c r="F20" s="188"/>
      <c r="G20" s="188"/>
      <c r="H20" s="188"/>
      <c r="I20" s="189"/>
      <c r="J20" s="190" t="s">
        <v>29</v>
      </c>
      <c r="K20" s="191">
        <f>K14</f>
        <v>50000</v>
      </c>
      <c r="L20" s="192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193" t="s">
        <v>30</v>
      </c>
      <c r="C21" s="194"/>
      <c r="D21" s="194"/>
      <c r="E21" s="194"/>
      <c r="F21" s="195"/>
      <c r="G21" s="195"/>
      <c r="H21" s="195"/>
      <c r="I21" s="170"/>
      <c r="J21" s="196"/>
      <c r="K21" s="196"/>
      <c r="L21" s="197"/>
      <c r="M21" s="4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121" t="s">
        <v>31</v>
      </c>
      <c r="C22" s="122"/>
      <c r="D22" s="198" t="s">
        <v>32</v>
      </c>
      <c r="E22" s="199"/>
      <c r="F22" s="123" t="s">
        <v>33</v>
      </c>
      <c r="G22" s="13"/>
      <c r="H22" s="124" t="s">
        <v>34</v>
      </c>
      <c r="I22" s="13"/>
      <c r="J22" s="124" t="s">
        <v>35</v>
      </c>
      <c r="K22" s="43"/>
      <c r="L22" s="13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33"/>
      <c r="B23" s="125"/>
      <c r="C23" s="126"/>
      <c r="D23" s="125"/>
      <c r="E23" s="126"/>
      <c r="F23" s="127"/>
      <c r="G23" s="128"/>
      <c r="H23" s="200"/>
      <c r="I23" s="201"/>
      <c r="J23" s="130"/>
      <c r="K23" s="131"/>
      <c r="L23" s="132"/>
      <c r="M23" s="133"/>
      <c r="N23" s="134"/>
      <c r="O23" s="134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8.75" customHeight="1">
      <c r="A24" s="4"/>
      <c r="B24" s="202"/>
      <c r="C24" s="136"/>
      <c r="D24" s="202"/>
      <c r="E24" s="136"/>
      <c r="F24" s="345" t="s">
        <v>79</v>
      </c>
      <c r="G24" s="139"/>
      <c r="H24" s="346" t="s">
        <v>69</v>
      </c>
      <c r="I24" s="136"/>
      <c r="J24" s="140"/>
      <c r="K24" s="141"/>
      <c r="L24" s="142"/>
      <c r="M24" s="4"/>
      <c r="N24" s="5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143" t="s">
        <v>39</v>
      </c>
      <c r="C25" s="13"/>
      <c r="D25" s="143" t="s">
        <v>40</v>
      </c>
      <c r="E25" s="13"/>
      <c r="F25" s="143" t="s">
        <v>41</v>
      </c>
      <c r="G25" s="13"/>
      <c r="H25" s="144" t="s">
        <v>42</v>
      </c>
      <c r="I25" s="13"/>
      <c r="J25" s="143" t="s">
        <v>43</v>
      </c>
      <c r="K25" s="43"/>
      <c r="L25" s="13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145"/>
      <c r="C26" s="145"/>
      <c r="D26" s="145"/>
      <c r="E26" s="145"/>
      <c r="F26" s="145"/>
      <c r="G26" s="145"/>
      <c r="H26" s="145"/>
      <c r="I26" s="145"/>
      <c r="J26" s="177"/>
      <c r="K26" s="177"/>
      <c r="L26" s="177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347"/>
      <c r="C30" s="347"/>
      <c r="D30" s="347"/>
      <c r="E30" s="348"/>
      <c r="K30" s="349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347"/>
      <c r="C31" s="347"/>
      <c r="D31" s="347"/>
      <c r="K31" s="134"/>
      <c r="L31" s="133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347"/>
      <c r="C32" s="347"/>
      <c r="D32" s="347"/>
      <c r="K32" s="134"/>
      <c r="L32" s="133"/>
      <c r="M32" s="4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347"/>
      <c r="C33" s="347"/>
      <c r="D33" s="347"/>
      <c r="K33" s="134"/>
      <c r="L33" s="350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351"/>
      <c r="C34" s="351"/>
      <c r="D34" s="351"/>
      <c r="E34" s="351"/>
      <c r="F34" s="4"/>
      <c r="G34" s="4"/>
      <c r="H34" s="4"/>
      <c r="I34" s="4"/>
      <c r="J34" s="4"/>
      <c r="K34" s="4"/>
      <c r="L34" s="352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353"/>
      <c r="C35" s="353"/>
      <c r="D35" s="353"/>
      <c r="E35" s="353"/>
      <c r="F35" s="205"/>
      <c r="G35" s="205"/>
      <c r="H35" s="205"/>
      <c r="I35" s="210"/>
      <c r="J35" s="353"/>
      <c r="K35" s="353"/>
      <c r="L35" s="206"/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353"/>
      <c r="C36" s="205"/>
      <c r="G36" s="205"/>
      <c r="H36" s="205"/>
      <c r="I36" s="353"/>
      <c r="K36" s="205"/>
      <c r="M36" s="4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353"/>
      <c r="C37" s="205"/>
      <c r="G37" s="205"/>
      <c r="H37" s="205"/>
      <c r="I37" s="353"/>
      <c r="K37" s="205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353"/>
      <c r="C38" s="205"/>
      <c r="M38" s="4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353"/>
      <c r="C39" s="353"/>
      <c r="D39" s="353"/>
      <c r="E39" s="353"/>
      <c r="F39" s="205"/>
      <c r="G39" s="205"/>
      <c r="H39" s="205"/>
      <c r="I39" s="210"/>
      <c r="J39" s="353"/>
      <c r="K39" s="353"/>
      <c r="L39" s="206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353"/>
      <c r="C40" s="353"/>
      <c r="D40" s="353"/>
      <c r="E40" s="353"/>
      <c r="F40" s="205"/>
      <c r="G40" s="205"/>
      <c r="H40" s="205"/>
      <c r="I40" s="210"/>
      <c r="J40" s="353"/>
      <c r="K40" s="353"/>
      <c r="L40" s="206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354"/>
      <c r="G41" s="354"/>
      <c r="H41" s="354"/>
      <c r="I41" s="354"/>
      <c r="J41" s="354"/>
      <c r="K41" s="354"/>
      <c r="L41" s="35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353"/>
      <c r="C42" s="353"/>
      <c r="D42" s="353"/>
      <c r="E42" s="353"/>
      <c r="F42" s="210"/>
      <c r="G42" s="210"/>
      <c r="H42" s="210"/>
      <c r="I42" s="210"/>
      <c r="J42" s="353"/>
      <c r="K42" s="353"/>
      <c r="L42" s="355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353"/>
      <c r="C43" s="353"/>
      <c r="D43" s="353"/>
      <c r="E43" s="353"/>
      <c r="F43" s="210"/>
      <c r="G43" s="210"/>
      <c r="H43" s="210"/>
      <c r="I43" s="210"/>
      <c r="J43" s="353"/>
      <c r="K43" s="353"/>
      <c r="L43" s="355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353"/>
      <c r="C44" s="353"/>
      <c r="D44" s="353"/>
      <c r="E44" s="353"/>
      <c r="F44" s="210"/>
      <c r="G44" s="210"/>
      <c r="H44" s="210"/>
      <c r="I44" s="210"/>
      <c r="J44" s="206"/>
      <c r="K44" s="206"/>
      <c r="L44" s="356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353"/>
      <c r="C45" s="353"/>
      <c r="D45" s="353"/>
      <c r="E45" s="353"/>
      <c r="F45" s="210"/>
      <c r="G45" s="210"/>
      <c r="H45" s="210"/>
      <c r="I45" s="210"/>
      <c r="J45" s="206"/>
      <c r="K45" s="206"/>
      <c r="L45" s="355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210"/>
      <c r="C46" s="210"/>
      <c r="D46" s="210"/>
      <c r="E46" s="210"/>
      <c r="F46" s="210"/>
      <c r="G46" s="210"/>
      <c r="H46" s="210"/>
      <c r="I46" s="210"/>
      <c r="J46" s="206"/>
      <c r="K46" s="206"/>
      <c r="L46" s="206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353"/>
      <c r="C47" s="353"/>
      <c r="D47" s="353"/>
      <c r="E47" s="353"/>
      <c r="F47" s="205"/>
      <c r="G47" s="205"/>
      <c r="H47" s="205"/>
      <c r="I47" s="210"/>
      <c r="J47" s="357"/>
      <c r="K47" s="357"/>
      <c r="M47" s="4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354"/>
      <c r="G48" s="354"/>
      <c r="H48" s="354"/>
      <c r="I48" s="354"/>
      <c r="J48" s="355"/>
      <c r="K48" s="355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353"/>
      <c r="C49" s="353"/>
      <c r="D49" s="353"/>
      <c r="E49" s="353"/>
      <c r="F49" s="210"/>
      <c r="G49" s="210"/>
      <c r="H49" s="210"/>
      <c r="I49" s="210"/>
      <c r="J49" s="357"/>
      <c r="K49" s="357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353"/>
      <c r="C50" s="353"/>
      <c r="D50" s="353"/>
      <c r="E50" s="353"/>
      <c r="F50" s="210"/>
      <c r="G50" s="210"/>
      <c r="H50" s="210"/>
      <c r="I50" s="210"/>
      <c r="J50" s="355"/>
      <c r="K50" s="355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353"/>
      <c r="C51" s="353"/>
      <c r="D51" s="353"/>
      <c r="E51" s="353"/>
      <c r="F51" s="210"/>
      <c r="G51" s="210"/>
      <c r="H51" s="210"/>
      <c r="I51" s="210"/>
      <c r="J51" s="357"/>
      <c r="K51" s="357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204"/>
      <c r="C52" s="204"/>
      <c r="D52" s="204"/>
      <c r="E52" s="204"/>
      <c r="F52" s="205"/>
      <c r="G52" s="205"/>
      <c r="H52" s="205"/>
      <c r="I52" s="206"/>
      <c r="J52" s="207"/>
      <c r="K52" s="207"/>
      <c r="L52" s="207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208"/>
      <c r="C53" s="208"/>
      <c r="D53" s="208"/>
      <c r="E53" s="208"/>
      <c r="F53" s="208"/>
      <c r="G53" s="208"/>
      <c r="H53" s="208"/>
      <c r="I53" s="209"/>
      <c r="J53" s="208"/>
      <c r="K53" s="208"/>
      <c r="L53" s="206"/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33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133"/>
      <c r="N54" s="134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8.75" customHeight="1">
      <c r="A55" s="4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204"/>
      <c r="D56" s="204"/>
      <c r="F56" s="204"/>
      <c r="G56" s="204"/>
      <c r="H56" s="204"/>
      <c r="I56" s="204"/>
      <c r="K56" s="20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0">
    <mergeCell ref="F2:J5"/>
    <mergeCell ref="K2:L2"/>
    <mergeCell ref="C8:H8"/>
    <mergeCell ref="I8:J8"/>
    <mergeCell ref="K8:L8"/>
    <mergeCell ref="I9:J9"/>
    <mergeCell ref="K9:L9"/>
    <mergeCell ref="C9:H9"/>
    <mergeCell ref="B11:F11"/>
    <mergeCell ref="K11:L11"/>
    <mergeCell ref="K12:L12"/>
    <mergeCell ref="K13:L13"/>
    <mergeCell ref="K14:L14"/>
    <mergeCell ref="K15:L15"/>
    <mergeCell ref="K16:L16"/>
    <mergeCell ref="K17:L17"/>
    <mergeCell ref="K19:L19"/>
    <mergeCell ref="D20:H20"/>
    <mergeCell ref="K20:L20"/>
    <mergeCell ref="H22:I22"/>
    <mergeCell ref="J22:L22"/>
    <mergeCell ref="F22:G22"/>
    <mergeCell ref="B24:C24"/>
    <mergeCell ref="D24:E24"/>
    <mergeCell ref="H24:I24"/>
    <mergeCell ref="B25:C25"/>
    <mergeCell ref="D25:E25"/>
    <mergeCell ref="F25:G25"/>
    <mergeCell ref="I36:J36"/>
    <mergeCell ref="I37:J37"/>
    <mergeCell ref="K47:L47"/>
    <mergeCell ref="K49:L49"/>
    <mergeCell ref="K50:L50"/>
    <mergeCell ref="K51:L51"/>
    <mergeCell ref="H25:I25"/>
    <mergeCell ref="J25:L25"/>
    <mergeCell ref="E30:J33"/>
    <mergeCell ref="K30:L30"/>
    <mergeCell ref="C36:F36"/>
    <mergeCell ref="K36:L36"/>
    <mergeCell ref="K37:L37"/>
    <mergeCell ref="I56:J56"/>
    <mergeCell ref="K56:L56"/>
    <mergeCell ref="C37:F37"/>
    <mergeCell ref="C38:L38"/>
    <mergeCell ref="B41:F41"/>
    <mergeCell ref="B48:F48"/>
    <mergeCell ref="K48:L48"/>
    <mergeCell ref="B56:C56"/>
    <mergeCell ref="D56:E56"/>
  </mergeCells>
  <printOptions horizontalCentered="1"/>
  <pageMargins bottom="0.25" footer="0.0" header="0.0" left="0.0" right="0.0" top="0.2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4.57"/>
    <col customWidth="1" min="3" max="3" width="6.0"/>
    <col customWidth="1" min="4" max="4" width="12.14"/>
    <col customWidth="1" min="5" max="5" width="12.0"/>
    <col customWidth="1" min="6" max="6" width="29.86"/>
    <col customWidth="1" min="7" max="9" width="13.14"/>
    <col customWidth="1" min="10" max="10" width="14.86"/>
    <col customWidth="1" min="11" max="11" width="12.57"/>
    <col customWidth="1" min="12" max="12" width="14.29"/>
    <col customWidth="1" min="13" max="13" width="11.57"/>
    <col customWidth="1" min="14" max="14" width="14.29"/>
    <col customWidth="1" min="15" max="15" width="11.29"/>
    <col customWidth="1" min="16" max="26" width="9.29"/>
  </cols>
  <sheetData>
    <row r="1" ht="12.75" customHeight="1">
      <c r="A1" s="4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6"/>
      <c r="C2" s="7"/>
      <c r="D2" s="7"/>
      <c r="E2" s="211"/>
      <c r="F2" s="9" t="s">
        <v>0</v>
      </c>
      <c r="G2" s="10"/>
      <c r="H2" s="10"/>
      <c r="I2" s="10"/>
      <c r="J2" s="11"/>
      <c r="K2" s="12" t="s">
        <v>1</v>
      </c>
      <c r="L2" s="13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4"/>
      <c r="B3" s="14"/>
      <c r="C3" s="15"/>
      <c r="D3" s="15"/>
      <c r="E3" s="212"/>
      <c r="F3" s="17"/>
      <c r="J3" s="18"/>
      <c r="K3" s="19" t="s">
        <v>2</v>
      </c>
      <c r="L3" s="20" t="s">
        <v>3</v>
      </c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/>
      <c r="B4" s="14"/>
      <c r="C4" s="15"/>
      <c r="D4" s="15"/>
      <c r="E4" s="212"/>
      <c r="F4" s="17"/>
      <c r="J4" s="18"/>
      <c r="K4" s="21" t="s">
        <v>4</v>
      </c>
      <c r="L4" s="22" t="s">
        <v>5</v>
      </c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4"/>
      <c r="B5" s="23"/>
      <c r="C5" s="24"/>
      <c r="D5" s="24"/>
      <c r="E5" s="213"/>
      <c r="F5" s="26"/>
      <c r="G5" s="27"/>
      <c r="H5" s="27"/>
      <c r="I5" s="27"/>
      <c r="J5" s="28"/>
      <c r="K5" s="29" t="s">
        <v>6</v>
      </c>
      <c r="L5" s="30" t="s">
        <v>7</v>
      </c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31"/>
      <c r="C6" s="32"/>
      <c r="D6" s="32"/>
      <c r="E6" s="32"/>
      <c r="F6" s="214"/>
      <c r="G6" s="214"/>
      <c r="H6" s="214"/>
      <c r="I6" s="214"/>
      <c r="J6" s="214"/>
      <c r="K6" s="34" t="s">
        <v>8</v>
      </c>
      <c r="L6" s="35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36" t="s">
        <v>9</v>
      </c>
      <c r="C7" s="37"/>
      <c r="D7" s="37"/>
      <c r="E7" s="37"/>
      <c r="F7" s="38"/>
      <c r="G7" s="38"/>
      <c r="H7" s="38"/>
      <c r="I7" s="39"/>
      <c r="J7" s="37"/>
      <c r="K7" s="37"/>
      <c r="L7" s="40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/>
      <c r="B8" s="41" t="s">
        <v>10</v>
      </c>
      <c r="C8" s="375" t="s">
        <v>126</v>
      </c>
      <c r="D8" s="43"/>
      <c r="E8" s="43"/>
      <c r="F8" s="43"/>
      <c r="G8" s="43"/>
      <c r="H8" s="44"/>
      <c r="I8" s="45" t="s">
        <v>12</v>
      </c>
      <c r="J8" s="44"/>
      <c r="K8" s="337" t="s">
        <v>121</v>
      </c>
      <c r="L8" s="13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/>
      <c r="B9" s="41" t="s">
        <v>13</v>
      </c>
      <c r="C9" s="150" t="s">
        <v>116</v>
      </c>
      <c r="D9" s="43"/>
      <c r="E9" s="43"/>
      <c r="F9" s="43"/>
      <c r="G9" s="43"/>
      <c r="H9" s="13"/>
      <c r="I9" s="45" t="s">
        <v>15</v>
      </c>
      <c r="J9" s="44"/>
      <c r="K9" s="48" t="s">
        <v>127</v>
      </c>
      <c r="L9" s="13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36" t="s">
        <v>16</v>
      </c>
      <c r="C10" s="37"/>
      <c r="D10" s="37"/>
      <c r="E10" s="37"/>
      <c r="F10" s="38"/>
      <c r="G10" s="38"/>
      <c r="H10" s="38"/>
      <c r="I10" s="39"/>
      <c r="J10" s="37"/>
      <c r="K10" s="37"/>
      <c r="L10" s="40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4"/>
      <c r="B11" s="151" t="s">
        <v>17</v>
      </c>
      <c r="C11" s="152"/>
      <c r="D11" s="152"/>
      <c r="E11" s="152"/>
      <c r="F11" s="153"/>
      <c r="G11" s="154" t="s">
        <v>18</v>
      </c>
      <c r="H11" s="154" t="s">
        <v>19</v>
      </c>
      <c r="I11" s="62" t="s">
        <v>20</v>
      </c>
      <c r="J11" s="62" t="s">
        <v>21</v>
      </c>
      <c r="K11" s="58" t="s">
        <v>22</v>
      </c>
      <c r="L11" s="13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/>
      <c r="B12" s="155"/>
      <c r="C12" s="156"/>
      <c r="D12" s="157"/>
      <c r="E12" s="156"/>
      <c r="F12" s="158"/>
      <c r="G12" s="159"/>
      <c r="H12" s="160"/>
      <c r="I12" s="130"/>
      <c r="J12" s="130"/>
      <c r="K12" s="161"/>
      <c r="L12" s="162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163"/>
      <c r="C13" s="164"/>
      <c r="D13" s="165"/>
      <c r="E13" s="91"/>
      <c r="F13" s="166"/>
      <c r="G13" s="83"/>
      <c r="H13" s="167"/>
      <c r="I13" s="168"/>
      <c r="J13" s="168"/>
      <c r="K13" s="161"/>
      <c r="L13" s="162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169" t="s">
        <v>128</v>
      </c>
      <c r="C14" s="91"/>
      <c r="D14" s="171"/>
      <c r="E14" s="91"/>
      <c r="F14" s="172"/>
      <c r="G14" s="173" t="s">
        <v>24</v>
      </c>
      <c r="H14" s="174" t="s">
        <v>101</v>
      </c>
      <c r="I14" s="175" t="s">
        <v>26</v>
      </c>
      <c r="J14" s="175" t="s">
        <v>129</v>
      </c>
      <c r="K14" s="161">
        <v>4000.0</v>
      </c>
      <c r="L14" s="162"/>
      <c r="M14" s="4"/>
      <c r="N14" s="5">
        <v>351.0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125"/>
      <c r="C15" s="91"/>
      <c r="D15" s="165"/>
      <c r="E15" s="340"/>
      <c r="F15" s="172"/>
      <c r="G15" s="181"/>
      <c r="H15" s="164"/>
      <c r="I15" s="125"/>
      <c r="J15" s="125"/>
      <c r="K15" s="161"/>
      <c r="L15" s="162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178"/>
      <c r="C16" s="91"/>
      <c r="D16" s="171"/>
      <c r="E16" s="340"/>
      <c r="F16" s="164"/>
      <c r="G16" s="181"/>
      <c r="H16" s="164"/>
      <c r="I16" s="125"/>
      <c r="J16" s="125"/>
      <c r="K16" s="161"/>
      <c r="L16" s="162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125" t="s">
        <v>130</v>
      </c>
      <c r="C17" s="170"/>
      <c r="D17" s="376">
        <v>8000.0</v>
      </c>
      <c r="E17" s="377" t="s">
        <v>131</v>
      </c>
      <c r="F17" s="164"/>
      <c r="G17" s="181"/>
      <c r="H17" s="164"/>
      <c r="I17" s="125"/>
      <c r="J17" s="125"/>
      <c r="K17" s="161"/>
      <c r="L17" s="162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178"/>
      <c r="C18" s="170"/>
      <c r="D18" s="165">
        <f>K14</f>
        <v>4000</v>
      </c>
      <c r="E18" s="340"/>
      <c r="F18" s="164"/>
      <c r="G18" s="181"/>
      <c r="H18" s="164"/>
      <c r="I18" s="125"/>
      <c r="J18" s="125"/>
      <c r="K18" s="183"/>
      <c r="L18" s="184"/>
      <c r="M18" s="4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178"/>
      <c r="C19" s="164"/>
      <c r="D19" s="91"/>
      <c r="E19" s="182"/>
      <c r="F19" s="164"/>
      <c r="G19" s="181"/>
      <c r="H19" s="164"/>
      <c r="I19" s="125"/>
      <c r="J19" s="125"/>
      <c r="K19" s="161"/>
      <c r="L19" s="162"/>
      <c r="M19" s="4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4"/>
      <c r="B20" s="185" t="s">
        <v>28</v>
      </c>
      <c r="C20" s="186"/>
      <c r="D20" s="187"/>
      <c r="E20" s="188"/>
      <c r="F20" s="188"/>
      <c r="G20" s="188"/>
      <c r="H20" s="188"/>
      <c r="I20" s="189"/>
      <c r="J20" s="190" t="s">
        <v>29</v>
      </c>
      <c r="K20" s="191">
        <f>SUM(K13:L15)</f>
        <v>4000</v>
      </c>
      <c r="L20" s="192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193" t="s">
        <v>30</v>
      </c>
      <c r="C21" s="194"/>
      <c r="D21" s="194"/>
      <c r="E21" s="194"/>
      <c r="F21" s="195"/>
      <c r="G21" s="195"/>
      <c r="H21" s="195"/>
      <c r="I21" s="170"/>
      <c r="J21" s="196"/>
      <c r="K21" s="196"/>
      <c r="L21" s="197"/>
      <c r="M21" s="4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121" t="s">
        <v>31</v>
      </c>
      <c r="C22" s="122"/>
      <c r="D22" s="198" t="s">
        <v>32</v>
      </c>
      <c r="E22" s="199"/>
      <c r="F22" s="123" t="s">
        <v>33</v>
      </c>
      <c r="G22" s="13"/>
      <c r="H22" s="124" t="s">
        <v>34</v>
      </c>
      <c r="I22" s="13"/>
      <c r="J22" s="124" t="s">
        <v>35</v>
      </c>
      <c r="K22" s="43"/>
      <c r="L22" s="13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33"/>
      <c r="B23" s="125"/>
      <c r="C23" s="126"/>
      <c r="D23" s="125"/>
      <c r="E23" s="126"/>
      <c r="F23" s="127"/>
      <c r="G23" s="128"/>
      <c r="H23" s="200"/>
      <c r="I23" s="201"/>
      <c r="J23" s="130"/>
      <c r="K23" s="131"/>
      <c r="L23" s="132"/>
      <c r="M23" s="133"/>
      <c r="N23" s="134"/>
      <c r="O23" s="134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8.75" customHeight="1">
      <c r="A24" s="4"/>
      <c r="B24" s="202"/>
      <c r="C24" s="136"/>
      <c r="D24" s="202"/>
      <c r="E24" s="136"/>
      <c r="F24" s="345" t="s">
        <v>132</v>
      </c>
      <c r="G24" s="139"/>
      <c r="H24" s="346" t="s">
        <v>69</v>
      </c>
      <c r="I24" s="136"/>
      <c r="J24" s="140"/>
      <c r="K24" s="141"/>
      <c r="L24" s="142"/>
      <c r="M24" s="4"/>
      <c r="N24" s="5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143" t="s">
        <v>39</v>
      </c>
      <c r="C25" s="13"/>
      <c r="D25" s="143" t="s">
        <v>40</v>
      </c>
      <c r="E25" s="13"/>
      <c r="F25" s="143" t="s">
        <v>41</v>
      </c>
      <c r="G25" s="13"/>
      <c r="H25" s="144" t="s">
        <v>42</v>
      </c>
      <c r="I25" s="13"/>
      <c r="J25" s="143" t="s">
        <v>43</v>
      </c>
      <c r="K25" s="43"/>
      <c r="L25" s="13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145"/>
      <c r="C26" s="145"/>
      <c r="D26" s="145"/>
      <c r="E26" s="145"/>
      <c r="F26" s="145"/>
      <c r="G26" s="145"/>
      <c r="H26" s="145"/>
      <c r="I26" s="145"/>
      <c r="J26" s="177"/>
      <c r="K26" s="177"/>
      <c r="L26" s="177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347"/>
      <c r="C30" s="347"/>
      <c r="D30" s="347"/>
      <c r="E30" s="348"/>
      <c r="K30" s="349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347"/>
      <c r="C31" s="347"/>
      <c r="D31" s="347"/>
      <c r="K31" s="134"/>
      <c r="L31" s="133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347"/>
      <c r="C32" s="347"/>
      <c r="D32" s="347"/>
      <c r="K32" s="134"/>
      <c r="L32" s="133"/>
      <c r="M32" s="4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347"/>
      <c r="C33" s="347"/>
      <c r="D33" s="347"/>
      <c r="K33" s="134"/>
      <c r="L33" s="350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351"/>
      <c r="C34" s="351"/>
      <c r="D34" s="351"/>
      <c r="E34" s="351"/>
      <c r="F34" s="4"/>
      <c r="G34" s="4"/>
      <c r="H34" s="4"/>
      <c r="I34" s="4"/>
      <c r="J34" s="4"/>
      <c r="K34" s="4"/>
      <c r="L34" s="352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353"/>
      <c r="C35" s="353"/>
      <c r="D35" s="353"/>
      <c r="E35" s="353"/>
      <c r="F35" s="205"/>
      <c r="G35" s="205"/>
      <c r="H35" s="205"/>
      <c r="I35" s="210"/>
      <c r="J35" s="353"/>
      <c r="K35" s="353"/>
      <c r="L35" s="206"/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353"/>
      <c r="C36" s="205"/>
      <c r="G36" s="205"/>
      <c r="H36" s="205"/>
      <c r="I36" s="353"/>
      <c r="K36" s="205"/>
      <c r="M36" s="4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353"/>
      <c r="C37" s="205"/>
      <c r="G37" s="205"/>
      <c r="H37" s="205"/>
      <c r="I37" s="353"/>
      <c r="K37" s="205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353"/>
      <c r="C38" s="205"/>
      <c r="M38" s="4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353"/>
      <c r="C39" s="353"/>
      <c r="D39" s="353"/>
      <c r="E39" s="353"/>
      <c r="F39" s="205"/>
      <c r="G39" s="205"/>
      <c r="H39" s="205"/>
      <c r="I39" s="210"/>
      <c r="J39" s="353"/>
      <c r="K39" s="353"/>
      <c r="L39" s="206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353"/>
      <c r="C40" s="353"/>
      <c r="D40" s="353"/>
      <c r="E40" s="353"/>
      <c r="F40" s="205"/>
      <c r="G40" s="205"/>
      <c r="H40" s="205"/>
      <c r="I40" s="210"/>
      <c r="J40" s="353"/>
      <c r="K40" s="353"/>
      <c r="L40" s="206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354"/>
      <c r="G41" s="354"/>
      <c r="H41" s="354"/>
      <c r="I41" s="354"/>
      <c r="J41" s="354"/>
      <c r="K41" s="354"/>
      <c r="L41" s="35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353"/>
      <c r="C42" s="353"/>
      <c r="D42" s="353"/>
      <c r="E42" s="353"/>
      <c r="F42" s="210"/>
      <c r="G42" s="210"/>
      <c r="H42" s="210"/>
      <c r="I42" s="210"/>
      <c r="J42" s="353"/>
      <c r="K42" s="353"/>
      <c r="L42" s="355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353"/>
      <c r="C43" s="353"/>
      <c r="D43" s="353"/>
      <c r="E43" s="353"/>
      <c r="F43" s="210"/>
      <c r="G43" s="210"/>
      <c r="H43" s="210"/>
      <c r="I43" s="210"/>
      <c r="J43" s="353"/>
      <c r="K43" s="353"/>
      <c r="L43" s="355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353"/>
      <c r="C44" s="353"/>
      <c r="D44" s="353"/>
      <c r="E44" s="353"/>
      <c r="F44" s="210"/>
      <c r="G44" s="210"/>
      <c r="H44" s="210"/>
      <c r="I44" s="210"/>
      <c r="J44" s="206"/>
      <c r="K44" s="206"/>
      <c r="L44" s="356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353"/>
      <c r="C45" s="353"/>
      <c r="D45" s="353"/>
      <c r="E45" s="353"/>
      <c r="F45" s="210"/>
      <c r="G45" s="210"/>
      <c r="H45" s="210"/>
      <c r="I45" s="210"/>
      <c r="J45" s="206"/>
      <c r="K45" s="206"/>
      <c r="L45" s="355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210"/>
      <c r="C46" s="210"/>
      <c r="D46" s="210"/>
      <c r="E46" s="210"/>
      <c r="F46" s="210"/>
      <c r="G46" s="210"/>
      <c r="H46" s="210"/>
      <c r="I46" s="210"/>
      <c r="J46" s="206"/>
      <c r="K46" s="206"/>
      <c r="L46" s="206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353"/>
      <c r="C47" s="353"/>
      <c r="D47" s="353"/>
      <c r="E47" s="353"/>
      <c r="F47" s="205"/>
      <c r="G47" s="205"/>
      <c r="H47" s="205"/>
      <c r="I47" s="210"/>
      <c r="J47" s="357"/>
      <c r="K47" s="357"/>
      <c r="M47" s="4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354"/>
      <c r="G48" s="354"/>
      <c r="H48" s="354"/>
      <c r="I48" s="354"/>
      <c r="J48" s="355"/>
      <c r="K48" s="355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353"/>
      <c r="C49" s="353"/>
      <c r="D49" s="353"/>
      <c r="E49" s="353"/>
      <c r="F49" s="210"/>
      <c r="G49" s="210"/>
      <c r="H49" s="210"/>
      <c r="I49" s="210"/>
      <c r="J49" s="357"/>
      <c r="K49" s="357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353"/>
      <c r="C50" s="353"/>
      <c r="D50" s="353"/>
      <c r="E50" s="353"/>
      <c r="F50" s="210"/>
      <c r="G50" s="210"/>
      <c r="H50" s="210"/>
      <c r="I50" s="210"/>
      <c r="J50" s="355"/>
      <c r="K50" s="355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353"/>
      <c r="C51" s="353"/>
      <c r="D51" s="353"/>
      <c r="E51" s="353"/>
      <c r="F51" s="210"/>
      <c r="G51" s="210"/>
      <c r="H51" s="210"/>
      <c r="I51" s="210"/>
      <c r="J51" s="357"/>
      <c r="K51" s="357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204"/>
      <c r="C52" s="204"/>
      <c r="D52" s="204"/>
      <c r="E52" s="204"/>
      <c r="F52" s="205"/>
      <c r="G52" s="205"/>
      <c r="H52" s="205"/>
      <c r="I52" s="206"/>
      <c r="J52" s="207"/>
      <c r="K52" s="207"/>
      <c r="L52" s="207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208"/>
      <c r="C53" s="208"/>
      <c r="D53" s="208"/>
      <c r="E53" s="208"/>
      <c r="F53" s="208"/>
      <c r="G53" s="208"/>
      <c r="H53" s="208"/>
      <c r="I53" s="209"/>
      <c r="J53" s="208"/>
      <c r="K53" s="208"/>
      <c r="L53" s="206"/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33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133"/>
      <c r="N54" s="134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8.75" customHeight="1">
      <c r="A55" s="4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204"/>
      <c r="D56" s="204"/>
      <c r="F56" s="204"/>
      <c r="G56" s="204"/>
      <c r="H56" s="204"/>
      <c r="I56" s="204"/>
      <c r="K56" s="20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0">
    <mergeCell ref="F2:J5"/>
    <mergeCell ref="K2:L2"/>
    <mergeCell ref="C8:H8"/>
    <mergeCell ref="I8:J8"/>
    <mergeCell ref="K8:L8"/>
    <mergeCell ref="I9:J9"/>
    <mergeCell ref="K9:L9"/>
    <mergeCell ref="C9:H9"/>
    <mergeCell ref="B11:F11"/>
    <mergeCell ref="K11:L11"/>
    <mergeCell ref="K12:L12"/>
    <mergeCell ref="K13:L13"/>
    <mergeCell ref="K14:L14"/>
    <mergeCell ref="K15:L15"/>
    <mergeCell ref="K16:L16"/>
    <mergeCell ref="K17:L17"/>
    <mergeCell ref="K19:L19"/>
    <mergeCell ref="D20:H20"/>
    <mergeCell ref="K20:L20"/>
    <mergeCell ref="H22:I22"/>
    <mergeCell ref="J22:L22"/>
    <mergeCell ref="F22:G22"/>
    <mergeCell ref="B24:C24"/>
    <mergeCell ref="D24:E24"/>
    <mergeCell ref="H24:I24"/>
    <mergeCell ref="B25:C25"/>
    <mergeCell ref="D25:E25"/>
    <mergeCell ref="F25:G25"/>
    <mergeCell ref="I36:J36"/>
    <mergeCell ref="I37:J37"/>
    <mergeCell ref="K47:L47"/>
    <mergeCell ref="K49:L49"/>
    <mergeCell ref="K50:L50"/>
    <mergeCell ref="K51:L51"/>
    <mergeCell ref="H25:I25"/>
    <mergeCell ref="J25:L25"/>
    <mergeCell ref="E30:J33"/>
    <mergeCell ref="K30:L30"/>
    <mergeCell ref="C36:F36"/>
    <mergeCell ref="K36:L36"/>
    <mergeCell ref="K37:L37"/>
    <mergeCell ref="I56:J56"/>
    <mergeCell ref="K56:L56"/>
    <mergeCell ref="C37:F37"/>
    <mergeCell ref="C38:L38"/>
    <mergeCell ref="B41:F41"/>
    <mergeCell ref="B48:F48"/>
    <mergeCell ref="K48:L48"/>
    <mergeCell ref="B56:C56"/>
    <mergeCell ref="D56:E56"/>
  </mergeCells>
  <printOptions horizontalCentered="1"/>
  <pageMargins bottom="0.25" footer="0.0" header="0.0" left="0.0" right="0.0" top="0.2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14.57"/>
    <col customWidth="1" min="3" max="3" width="6.0"/>
    <col customWidth="1" min="4" max="4" width="12.14"/>
    <col customWidth="1" min="5" max="5" width="12.0"/>
    <col customWidth="1" min="6" max="6" width="29.86"/>
    <col customWidth="1" min="7" max="9" width="13.14"/>
    <col customWidth="1" min="10" max="10" width="14.86"/>
    <col customWidth="1" min="11" max="11" width="12.57"/>
    <col customWidth="1" min="12" max="12" width="14.29"/>
    <col customWidth="1" min="13" max="13" width="11.57"/>
    <col customWidth="1" min="14" max="14" width="14.29"/>
    <col customWidth="1" min="15" max="15" width="11.29"/>
    <col customWidth="1" min="16" max="26" width="9.29"/>
  </cols>
  <sheetData>
    <row r="1" ht="12.75" customHeight="1">
      <c r="A1" s="4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/>
      <c r="B2" s="6"/>
      <c r="C2" s="7"/>
      <c r="D2" s="7"/>
      <c r="E2" s="211"/>
      <c r="F2" s="9" t="s">
        <v>0</v>
      </c>
      <c r="G2" s="10"/>
      <c r="H2" s="10"/>
      <c r="I2" s="10"/>
      <c r="J2" s="11"/>
      <c r="K2" s="12" t="s">
        <v>1</v>
      </c>
      <c r="L2" s="13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4"/>
      <c r="B3" s="14"/>
      <c r="C3" s="15"/>
      <c r="D3" s="15"/>
      <c r="E3" s="212"/>
      <c r="F3" s="17"/>
      <c r="J3" s="18"/>
      <c r="K3" s="19" t="s">
        <v>2</v>
      </c>
      <c r="L3" s="20" t="s">
        <v>3</v>
      </c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/>
      <c r="B4" s="14"/>
      <c r="C4" s="15"/>
      <c r="D4" s="15"/>
      <c r="E4" s="212"/>
      <c r="F4" s="17"/>
      <c r="J4" s="18"/>
      <c r="K4" s="21" t="s">
        <v>4</v>
      </c>
      <c r="L4" s="22" t="s">
        <v>5</v>
      </c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4"/>
      <c r="B5" s="23"/>
      <c r="C5" s="24"/>
      <c r="D5" s="24"/>
      <c r="E5" s="213"/>
      <c r="F5" s="26"/>
      <c r="G5" s="27"/>
      <c r="H5" s="27"/>
      <c r="I5" s="27"/>
      <c r="J5" s="28"/>
      <c r="K5" s="29" t="s">
        <v>6</v>
      </c>
      <c r="L5" s="30" t="s">
        <v>7</v>
      </c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31"/>
      <c r="C6" s="32"/>
      <c r="D6" s="32"/>
      <c r="E6" s="32"/>
      <c r="F6" s="214"/>
      <c r="G6" s="214"/>
      <c r="H6" s="214"/>
      <c r="I6" s="214"/>
      <c r="J6" s="214"/>
      <c r="K6" s="34" t="s">
        <v>8</v>
      </c>
      <c r="L6" s="35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36" t="s">
        <v>9</v>
      </c>
      <c r="C7" s="37"/>
      <c r="D7" s="37"/>
      <c r="E7" s="37"/>
      <c r="F7" s="38"/>
      <c r="G7" s="38"/>
      <c r="H7" s="38"/>
      <c r="I7" s="39"/>
      <c r="J7" s="37"/>
      <c r="K7" s="37"/>
      <c r="L7" s="40"/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/>
      <c r="B8" s="41" t="s">
        <v>10</v>
      </c>
      <c r="C8" s="148" t="s">
        <v>133</v>
      </c>
      <c r="D8" s="43"/>
      <c r="E8" s="43"/>
      <c r="F8" s="43"/>
      <c r="G8" s="43"/>
      <c r="H8" s="44"/>
      <c r="I8" s="45" t="s">
        <v>12</v>
      </c>
      <c r="J8" s="44"/>
      <c r="K8" s="337" t="s">
        <v>134</v>
      </c>
      <c r="L8" s="13"/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/>
      <c r="B9" s="41" t="s">
        <v>13</v>
      </c>
      <c r="C9" s="150" t="s">
        <v>135</v>
      </c>
      <c r="D9" s="43"/>
      <c r="E9" s="43"/>
      <c r="F9" s="43"/>
      <c r="G9" s="43"/>
      <c r="H9" s="13"/>
      <c r="I9" s="45" t="s">
        <v>15</v>
      </c>
      <c r="J9" s="44"/>
      <c r="K9" s="48"/>
      <c r="L9" s="13"/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36" t="s">
        <v>16</v>
      </c>
      <c r="C10" s="37"/>
      <c r="D10" s="37"/>
      <c r="E10" s="37"/>
      <c r="F10" s="38"/>
      <c r="G10" s="38"/>
      <c r="H10" s="38"/>
      <c r="I10" s="39"/>
      <c r="J10" s="37"/>
      <c r="K10" s="37"/>
      <c r="L10" s="40"/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4"/>
      <c r="B11" s="151" t="s">
        <v>17</v>
      </c>
      <c r="C11" s="152"/>
      <c r="D11" s="152"/>
      <c r="E11" s="152"/>
      <c r="F11" s="153"/>
      <c r="G11" s="154" t="s">
        <v>18</v>
      </c>
      <c r="H11" s="154" t="s">
        <v>19</v>
      </c>
      <c r="I11" s="62" t="s">
        <v>20</v>
      </c>
      <c r="J11" s="62" t="s">
        <v>21</v>
      </c>
      <c r="K11" s="58" t="s">
        <v>22</v>
      </c>
      <c r="L11" s="13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/>
      <c r="B12" s="155"/>
      <c r="C12" s="156"/>
      <c r="D12" s="157"/>
      <c r="E12" s="156"/>
      <c r="F12" s="158"/>
      <c r="G12" s="159"/>
      <c r="H12" s="160"/>
      <c r="I12" s="130"/>
      <c r="J12" s="130"/>
      <c r="K12" s="161"/>
      <c r="L12" s="162"/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163"/>
      <c r="C13" s="164"/>
      <c r="D13" s="165"/>
      <c r="E13" s="91"/>
      <c r="F13" s="166"/>
      <c r="G13" s="83"/>
      <c r="H13" s="167"/>
      <c r="I13" s="168"/>
      <c r="J13" s="168"/>
      <c r="K13" s="161"/>
      <c r="L13" s="162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169" t="s">
        <v>136</v>
      </c>
      <c r="C14" s="91"/>
      <c r="D14" s="171"/>
      <c r="E14" s="91"/>
      <c r="F14" s="172"/>
      <c r="G14" s="173" t="s">
        <v>24</v>
      </c>
      <c r="H14" s="174" t="s">
        <v>101</v>
      </c>
      <c r="I14" s="175" t="s">
        <v>26</v>
      </c>
      <c r="J14" s="175" t="s">
        <v>137</v>
      </c>
      <c r="K14" s="161">
        <v>95000.0</v>
      </c>
      <c r="L14" s="162"/>
      <c r="M14" s="4"/>
      <c r="N14" s="5">
        <v>351.0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125" t="s">
        <v>138</v>
      </c>
      <c r="C15" s="91"/>
      <c r="D15" s="165"/>
      <c r="E15" s="340"/>
      <c r="F15" s="172"/>
      <c r="G15" s="181"/>
      <c r="H15" s="164"/>
      <c r="I15" s="125"/>
      <c r="J15" s="125"/>
      <c r="K15" s="161"/>
      <c r="L15" s="162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178"/>
      <c r="C16" s="91"/>
      <c r="D16" s="171"/>
      <c r="E16" s="340"/>
      <c r="F16" s="164"/>
      <c r="G16" s="181"/>
      <c r="H16" s="164"/>
      <c r="I16" s="125"/>
      <c r="J16" s="125"/>
      <c r="K16" s="161"/>
      <c r="L16" s="162"/>
      <c r="M16" s="4"/>
      <c r="N16" s="5">
        <v>80000.0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125"/>
      <c r="C17" s="170"/>
      <c r="D17" s="376"/>
      <c r="E17" s="165"/>
      <c r="F17" s="164"/>
      <c r="G17" s="181"/>
      <c r="H17" s="164"/>
      <c r="I17" s="125"/>
      <c r="J17" s="125"/>
      <c r="K17" s="161"/>
      <c r="L17" s="162"/>
      <c r="M17" s="4"/>
      <c r="N17" s="5">
        <v>300000.0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178"/>
      <c r="C18" s="170"/>
      <c r="D18" s="165"/>
      <c r="E18" s="340"/>
      <c r="F18" s="164"/>
      <c r="G18" s="181"/>
      <c r="H18" s="164"/>
      <c r="I18" s="125"/>
      <c r="J18" s="125"/>
      <c r="K18" s="183"/>
      <c r="L18" s="184"/>
      <c r="M18" s="4"/>
      <c r="N18" s="5">
        <v>95000.0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178"/>
      <c r="C19" s="164"/>
      <c r="D19" s="91"/>
      <c r="E19" s="182"/>
      <c r="F19" s="164"/>
      <c r="G19" s="181"/>
      <c r="H19" s="164"/>
      <c r="I19" s="125"/>
      <c r="J19" s="125"/>
      <c r="K19" s="161"/>
      <c r="L19" s="162"/>
      <c r="M19" s="4"/>
      <c r="N19" s="5">
        <f>SUM(N16:N18)</f>
        <v>475000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4"/>
      <c r="B20" s="185" t="s">
        <v>28</v>
      </c>
      <c r="C20" s="186"/>
      <c r="D20" s="187"/>
      <c r="E20" s="188"/>
      <c r="F20" s="188"/>
      <c r="G20" s="188"/>
      <c r="H20" s="188"/>
      <c r="I20" s="189"/>
      <c r="J20" s="190" t="s">
        <v>29</v>
      </c>
      <c r="K20" s="191">
        <f>SUM(K13:L15)</f>
        <v>95000</v>
      </c>
      <c r="L20" s="192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193" t="s">
        <v>30</v>
      </c>
      <c r="C21" s="194"/>
      <c r="D21" s="194"/>
      <c r="E21" s="194"/>
      <c r="F21" s="195"/>
      <c r="G21" s="195"/>
      <c r="H21" s="195"/>
      <c r="I21" s="170"/>
      <c r="J21" s="196"/>
      <c r="K21" s="196"/>
      <c r="L21" s="197"/>
      <c r="M21" s="4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121" t="s">
        <v>31</v>
      </c>
      <c r="C22" s="122"/>
      <c r="D22" s="198" t="s">
        <v>32</v>
      </c>
      <c r="E22" s="199"/>
      <c r="F22" s="123" t="s">
        <v>33</v>
      </c>
      <c r="G22" s="13"/>
      <c r="H22" s="124" t="s">
        <v>34</v>
      </c>
      <c r="I22" s="13"/>
      <c r="J22" s="124" t="s">
        <v>35</v>
      </c>
      <c r="K22" s="43"/>
      <c r="L22" s="13"/>
      <c r="M22" s="4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33"/>
      <c r="B23" s="125"/>
      <c r="C23" s="126"/>
      <c r="D23" s="125"/>
      <c r="E23" s="126"/>
      <c r="F23" s="127"/>
      <c r="G23" s="128"/>
      <c r="H23" s="200"/>
      <c r="I23" s="201"/>
      <c r="J23" s="130"/>
      <c r="K23" s="131"/>
      <c r="L23" s="132"/>
      <c r="M23" s="133"/>
      <c r="N23" s="134"/>
      <c r="O23" s="134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8.75" customHeight="1">
      <c r="A24" s="4"/>
      <c r="B24" s="202"/>
      <c r="C24" s="136"/>
      <c r="D24" s="202"/>
      <c r="E24" s="136"/>
      <c r="F24" s="345" t="s">
        <v>132</v>
      </c>
      <c r="G24" s="139"/>
      <c r="H24" s="346" t="s">
        <v>69</v>
      </c>
      <c r="I24" s="136"/>
      <c r="J24" s="140"/>
      <c r="K24" s="141"/>
      <c r="L24" s="142"/>
      <c r="M24" s="4"/>
      <c r="N24" s="5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143" t="s">
        <v>39</v>
      </c>
      <c r="C25" s="13"/>
      <c r="D25" s="143" t="s">
        <v>40</v>
      </c>
      <c r="E25" s="13"/>
      <c r="F25" s="143" t="s">
        <v>41</v>
      </c>
      <c r="G25" s="13"/>
      <c r="H25" s="144" t="s">
        <v>42</v>
      </c>
      <c r="I25" s="13"/>
      <c r="J25" s="143" t="s">
        <v>43</v>
      </c>
      <c r="K25" s="43"/>
      <c r="L25" s="13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145"/>
      <c r="C26" s="145"/>
      <c r="D26" s="145"/>
      <c r="E26" s="145"/>
      <c r="F26" s="145"/>
      <c r="G26" s="145"/>
      <c r="H26" s="145"/>
      <c r="I26" s="145"/>
      <c r="J26" s="177"/>
      <c r="K26" s="177"/>
      <c r="L26" s="177"/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4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347"/>
      <c r="C30" s="347"/>
      <c r="D30" s="347"/>
      <c r="E30" s="348"/>
      <c r="K30" s="349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347"/>
      <c r="C31" s="347"/>
      <c r="D31" s="347"/>
      <c r="K31" s="134"/>
      <c r="L31" s="133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347"/>
      <c r="C32" s="347"/>
      <c r="D32" s="347"/>
      <c r="K32" s="134"/>
      <c r="L32" s="133"/>
      <c r="M32" s="4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347"/>
      <c r="C33" s="347"/>
      <c r="D33" s="347"/>
      <c r="K33" s="134"/>
      <c r="L33" s="350"/>
      <c r="M33" s="4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351"/>
      <c r="C34" s="351"/>
      <c r="D34" s="351"/>
      <c r="E34" s="351"/>
      <c r="F34" s="4"/>
      <c r="G34" s="4"/>
      <c r="H34" s="4"/>
      <c r="I34" s="4"/>
      <c r="J34" s="4"/>
      <c r="K34" s="4"/>
      <c r="L34" s="352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353"/>
      <c r="C35" s="353"/>
      <c r="D35" s="353"/>
      <c r="E35" s="353"/>
      <c r="F35" s="205"/>
      <c r="G35" s="205"/>
      <c r="H35" s="205"/>
      <c r="I35" s="210"/>
      <c r="J35" s="353"/>
      <c r="K35" s="353"/>
      <c r="L35" s="206"/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353"/>
      <c r="C36" s="205"/>
      <c r="G36" s="205"/>
      <c r="H36" s="205"/>
      <c r="I36" s="353"/>
      <c r="K36" s="205"/>
      <c r="M36" s="4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353"/>
      <c r="C37" s="205"/>
      <c r="G37" s="205"/>
      <c r="H37" s="205"/>
      <c r="I37" s="353"/>
      <c r="K37" s="205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353"/>
      <c r="C38" s="205"/>
      <c r="M38" s="4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353"/>
      <c r="C39" s="353"/>
      <c r="D39" s="353"/>
      <c r="E39" s="353"/>
      <c r="F39" s="205"/>
      <c r="G39" s="205"/>
      <c r="H39" s="205"/>
      <c r="I39" s="210"/>
      <c r="J39" s="353"/>
      <c r="K39" s="353"/>
      <c r="L39" s="206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353"/>
      <c r="C40" s="353"/>
      <c r="D40" s="353"/>
      <c r="E40" s="353"/>
      <c r="F40" s="205"/>
      <c r="G40" s="205"/>
      <c r="H40" s="205"/>
      <c r="I40" s="210"/>
      <c r="J40" s="353"/>
      <c r="K40" s="353"/>
      <c r="L40" s="206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354"/>
      <c r="G41" s="354"/>
      <c r="H41" s="354"/>
      <c r="I41" s="354"/>
      <c r="J41" s="354"/>
      <c r="K41" s="354"/>
      <c r="L41" s="35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353"/>
      <c r="C42" s="353"/>
      <c r="D42" s="353"/>
      <c r="E42" s="353"/>
      <c r="F42" s="210"/>
      <c r="G42" s="210"/>
      <c r="H42" s="210"/>
      <c r="I42" s="210"/>
      <c r="J42" s="353"/>
      <c r="K42" s="353"/>
      <c r="L42" s="355"/>
      <c r="M42" s="4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353"/>
      <c r="C43" s="353"/>
      <c r="D43" s="353"/>
      <c r="E43" s="353"/>
      <c r="F43" s="210"/>
      <c r="G43" s="210"/>
      <c r="H43" s="210"/>
      <c r="I43" s="210"/>
      <c r="J43" s="353"/>
      <c r="K43" s="353"/>
      <c r="L43" s="355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353"/>
      <c r="C44" s="353"/>
      <c r="D44" s="353"/>
      <c r="E44" s="353"/>
      <c r="F44" s="210"/>
      <c r="G44" s="210"/>
      <c r="H44" s="210"/>
      <c r="I44" s="210"/>
      <c r="J44" s="206"/>
      <c r="K44" s="206"/>
      <c r="L44" s="356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353"/>
      <c r="C45" s="353"/>
      <c r="D45" s="353"/>
      <c r="E45" s="353"/>
      <c r="F45" s="210"/>
      <c r="G45" s="210"/>
      <c r="H45" s="210"/>
      <c r="I45" s="210"/>
      <c r="J45" s="206"/>
      <c r="K45" s="206"/>
      <c r="L45" s="355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210"/>
      <c r="C46" s="210"/>
      <c r="D46" s="210"/>
      <c r="E46" s="210"/>
      <c r="F46" s="210"/>
      <c r="G46" s="210"/>
      <c r="H46" s="210"/>
      <c r="I46" s="210"/>
      <c r="J46" s="206"/>
      <c r="K46" s="206"/>
      <c r="L46" s="206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353"/>
      <c r="C47" s="353"/>
      <c r="D47" s="353"/>
      <c r="E47" s="353"/>
      <c r="F47" s="205"/>
      <c r="G47" s="205"/>
      <c r="H47" s="205"/>
      <c r="I47" s="210"/>
      <c r="J47" s="357"/>
      <c r="K47" s="357"/>
      <c r="M47" s="4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354"/>
      <c r="G48" s="354"/>
      <c r="H48" s="354"/>
      <c r="I48" s="354"/>
      <c r="J48" s="355"/>
      <c r="K48" s="355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353"/>
      <c r="C49" s="353"/>
      <c r="D49" s="353"/>
      <c r="E49" s="353"/>
      <c r="F49" s="210"/>
      <c r="G49" s="210"/>
      <c r="H49" s="210"/>
      <c r="I49" s="210"/>
      <c r="J49" s="357"/>
      <c r="K49" s="357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353"/>
      <c r="C50" s="353"/>
      <c r="D50" s="353"/>
      <c r="E50" s="353"/>
      <c r="F50" s="210"/>
      <c r="G50" s="210"/>
      <c r="H50" s="210"/>
      <c r="I50" s="210"/>
      <c r="J50" s="355"/>
      <c r="K50" s="355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353"/>
      <c r="C51" s="353"/>
      <c r="D51" s="353"/>
      <c r="E51" s="353"/>
      <c r="F51" s="210"/>
      <c r="G51" s="210"/>
      <c r="H51" s="210"/>
      <c r="I51" s="210"/>
      <c r="J51" s="357"/>
      <c r="K51" s="357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204"/>
      <c r="C52" s="204"/>
      <c r="D52" s="204"/>
      <c r="E52" s="204"/>
      <c r="F52" s="205"/>
      <c r="G52" s="205"/>
      <c r="H52" s="205"/>
      <c r="I52" s="206"/>
      <c r="J52" s="207"/>
      <c r="K52" s="207"/>
      <c r="L52" s="207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208"/>
      <c r="C53" s="208"/>
      <c r="D53" s="208"/>
      <c r="E53" s="208"/>
      <c r="F53" s="208"/>
      <c r="G53" s="208"/>
      <c r="H53" s="208"/>
      <c r="I53" s="209"/>
      <c r="J53" s="208"/>
      <c r="K53" s="208"/>
      <c r="L53" s="206"/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33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133"/>
      <c r="N54" s="134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8.75" customHeight="1">
      <c r="A55" s="4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204"/>
      <c r="D56" s="204"/>
      <c r="F56" s="204"/>
      <c r="G56" s="204"/>
      <c r="H56" s="204"/>
      <c r="I56" s="204"/>
      <c r="K56" s="20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0">
    <mergeCell ref="F2:J5"/>
    <mergeCell ref="K2:L2"/>
    <mergeCell ref="C8:H8"/>
    <mergeCell ref="I8:J8"/>
    <mergeCell ref="K8:L8"/>
    <mergeCell ref="I9:J9"/>
    <mergeCell ref="K9:L9"/>
    <mergeCell ref="C9:H9"/>
    <mergeCell ref="B11:F11"/>
    <mergeCell ref="K11:L11"/>
    <mergeCell ref="K12:L12"/>
    <mergeCell ref="K13:L13"/>
    <mergeCell ref="K14:L14"/>
    <mergeCell ref="K15:L15"/>
    <mergeCell ref="K16:L16"/>
    <mergeCell ref="K17:L17"/>
    <mergeCell ref="K19:L19"/>
    <mergeCell ref="D20:H20"/>
    <mergeCell ref="K20:L20"/>
    <mergeCell ref="H22:I22"/>
    <mergeCell ref="J22:L22"/>
    <mergeCell ref="F22:G22"/>
    <mergeCell ref="B24:C24"/>
    <mergeCell ref="D24:E24"/>
    <mergeCell ref="H24:I24"/>
    <mergeCell ref="B25:C25"/>
    <mergeCell ref="D25:E25"/>
    <mergeCell ref="F25:G25"/>
    <mergeCell ref="I36:J36"/>
    <mergeCell ref="I37:J37"/>
    <mergeCell ref="K47:L47"/>
    <mergeCell ref="K49:L49"/>
    <mergeCell ref="K50:L50"/>
    <mergeCell ref="K51:L51"/>
    <mergeCell ref="H25:I25"/>
    <mergeCell ref="J25:L25"/>
    <mergeCell ref="E30:J33"/>
    <mergeCell ref="K30:L30"/>
    <mergeCell ref="C36:F36"/>
    <mergeCell ref="K36:L36"/>
    <mergeCell ref="K37:L37"/>
    <mergeCell ref="I56:J56"/>
    <mergeCell ref="K56:L56"/>
    <mergeCell ref="C37:F37"/>
    <mergeCell ref="C38:L38"/>
    <mergeCell ref="B41:F41"/>
    <mergeCell ref="B48:F48"/>
    <mergeCell ref="K48:L48"/>
    <mergeCell ref="B56:C56"/>
    <mergeCell ref="D56:E56"/>
  </mergeCells>
  <printOptions horizontalCentered="1"/>
  <pageMargins bottom="0.25" footer="0.0" header="0.0" left="0.0" right="0.0" top="0.2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0.14"/>
    <col customWidth="1" min="4" max="4" width="31.57"/>
    <col customWidth="1" min="5" max="5" width="41.43"/>
    <col customWidth="1" min="6" max="26" width="9.0"/>
  </cols>
  <sheetData>
    <row r="1">
      <c r="C1" s="378" t="s">
        <v>139</v>
      </c>
    </row>
    <row r="2">
      <c r="C2" s="378" t="s">
        <v>140</v>
      </c>
      <c r="D2" s="379" t="s">
        <v>141</v>
      </c>
    </row>
    <row r="3">
      <c r="D3" s="379"/>
    </row>
    <row r="4">
      <c r="C4" s="378" t="s">
        <v>10</v>
      </c>
      <c r="D4" s="379" t="s">
        <v>142</v>
      </c>
    </row>
    <row r="5">
      <c r="C5" s="378" t="s">
        <v>13</v>
      </c>
      <c r="D5" s="379" t="s">
        <v>142</v>
      </c>
    </row>
    <row r="6">
      <c r="C6" s="378" t="s">
        <v>12</v>
      </c>
      <c r="D6" s="379" t="s">
        <v>142</v>
      </c>
    </row>
    <row r="7">
      <c r="C7" s="378" t="s">
        <v>143</v>
      </c>
      <c r="D7" s="379" t="s">
        <v>144</v>
      </c>
    </row>
    <row r="10">
      <c r="C10" s="378" t="s">
        <v>16</v>
      </c>
    </row>
    <row r="13">
      <c r="C13" s="378" t="s">
        <v>145</v>
      </c>
      <c r="D13" s="378" t="s">
        <v>146</v>
      </c>
    </row>
    <row r="14">
      <c r="C14" s="378" t="s">
        <v>147</v>
      </c>
      <c r="D14" s="380" t="s">
        <v>148</v>
      </c>
    </row>
    <row r="15">
      <c r="D15" s="381" t="s">
        <v>24</v>
      </c>
    </row>
    <row r="16">
      <c r="D16" s="381" t="s">
        <v>78</v>
      </c>
    </row>
    <row r="17">
      <c r="D17" s="381" t="s">
        <v>75</v>
      </c>
    </row>
    <row r="18">
      <c r="D18" s="381" t="s">
        <v>76</v>
      </c>
    </row>
    <row r="19">
      <c r="C19" s="382" t="s">
        <v>149</v>
      </c>
      <c r="D19" s="380" t="s">
        <v>148</v>
      </c>
    </row>
    <row r="20">
      <c r="D20" s="381" t="s">
        <v>25</v>
      </c>
    </row>
    <row r="21" ht="15.75" customHeight="1">
      <c r="D21" s="381" t="s">
        <v>101</v>
      </c>
    </row>
    <row r="22" ht="15.75" customHeight="1">
      <c r="D22" s="381" t="s">
        <v>150</v>
      </c>
    </row>
    <row r="23" ht="15.75" customHeight="1">
      <c r="D23" s="381" t="s">
        <v>76</v>
      </c>
    </row>
    <row r="24" ht="15.75" customHeight="1"/>
    <row r="25" ht="15.75" customHeight="1">
      <c r="C25" s="383" t="s">
        <v>151</v>
      </c>
      <c r="D25" s="384"/>
      <c r="E25" s="384"/>
      <c r="F25" s="384"/>
      <c r="G25" s="385"/>
    </row>
    <row r="26" ht="15.75" customHeight="1">
      <c r="C26" s="386" t="s">
        <v>152</v>
      </c>
      <c r="D26" s="387" t="s">
        <v>153</v>
      </c>
      <c r="E26" s="388" t="s">
        <v>154</v>
      </c>
      <c r="F26" s="388"/>
      <c r="G26" s="389"/>
    </row>
    <row r="27" ht="15.75" customHeight="1">
      <c r="C27" s="390" t="s">
        <v>152</v>
      </c>
      <c r="D27" s="381" t="s">
        <v>155</v>
      </c>
      <c r="E27" s="382" t="s">
        <v>156</v>
      </c>
      <c r="F27" s="382"/>
      <c r="G27" s="391"/>
    </row>
    <row r="28" ht="15.75" customHeight="1">
      <c r="C28" s="392" t="s">
        <v>152</v>
      </c>
      <c r="D28" s="393" t="s">
        <v>157</v>
      </c>
      <c r="E28" s="394" t="s">
        <v>158</v>
      </c>
      <c r="F28" s="394"/>
      <c r="G28" s="395"/>
    </row>
    <row r="29" ht="15.75" customHeight="1">
      <c r="C29" s="386" t="s">
        <v>159</v>
      </c>
      <c r="D29" s="387" t="s">
        <v>160</v>
      </c>
      <c r="E29" s="388" t="s">
        <v>161</v>
      </c>
      <c r="F29" s="388"/>
      <c r="G29" s="389"/>
    </row>
    <row r="30" ht="15.75" customHeight="1">
      <c r="C30" s="390" t="s">
        <v>159</v>
      </c>
      <c r="D30" s="381" t="s">
        <v>162</v>
      </c>
      <c r="E30" s="382" t="s">
        <v>163</v>
      </c>
      <c r="F30" s="382"/>
      <c r="G30" s="391"/>
    </row>
    <row r="31" ht="15.75" customHeight="1">
      <c r="C31" s="390" t="s">
        <v>159</v>
      </c>
      <c r="D31" s="381" t="s">
        <v>164</v>
      </c>
      <c r="E31" s="382" t="s">
        <v>165</v>
      </c>
      <c r="F31" s="382"/>
      <c r="G31" s="391"/>
    </row>
    <row r="32" ht="15.75" customHeight="1">
      <c r="C32" s="392" t="s">
        <v>159</v>
      </c>
      <c r="D32" s="393" t="s">
        <v>166</v>
      </c>
      <c r="E32" s="394" t="s">
        <v>167</v>
      </c>
      <c r="F32" s="394"/>
      <c r="G32" s="395"/>
    </row>
    <row r="33" ht="15.75" customHeight="1">
      <c r="C33" s="383" t="s">
        <v>168</v>
      </c>
      <c r="D33" s="396" t="s">
        <v>169</v>
      </c>
      <c r="E33" s="384" t="s">
        <v>170</v>
      </c>
      <c r="F33" s="384"/>
      <c r="G33" s="385"/>
    </row>
    <row r="34" ht="15.75" customHeight="1">
      <c r="C34" s="386" t="s">
        <v>171</v>
      </c>
      <c r="D34" s="387" t="s">
        <v>172</v>
      </c>
      <c r="E34" s="388" t="s">
        <v>173</v>
      </c>
      <c r="F34" s="388"/>
      <c r="G34" s="389"/>
    </row>
    <row r="35" ht="15.75" customHeight="1">
      <c r="C35" s="392" t="s">
        <v>171</v>
      </c>
      <c r="D35" s="393" t="s">
        <v>174</v>
      </c>
      <c r="E35" s="394" t="s">
        <v>175</v>
      </c>
      <c r="F35" s="394"/>
      <c r="G35" s="395"/>
    </row>
    <row r="36" ht="15.75" customHeight="1">
      <c r="C36" s="383" t="s">
        <v>64</v>
      </c>
      <c r="D36" s="396" t="s">
        <v>14</v>
      </c>
      <c r="E36" s="384" t="s">
        <v>176</v>
      </c>
      <c r="F36" s="384"/>
      <c r="G36" s="385"/>
    </row>
    <row r="37" ht="15.75" customHeight="1">
      <c r="C37" s="383" t="s">
        <v>64</v>
      </c>
      <c r="D37" s="396" t="s">
        <v>177</v>
      </c>
      <c r="E37" s="384" t="s">
        <v>178</v>
      </c>
      <c r="F37" s="384"/>
      <c r="G37" s="385"/>
    </row>
    <row r="38" ht="15.75" customHeight="1">
      <c r="C38" s="383" t="s">
        <v>179</v>
      </c>
      <c r="D38" s="396" t="s">
        <v>180</v>
      </c>
      <c r="E38" s="384" t="s">
        <v>181</v>
      </c>
      <c r="F38" s="384"/>
      <c r="G38" s="38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2024-08-08T13:09:00Z</dcterms:created>
  <dc:creator>Alywin Aidan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B743FBD18EB24AC09FD9BA4E5B18A4CB_12</vt:lpwstr>
  </property>
  <property fmtid="{D5CDD505-2E9C-101B-9397-08002B2CF9AE}" pid="3" name="KSOProductBuildVer">
    <vt:lpwstr>1033-12.2.0.21546</vt:lpwstr>
  </property>
</Properties>
</file>