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64" firstSheet="6" activeTab="6"/>
  </bookViews>
  <sheets>
    <sheet name="CF" sheetId="1" r:id="rId1"/>
    <sheet name="COLLECTIBLES" sheetId="5" state="hidden" r:id="rId2"/>
    <sheet name="CASH SHORT" sheetId="6" state="hidden" r:id="rId3"/>
    <sheet name="JAN 01-05 2026" sheetId="3" r:id="rId4"/>
    <sheet name="JAN 06-12 2026" sheetId="9" r:id="rId5"/>
    <sheet name="JAN 13-19 2026" sheetId="10" r:id="rId6"/>
    <sheet name="JAN 20-26 2026" sheetId="11" r:id="rId7"/>
    <sheet name="JAN 27-31 2026" sheetId="12" r:id="rId8"/>
  </sheets>
  <externalReferences>
    <externalReference r:id="rId9"/>
  </externalReferences>
  <definedNames>
    <definedName name="ChartofAccountsTable">'[1]Chart of Accounts'!$B$7:$C$115</definedName>
    <definedName name="_xlnm.Print_Area" localSheetId="0">CF!$B$1:$I$26</definedName>
  </definedNames>
  <calcPr calcId="144525"/>
</workbook>
</file>

<file path=xl/sharedStrings.xml><?xml version="1.0" encoding="utf-8"?>
<sst xmlns="http://schemas.openxmlformats.org/spreadsheetml/2006/main" count="408" uniqueCount="149">
  <si>
    <t>SEVEN-TRENT MACHINERIES INDUSTRIAL EQUIPMENT TRADING</t>
  </si>
  <si>
    <t>Summary of Cash Flows</t>
  </si>
  <si>
    <t>For the month ended January 2026</t>
  </si>
  <si>
    <t>Amounts in pesos</t>
  </si>
  <si>
    <t>CASH FLOWS ARISING FROM OPERATING ACTIVITIES</t>
  </si>
  <si>
    <t xml:space="preserve">  Collections from Distribution and Hauling  of Petroleum (+) [ Net of inter-account transfer]</t>
  </si>
  <si>
    <t xml:space="preserve">  Other Cash Collections  relating to operating activities (+)</t>
  </si>
  <si>
    <t xml:space="preserve">  Payments to Supplier of  Petroleum Products (-)</t>
  </si>
  <si>
    <t xml:space="preserve">  RFP of Accounts Payable [ i.e other suppliers, 3rd parties] (-)</t>
  </si>
  <si>
    <t xml:space="preserve">  Cash Withdrawn for  PCF Replenishment (-)</t>
  </si>
  <si>
    <t xml:space="preserve">  Other Cash payments relating to operating activities(-)</t>
  </si>
  <si>
    <t>Net cash flows provided by operating activities (+/-)</t>
  </si>
  <si>
    <t>CASH FLOWS FROM INVESTING ACTIVITIES</t>
  </si>
  <si>
    <t>Purchase of Property, Plant &amp; Equipment ( CAPEX )</t>
  </si>
  <si>
    <t>Net cash flows used  in investing activities</t>
  </si>
  <si>
    <t>CASH FLOWS  ARISING FROM FINANCING ACTIVITIES</t>
  </si>
  <si>
    <t xml:space="preserve">  Funds Borrowed from other account  (+)</t>
  </si>
  <si>
    <t xml:space="preserve">  Checks Cleared for Loan / Fund Repayments (-)</t>
  </si>
  <si>
    <t>Net cash flows used  in financing activities (+/-)</t>
  </si>
  <si>
    <t>6D</t>
  </si>
  <si>
    <t>NET INCREASE / (DECREASE) IN CASH</t>
  </si>
  <si>
    <t>PO 6D 837- GAMPIS</t>
  </si>
  <si>
    <t>Add: CASH AT THE BEGINNING OF THE CYCLE</t>
  </si>
  <si>
    <t xml:space="preserve">-   </t>
  </si>
  <si>
    <t>Less: ADB, Maintaining Balance</t>
  </si>
  <si>
    <t>CASH AVAILABLE AT THE END OF THE MONTH</t>
  </si>
  <si>
    <t>DISTRIBUTION AND HAULING DEPARTMENT</t>
  </si>
  <si>
    <t>FINANCE AND ACCOUNTING DEPARTMENT</t>
  </si>
  <si>
    <t>PERIOD:  AUG 19-AUG 25, 2025</t>
  </si>
  <si>
    <t>AMOUNT</t>
  </si>
  <si>
    <t>PARTICULARS</t>
  </si>
  <si>
    <t>CASHIER:</t>
  </si>
  <si>
    <t>TOTAL NET AMOUNT CLIENT PAID CURRENT</t>
  </si>
  <si>
    <t>TOTAL AMOUNT CLIENT PAID</t>
  </si>
  <si>
    <t>RECONCILIATION</t>
  </si>
  <si>
    <t xml:space="preserve">TOTAL DEPOT AMOUNT PAID </t>
  </si>
  <si>
    <t>BORROWINGS FROM OTHER ACCOUNT (EW)</t>
  </si>
  <si>
    <t>PASSBOOKS</t>
  </si>
  <si>
    <t>GROSS MARK - UP</t>
  </si>
  <si>
    <t>TOTAL DEPOT AMOUNT PAID</t>
  </si>
  <si>
    <t>GCASH</t>
  </si>
  <si>
    <t>EXCESS CASH REMAINING FROM COLLECTIONS</t>
  </si>
  <si>
    <t>OTHER BANK CREDITS</t>
  </si>
  <si>
    <t>Add: Ending, Available Balance Aug 12, 2025</t>
  </si>
  <si>
    <t>COLLECTED LAST CYCLE</t>
  </si>
  <si>
    <t>TOTAL EXCESS CASH AFTER PAYMENTS TO DEPOT</t>
  </si>
  <si>
    <t>LESS: TUBIL-OFFICE</t>
  </si>
  <si>
    <t>LESS: OTHER PAYMENTS / OUTFLOW ( AUG 05 - AUG 11, 2025)</t>
  </si>
  <si>
    <t>LESS : PREVIOUS ORDERS</t>
  </si>
  <si>
    <t>CASHIER</t>
  </si>
  <si>
    <t xml:space="preserve">  Other Cash payments / transfer relating to operating activities to EW (-)</t>
  </si>
  <si>
    <t>ENDING BALANCE, CASH AVAILABLE  AUG 11, 2025</t>
  </si>
  <si>
    <t>LESS: ADVANCE PAYMENTS FOR NEXT CYCLE*</t>
  </si>
  <si>
    <t>*Cashier</t>
  </si>
  <si>
    <t>LESS: PAYMENTS FROM NON-DHPP / PREVIOUS CYCLES / ADVANCES / ETC</t>
  </si>
  <si>
    <r>
      <rPr>
        <i/>
        <sz val="11"/>
        <color theme="1"/>
        <rFont val="Calibri"/>
        <charset val="134"/>
        <scheme val="minor"/>
      </rPr>
      <t xml:space="preserve">   PAYMENTS COLLECTED FOR NEXT CYCLE (ADVANCES) [ </t>
    </r>
    <r>
      <rPr>
        <i/>
        <sz val="9"/>
        <color theme="1"/>
        <rFont val="Calibri"/>
        <charset val="134"/>
        <scheme val="minor"/>
      </rPr>
      <t>Data from Cashier</t>
    </r>
    <r>
      <rPr>
        <i/>
        <sz val="11"/>
        <color theme="1"/>
        <rFont val="Calibri"/>
        <charset val="134"/>
        <scheme val="minor"/>
      </rPr>
      <t>]</t>
    </r>
  </si>
  <si>
    <t>OK</t>
  </si>
  <si>
    <t>7c1334</t>
  </si>
  <si>
    <r>
      <rPr>
        <i/>
        <sz val="11"/>
        <color theme="1"/>
        <rFont val="Calibri"/>
        <charset val="134"/>
        <scheme val="minor"/>
      </rPr>
      <t xml:space="preserve">   PAYMENTS COLLECTED FROM PREVIOUS CYCLES  [</t>
    </r>
    <r>
      <rPr>
        <i/>
        <sz val="9"/>
        <color theme="1"/>
        <rFont val="Calibri"/>
        <charset val="134"/>
        <scheme val="minor"/>
      </rPr>
      <t>Data from Cashier</t>
    </r>
    <r>
      <rPr>
        <i/>
        <sz val="11"/>
        <color theme="1"/>
        <rFont val="Calibri"/>
        <charset val="134"/>
        <scheme val="minor"/>
      </rPr>
      <t>]</t>
    </r>
  </si>
  <si>
    <r>
      <rPr>
        <i/>
        <sz val="11"/>
        <color theme="1"/>
        <rFont val="Calibri"/>
        <charset val="134"/>
        <scheme val="minor"/>
      </rPr>
      <t xml:space="preserve">   PAYMENTS COLLECTED FROM (DMIE / OPS) [ </t>
    </r>
    <r>
      <rPr>
        <i/>
        <sz val="9"/>
        <color theme="1"/>
        <rFont val="Calibri"/>
        <charset val="134"/>
        <scheme val="minor"/>
      </rPr>
      <t xml:space="preserve">Data from Cashier </t>
    </r>
    <r>
      <rPr>
        <i/>
        <sz val="11"/>
        <color theme="1"/>
        <rFont val="Calibri"/>
        <charset val="134"/>
        <scheme val="minor"/>
      </rPr>
      <t>]</t>
    </r>
  </si>
  <si>
    <r>
      <rPr>
        <i/>
        <sz val="11"/>
        <color theme="1"/>
        <rFont val="Calibri"/>
        <charset val="134"/>
        <scheme val="minor"/>
      </rPr>
      <t xml:space="preserve">   OTHER COLLECTIONS </t>
    </r>
    <r>
      <rPr>
        <i/>
        <sz val="10"/>
        <color theme="1"/>
        <rFont val="Calibri"/>
        <charset val="134"/>
        <scheme val="minor"/>
      </rPr>
      <t>[ Bank data ]</t>
    </r>
  </si>
  <si>
    <t>EQUALS: NET AMOUNT  PAID FOR FUEL CURRENT CYCLE (ACCOUNTING)</t>
  </si>
  <si>
    <t>cashier</t>
  </si>
  <si>
    <t>LESS: TOTAL AMOUNT CLIENT PAID  CURRENT CYCLE (HAULING)</t>
  </si>
  <si>
    <t>COH</t>
  </si>
  <si>
    <t>ADD: ADVANCE PAYMENTS LAST CYCLE ( AUG 5-11, 2025 )</t>
  </si>
  <si>
    <t>EW</t>
  </si>
  <si>
    <t>VARIANCE: REMAINING COLLECTIBLES FOR THE CURRENT CYCLE</t>
  </si>
  <si>
    <t>CALICAN</t>
  </si>
  <si>
    <t>ILAYA</t>
  </si>
  <si>
    <t>PERIOD:  NOV 11-NOV 17, 2025</t>
  </si>
  <si>
    <t>PERIOD:  NOV  11 - NOV 17, 2025</t>
  </si>
  <si>
    <t>TOTAL AMOUNT DEPOSITED ( From Nov 11- Nov 17, 2025)</t>
  </si>
  <si>
    <t>TOTAL PAYABLE TO DEPOT</t>
  </si>
  <si>
    <t>TOTAL PAYABLES TO DEPOT ( Cycle Nov 11 - Nov 17, 2025)</t>
  </si>
  <si>
    <t>TOTAL CASH EXCESS FROM COLLECTIONS</t>
  </si>
  <si>
    <t>Add: Ending, Available Balance Nov  10, 2025</t>
  </si>
  <si>
    <t>NET CASH EXCESS AFTER PAYMENTS TO DEPOT</t>
  </si>
  <si>
    <t>LESS: OTHER PAYMENTS / OUTFLOW ( NOV 11 - NOV 17, 2025)</t>
  </si>
  <si>
    <t>PCF</t>
  </si>
  <si>
    <t>NET MARK-UP</t>
  </si>
  <si>
    <t>TOTAL CASH AVAILABLE, AS OF  NOV 17, 2025</t>
  </si>
  <si>
    <t>CASH OUTFLOW</t>
  </si>
  <si>
    <t>LESS: ADVANCE PAYMENTS COLLECTED FOR THE CYCLE</t>
  </si>
  <si>
    <t>EXCESS FUNDS / NET PROFIT</t>
  </si>
  <si>
    <t xml:space="preserve"> NOV. 17, 2025</t>
  </si>
  <si>
    <t>CASH SHORT ACTUAL</t>
  </si>
  <si>
    <t xml:space="preserve"> CASH FOR THE CYCLE</t>
  </si>
  <si>
    <t>PNB</t>
  </si>
  <si>
    <t>PSBC-S</t>
  </si>
  <si>
    <t>PSBC-C</t>
  </si>
  <si>
    <t>KB</t>
  </si>
  <si>
    <t>1VB</t>
  </si>
  <si>
    <t>BDO</t>
  </si>
  <si>
    <t>MBTC</t>
  </si>
  <si>
    <t>RCBC</t>
  </si>
  <si>
    <t>CHINA BANK</t>
  </si>
  <si>
    <t>E.TAN/STPC</t>
  </si>
  <si>
    <t>PCF &amp; COH</t>
  </si>
  <si>
    <t>GRAND TOTAL</t>
  </si>
  <si>
    <t>Beginning Balances, Jan. 01 , 2026</t>
  </si>
  <si>
    <t>Less: ADB /Maintaining Balance / PCF</t>
  </si>
  <si>
    <t>Available Cash in Bank</t>
  </si>
  <si>
    <t>Add: Deposits</t>
  </si>
  <si>
    <t>Less: Checks Issued/ Withdrawals</t>
  </si>
  <si>
    <t>Available Cash, End. Jan. 05, 2026</t>
  </si>
  <si>
    <t>Add: ADB/Maintaining Balance/ PCF</t>
  </si>
  <si>
    <t xml:space="preserve">TOTAL CASH </t>
  </si>
  <si>
    <t>T-ENDING</t>
  </si>
  <si>
    <t>variance</t>
  </si>
  <si>
    <t xml:space="preserve">  Collections from Distribution and Hauling  of Petroleum (+)</t>
  </si>
  <si>
    <t>RFP of Accounts Payables [ i.e other suppliers, 3rd parties] (-)</t>
  </si>
  <si>
    <t>Inter-account fund transfer / EW (-)</t>
  </si>
  <si>
    <t>Inter-account fund transfer / SA to CA (-)</t>
  </si>
  <si>
    <t xml:space="preserve">  Other Cash payments / transfer relating to operating activities (-)</t>
  </si>
  <si>
    <t xml:space="preserve">  Checks Cleared for Loan / Funds Repayments(-)</t>
  </si>
  <si>
    <t>TOTAL</t>
  </si>
  <si>
    <t>BEGINNING</t>
  </si>
  <si>
    <t>ENDING</t>
  </si>
  <si>
    <t>VARIANCE</t>
  </si>
  <si>
    <t>Beg. Balances, Jan 06, 2026</t>
  </si>
  <si>
    <t>Available Cash, End. Jan. 12, 2026</t>
  </si>
  <si>
    <t>RFP of Accounts Payable [ i.e other suppliers, 3rd parties] (-)</t>
  </si>
  <si>
    <t>INTERBRANCH</t>
  </si>
  <si>
    <t>CREDIT MEMO</t>
  </si>
  <si>
    <t>CASH COLLECTIONS</t>
  </si>
  <si>
    <t>CASH DEPOSIT</t>
  </si>
  <si>
    <t>Beg. Balances, Jan 13, 2026</t>
  </si>
  <si>
    <t>Available Cash, End. Jan. 19, 2026</t>
  </si>
  <si>
    <t>RECONCILIATION DATA</t>
  </si>
  <si>
    <t>REMARKS</t>
  </si>
  <si>
    <t>COLLECTIONS NET OF INTER-ACCOUNT</t>
  </si>
  <si>
    <t>EW- MICH</t>
  </si>
  <si>
    <t>GCASH-MICH</t>
  </si>
  <si>
    <t>TOTAL AMOUNT</t>
  </si>
  <si>
    <t>COLLECTIONS MICH</t>
  </si>
  <si>
    <t>Beg. Balances, Jan 20, 2026</t>
  </si>
  <si>
    <t>Available Cash, End.  Jan. 26, 2026</t>
  </si>
  <si>
    <t>OTHER COLLECTIONS</t>
  </si>
  <si>
    <t>Disbursement for CAPEX / Purchase of PPE (-)</t>
  </si>
  <si>
    <t>EW MITCH</t>
  </si>
  <si>
    <t>FVB</t>
  </si>
  <si>
    <t>COLLECTIONS OF MICH</t>
  </si>
  <si>
    <t>XX</t>
  </si>
  <si>
    <t>Beg. Balances, Jan 27, 2026</t>
  </si>
  <si>
    <t>Available Cash, End.  Jan 31, 2026</t>
  </si>
  <si>
    <t>KB INTEREST</t>
  </si>
  <si>
    <t>METROBANK</t>
  </si>
  <si>
    <t>FVB INTEREST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</si>
</sst>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</numFmts>
  <fonts count="6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i/>
      <sz val="9"/>
      <color rgb="FFFF0000"/>
      <name val="Calibri"/>
      <charset val="134"/>
      <scheme val="minor"/>
    </font>
    <font>
      <b/>
      <u val="double"/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Arial Narrow"/>
      <charset val="134"/>
    </font>
    <font>
      <b/>
      <sz val="12"/>
      <name val="Arial Narrow"/>
      <charset val="134"/>
    </font>
    <font>
      <sz val="11"/>
      <color theme="1"/>
      <name val="Arial Narrow"/>
      <charset val="134"/>
    </font>
    <font>
      <sz val="11"/>
      <color rgb="FF000000"/>
      <name val="Calibri"/>
      <charset val="134"/>
      <scheme val="minor"/>
    </font>
    <font>
      <b/>
      <sz val="10"/>
      <color theme="1"/>
      <name val="Arial Narrow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color theme="1"/>
      <name val="Arial Narrow"/>
      <charset val="134"/>
    </font>
    <font>
      <b/>
      <sz val="9"/>
      <color rgb="FFFF0000"/>
      <name val="Calibri"/>
      <charset val="134"/>
      <scheme val="minor"/>
    </font>
    <font>
      <sz val="12"/>
      <color rgb="FF000000"/>
      <name val="Arial Narrow"/>
      <charset val="134"/>
    </font>
    <font>
      <b/>
      <sz val="11"/>
      <color rgb="FF00000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i/>
      <sz val="8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rgb="FF000000"/>
      <name val="Arial Narrow"/>
      <charset val="134"/>
    </font>
    <font>
      <b/>
      <sz val="14"/>
      <color theme="1"/>
      <name val="Arial Narrow"/>
      <charset val="134"/>
    </font>
    <font>
      <b/>
      <sz val="11"/>
      <color theme="1"/>
      <name val="Arial Narrow"/>
      <charset val="134"/>
    </font>
    <font>
      <sz val="14"/>
      <color theme="1"/>
      <name val="Arial Narrow"/>
      <charset val="134"/>
    </font>
    <font>
      <sz val="12"/>
      <color theme="1"/>
      <name val="Arial Narrow"/>
      <charset val="134"/>
    </font>
    <font>
      <i/>
      <sz val="8"/>
      <color theme="1"/>
      <name val="Arial Narrow"/>
      <charset val="134"/>
    </font>
    <font>
      <i/>
      <sz val="11"/>
      <color theme="1"/>
      <name val="Arial Narrow"/>
      <charset val="134"/>
    </font>
    <font>
      <b/>
      <sz val="12"/>
      <color theme="1"/>
      <name val="Arial Narrow"/>
      <charset val="134"/>
    </font>
    <font>
      <sz val="11"/>
      <color rgb="FF006100"/>
      <name val="Calibri"/>
      <charset val="134"/>
      <scheme val="minor"/>
    </font>
    <font>
      <sz val="1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9"/>
      <color theme="1"/>
      <name val="Calibri"/>
      <charset val="134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7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9" fillId="0" borderId="0" applyFont="0" applyFill="0" applyBorder="0" applyAlignment="0" applyProtection="0"/>
    <xf numFmtId="44" fontId="4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2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21" borderId="19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2" borderId="22" applyNumberFormat="0" applyAlignment="0" applyProtection="0">
      <alignment vertical="center"/>
    </xf>
    <xf numFmtId="0" fontId="50" fillId="23" borderId="23" applyNumberFormat="0" applyAlignment="0" applyProtection="0">
      <alignment vertical="center"/>
    </xf>
    <xf numFmtId="0" fontId="51" fillId="23" borderId="22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3" fontId="1" fillId="4" borderId="1" xfId="49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3" fontId="5" fillId="0" borderId="1" xfId="49" applyFont="1" applyBorder="1"/>
    <xf numFmtId="43" fontId="5" fillId="5" borderId="1" xfId="49" applyFont="1" applyFill="1" applyBorder="1"/>
    <xf numFmtId="0" fontId="6" fillId="0" borderId="1" xfId="0" applyFont="1" applyBorder="1"/>
    <xf numFmtId="43" fontId="7" fillId="0" borderId="1" xfId="0" applyNumberFormat="1" applyFont="1" applyBorder="1"/>
    <xf numFmtId="0" fontId="8" fillId="0" borderId="1" xfId="0" applyFont="1" applyBorder="1"/>
    <xf numFmtId="43" fontId="9" fillId="0" borderId="1" xfId="49" applyFont="1" applyBorder="1"/>
    <xf numFmtId="43" fontId="10" fillId="0" borderId="1" xfId="49" applyFont="1" applyFill="1" applyBorder="1"/>
    <xf numFmtId="43" fontId="10" fillId="0" borderId="1" xfId="49" applyFont="1" applyBorder="1"/>
    <xf numFmtId="0" fontId="6" fillId="6" borderId="2" xfId="0" applyFont="1" applyFill="1" applyBorder="1" applyAlignment="1">
      <alignment vertical="center"/>
    </xf>
    <xf numFmtId="43" fontId="6" fillId="4" borderId="2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  <xf numFmtId="43" fontId="6" fillId="3" borderId="0" xfId="0" applyNumberFormat="1" applyFont="1" applyFill="1" applyAlignment="1">
      <alignment vertical="center"/>
    </xf>
    <xf numFmtId="10" fontId="11" fillId="0" borderId="0" xfId="3" applyNumberFormat="1" applyFont="1"/>
    <xf numFmtId="43" fontId="0" fillId="0" borderId="0" xfId="0" applyNumberFormat="1"/>
    <xf numFmtId="0" fontId="6" fillId="0" borderId="0" xfId="0" applyFont="1" applyAlignment="1">
      <alignment horizontal="right" vertical="center"/>
    </xf>
    <xf numFmtId="176" fontId="4" fillId="0" borderId="0" xfId="1" applyFont="1"/>
    <xf numFmtId="176" fontId="4" fillId="0" borderId="0" xfId="1" applyFont="1" applyFill="1"/>
    <xf numFmtId="0" fontId="8" fillId="0" borderId="0" xfId="0" applyFont="1" applyAlignment="1">
      <alignment horizontal="right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right" vertical="center" wrapText="1"/>
    </xf>
    <xf numFmtId="4" fontId="13" fillId="7" borderId="1" xfId="0" applyNumberFormat="1" applyFont="1" applyFill="1" applyBorder="1" applyAlignment="1">
      <alignment wrapText="1"/>
    </xf>
    <xf numFmtId="176" fontId="0" fillId="0" borderId="1" xfId="1" applyFont="1" applyBorder="1" applyAlignment="1">
      <alignment vertical="center"/>
    </xf>
    <xf numFmtId="4" fontId="13" fillId="7" borderId="1" xfId="0" applyNumberFormat="1" applyFont="1" applyFill="1" applyBorder="1"/>
    <xf numFmtId="0" fontId="14" fillId="0" borderId="1" xfId="0" applyFont="1" applyBorder="1" applyAlignment="1">
      <alignment horizontal="right" vertical="center" wrapText="1"/>
    </xf>
    <xf numFmtId="176" fontId="15" fillId="8" borderId="0" xfId="1" applyFont="1" applyFill="1"/>
    <xf numFmtId="176" fontId="0" fillId="9" borderId="1" xfId="1" applyFont="1" applyFill="1" applyBorder="1" applyAlignment="1">
      <alignment vertical="center"/>
    </xf>
    <xf numFmtId="176" fontId="0" fillId="10" borderId="0" xfId="1" applyFont="1" applyFill="1"/>
    <xf numFmtId="0" fontId="12" fillId="6" borderId="1" xfId="0" applyFont="1" applyFill="1" applyBorder="1" applyAlignment="1">
      <alignment horizontal="right" vertical="center" wrapText="1"/>
    </xf>
    <xf numFmtId="176" fontId="0" fillId="6" borderId="1" xfId="1" applyFont="1" applyFill="1" applyBorder="1" applyAlignment="1">
      <alignment vertical="center"/>
    </xf>
    <xf numFmtId="0" fontId="12" fillId="11" borderId="1" xfId="0" applyFont="1" applyFill="1" applyBorder="1" applyAlignment="1">
      <alignment horizontal="right" vertical="center" wrapText="1"/>
    </xf>
    <xf numFmtId="176" fontId="0" fillId="3" borderId="1" xfId="1" applyFont="1" applyFill="1" applyBorder="1" applyAlignment="1">
      <alignment vertical="center"/>
    </xf>
    <xf numFmtId="176" fontId="0" fillId="0" borderId="1" xfId="1" applyFont="1" applyFill="1" applyBorder="1" applyAlignment="1">
      <alignment vertical="center"/>
    </xf>
    <xf numFmtId="0" fontId="16" fillId="0" borderId="0" xfId="0" applyFont="1" applyAlignment="1">
      <alignment horizontal="right" vertical="center" wrapText="1"/>
    </xf>
    <xf numFmtId="176" fontId="0" fillId="0" borderId="0" xfId="0" applyNumberFormat="1"/>
    <xf numFmtId="0" fontId="12" fillId="0" borderId="0" xfId="0" applyFont="1" applyAlignment="1">
      <alignment horizontal="right" vertical="center" wrapText="1"/>
    </xf>
    <xf numFmtId="176" fontId="1" fillId="0" borderId="0" xfId="0" applyNumberFormat="1" applyFont="1"/>
    <xf numFmtId="176" fontId="0" fillId="0" borderId="0" xfId="1" applyFont="1"/>
    <xf numFmtId="0" fontId="17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43" fontId="1" fillId="0" borderId="0" xfId="0" applyNumberFormat="1" applyFont="1"/>
    <xf numFmtId="0" fontId="10" fillId="0" borderId="0" xfId="0" applyFont="1"/>
    <xf numFmtId="0" fontId="3" fillId="3" borderId="1" xfId="0" applyFont="1" applyFill="1" applyBorder="1" applyAlignment="1">
      <alignment horizontal="center" vertical="center" wrapText="1"/>
    </xf>
    <xf numFmtId="43" fontId="1" fillId="6" borderId="1" xfId="49" applyFont="1" applyFill="1" applyBorder="1" applyAlignment="1">
      <alignment vertical="center"/>
    </xf>
    <xf numFmtId="43" fontId="20" fillId="0" borderId="1" xfId="49" applyFont="1" applyBorder="1"/>
    <xf numFmtId="43" fontId="7" fillId="0" borderId="1" xfId="49" applyFont="1" applyBorder="1"/>
    <xf numFmtId="43" fontId="6" fillId="6" borderId="2" xfId="0" applyNumberFormat="1" applyFont="1" applyFill="1" applyBorder="1" applyAlignment="1">
      <alignment vertical="center"/>
    </xf>
    <xf numFmtId="43" fontId="6" fillId="6" borderId="2" xfId="49" applyFont="1" applyFill="1" applyBorder="1" applyAlignment="1">
      <alignment vertical="center"/>
    </xf>
    <xf numFmtId="43" fontId="0" fillId="0" borderId="0" xfId="0" applyNumberFormat="1" applyAlignment="1">
      <alignment vertical="center"/>
    </xf>
    <xf numFmtId="176" fontId="8" fillId="0" borderId="0" xfId="0" applyNumberFormat="1" applyFont="1"/>
    <xf numFmtId="43" fontId="0" fillId="5" borderId="0" xfId="0" applyNumberFormat="1" applyFill="1"/>
    <xf numFmtId="176" fontId="0" fillId="12" borderId="1" xfId="1" applyFont="1" applyFill="1" applyBorder="1" applyAlignment="1">
      <alignment vertical="center"/>
    </xf>
    <xf numFmtId="176" fontId="0" fillId="12" borderId="1" xfId="1" applyFont="1" applyFill="1" applyBorder="1"/>
    <xf numFmtId="176" fontId="1" fillId="0" borderId="1" xfId="1" applyFont="1" applyFill="1" applyBorder="1" applyAlignment="1">
      <alignment vertical="center"/>
    </xf>
    <xf numFmtId="176" fontId="15" fillId="8" borderId="1" xfId="1" applyFont="1" applyFill="1" applyBorder="1"/>
    <xf numFmtId="176" fontId="0" fillId="6" borderId="1" xfId="1" applyFont="1" applyFill="1" applyBorder="1"/>
    <xf numFmtId="176" fontId="1" fillId="6" borderId="1" xfId="1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/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wrapText="1"/>
    </xf>
    <xf numFmtId="176" fontId="0" fillId="0" borderId="0" xfId="0" applyNumberFormat="1" applyAlignment="1">
      <alignment horizontal="center" vertical="center"/>
    </xf>
    <xf numFmtId="4" fontId="13" fillId="7" borderId="1" xfId="0" applyNumberFormat="1" applyFont="1" applyFill="1" applyBorder="1" applyAlignment="1">
      <alignment vertical="center" wrapText="1"/>
    </xf>
    <xf numFmtId="0" fontId="12" fillId="0" borderId="3" xfId="0" applyFont="1" applyBorder="1" applyAlignment="1">
      <alignment horizontal="right" vertical="center" wrapText="1"/>
    </xf>
    <xf numFmtId="4" fontId="21" fillId="0" borderId="1" xfId="0" applyNumberFormat="1" applyFont="1" applyBorder="1" applyAlignment="1">
      <alignment horizontal="center" vertical="center"/>
    </xf>
    <xf numFmtId="43" fontId="21" fillId="0" borderId="1" xfId="0" applyNumberFormat="1" applyFont="1" applyBorder="1" applyAlignment="1">
      <alignment horizontal="center" vertical="center"/>
    </xf>
    <xf numFmtId="176" fontId="15" fillId="13" borderId="4" xfId="1" applyFont="1" applyFill="1" applyBorder="1" applyAlignment="1">
      <alignment vertical="center"/>
    </xf>
    <xf numFmtId="176" fontId="15" fillId="0" borderId="4" xfId="1" applyFont="1" applyFill="1" applyBorder="1" applyAlignment="1">
      <alignment vertical="center"/>
    </xf>
    <xf numFmtId="176" fontId="0" fillId="13" borderId="1" xfId="1" applyFont="1" applyFill="1" applyBorder="1" applyAlignment="1">
      <alignment vertical="center"/>
    </xf>
    <xf numFmtId="0" fontId="17" fillId="0" borderId="0" xfId="0" applyFont="1"/>
    <xf numFmtId="176" fontId="21" fillId="0" borderId="1" xfId="1" applyFont="1" applyFill="1" applyBorder="1" applyAlignment="1">
      <alignment horizontal="center" vertical="center"/>
    </xf>
    <xf numFmtId="176" fontId="15" fillId="0" borderId="5" xfId="1" applyFont="1" applyFill="1" applyBorder="1" applyAlignment="1">
      <alignment horizontal="center" vertical="center"/>
    </xf>
    <xf numFmtId="176" fontId="15" fillId="0" borderId="1" xfId="1" applyFont="1" applyFill="1" applyBorder="1" applyAlignment="1">
      <alignment horizontal="center" vertical="center"/>
    </xf>
    <xf numFmtId="176" fontId="15" fillId="0" borderId="1" xfId="1" applyFont="1" applyFill="1" applyBorder="1" applyAlignment="1">
      <alignment vertical="center"/>
    </xf>
    <xf numFmtId="176" fontId="15" fillId="0" borderId="1" xfId="1" applyFont="1" applyFill="1" applyBorder="1"/>
    <xf numFmtId="3" fontId="0" fillId="0" borderId="0" xfId="0" applyNumberFormat="1"/>
    <xf numFmtId="43" fontId="0" fillId="6" borderId="0" xfId="0" applyNumberFormat="1" applyFill="1" applyAlignment="1">
      <alignment horizontal="center"/>
    </xf>
    <xf numFmtId="0" fontId="0" fillId="6" borderId="0" xfId="0" applyFill="1"/>
    <xf numFmtId="176" fontId="0" fillId="0" borderId="0" xfId="1" applyFont="1" applyAlignment="1">
      <alignment vertical="center"/>
    </xf>
    <xf numFmtId="176" fontId="0" fillId="6" borderId="0" xfId="0" applyNumberFormat="1" applyFill="1"/>
    <xf numFmtId="176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left"/>
    </xf>
    <xf numFmtId="43" fontId="0" fillId="6" borderId="0" xfId="0" applyNumberFormat="1" applyFill="1"/>
    <xf numFmtId="43" fontId="9" fillId="0" borderId="1" xfId="0" applyNumberFormat="1" applyFont="1" applyBorder="1"/>
    <xf numFmtId="176" fontId="15" fillId="8" borderId="0" xfId="1" applyFont="1" applyFill="1" applyAlignment="1">
      <alignment horizontal="center" vertical="center"/>
    </xf>
    <xf numFmtId="176" fontId="1" fillId="9" borderId="1" xfId="1" applyFont="1" applyFill="1" applyBorder="1" applyAlignment="1">
      <alignment horizontal="center" vertical="center"/>
    </xf>
    <xf numFmtId="176" fontId="0" fillId="10" borderId="0" xfId="1" applyFont="1" applyFill="1" applyAlignment="1">
      <alignment horizontal="center" vertical="center"/>
    </xf>
    <xf numFmtId="176" fontId="1" fillId="0" borderId="1" xfId="1" applyFont="1" applyBorder="1" applyAlignment="1">
      <alignment vertical="center"/>
    </xf>
    <xf numFmtId="176" fontId="15" fillId="8" borderId="1" xfId="1" applyFont="1" applyFill="1" applyBorder="1" applyAlignment="1">
      <alignment horizontal="center" vertical="center"/>
    </xf>
    <xf numFmtId="176" fontId="22" fillId="8" borderId="1" xfId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1" fillId="11" borderId="1" xfId="0" applyFont="1" applyFill="1" applyBorder="1" applyAlignment="1">
      <alignment vertical="center"/>
    </xf>
    <xf numFmtId="176" fontId="2" fillId="11" borderId="1" xfId="1" applyFont="1" applyFill="1" applyBorder="1" applyAlignment="1">
      <alignment vertical="center"/>
    </xf>
    <xf numFmtId="0" fontId="1" fillId="14" borderId="1" xfId="0" applyFont="1" applyFill="1" applyBorder="1"/>
    <xf numFmtId="176" fontId="2" fillId="14" borderId="1" xfId="1" applyFont="1" applyFill="1" applyBorder="1"/>
    <xf numFmtId="0" fontId="0" fillId="11" borderId="1" xfId="0" applyFill="1" applyBorder="1"/>
    <xf numFmtId="176" fontId="0" fillId="11" borderId="9" xfId="1" applyFont="1" applyFill="1" applyBorder="1" applyAlignment="1">
      <alignment vertical="center"/>
    </xf>
    <xf numFmtId="176" fontId="0" fillId="14" borderId="8" xfId="1" applyFont="1" applyFill="1" applyBorder="1"/>
    <xf numFmtId="0" fontId="1" fillId="11" borderId="1" xfId="0" applyFont="1" applyFill="1" applyBorder="1"/>
    <xf numFmtId="176" fontId="3" fillId="11" borderId="10" xfId="1" applyFont="1" applyFill="1" applyBorder="1" applyAlignment="1">
      <alignment vertical="center"/>
    </xf>
    <xf numFmtId="0" fontId="1" fillId="14" borderId="9" xfId="0" applyFont="1" applyFill="1" applyBorder="1"/>
    <xf numFmtId="176" fontId="8" fillId="14" borderId="9" xfId="1" applyFont="1" applyFill="1" applyBorder="1"/>
    <xf numFmtId="0" fontId="1" fillId="14" borderId="10" xfId="0" applyFont="1" applyFill="1" applyBorder="1"/>
    <xf numFmtId="176" fontId="1" fillId="15" borderId="10" xfId="1" applyFont="1" applyFill="1" applyBorder="1" applyAlignment="1">
      <alignment vertical="center"/>
    </xf>
    <xf numFmtId="0" fontId="8" fillId="14" borderId="11" xfId="0" applyFont="1" applyFill="1" applyBorder="1" applyAlignment="1">
      <alignment vertical="center"/>
    </xf>
    <xf numFmtId="176" fontId="0" fillId="14" borderId="11" xfId="1" applyFont="1" applyFill="1" applyBorder="1"/>
    <xf numFmtId="0" fontId="24" fillId="0" borderId="0" xfId="0" applyFont="1" applyAlignment="1">
      <alignment horizontal="left" vertical="center"/>
    </xf>
    <xf numFmtId="0" fontId="25" fillId="14" borderId="11" xfId="0" applyFont="1" applyFill="1" applyBorder="1" applyAlignment="1">
      <alignment vertical="center"/>
    </xf>
    <xf numFmtId="176" fontId="1" fillId="15" borderId="11" xfId="1" applyFont="1" applyFill="1" applyBorder="1"/>
    <xf numFmtId="0" fontId="1" fillId="14" borderId="4" xfId="0" applyFont="1" applyFill="1" applyBorder="1"/>
    <xf numFmtId="176" fontId="26" fillId="14" borderId="10" xfId="1" applyFont="1" applyFill="1" applyBorder="1"/>
    <xf numFmtId="176" fontId="0" fillId="0" borderId="12" xfId="1" applyFont="1" applyBorder="1"/>
    <xf numFmtId="0" fontId="8" fillId="14" borderId="1" xfId="0" applyFont="1" applyFill="1" applyBorder="1" applyAlignment="1">
      <alignment horizontal="left" wrapText="1"/>
    </xf>
    <xf numFmtId="176" fontId="4" fillId="14" borderId="4" xfId="1" applyFont="1" applyFill="1" applyBorder="1" applyAlignment="1">
      <alignment vertical="center"/>
    </xf>
    <xf numFmtId="0" fontId="8" fillId="14" borderId="1" xfId="0" applyFont="1" applyFill="1" applyBorder="1" applyAlignment="1">
      <alignment wrapText="1"/>
    </xf>
    <xf numFmtId="176" fontId="4" fillId="14" borderId="1" xfId="1" applyFont="1" applyFill="1" applyBorder="1" applyAlignment="1">
      <alignment vertical="center"/>
    </xf>
    <xf numFmtId="0" fontId="0" fillId="14" borderId="1" xfId="0" applyFill="1" applyBorder="1" applyAlignment="1">
      <alignment horizontal="left" vertical="center"/>
    </xf>
    <xf numFmtId="176" fontId="4" fillId="14" borderId="9" xfId="1" applyFont="1" applyFill="1" applyBorder="1" applyAlignment="1">
      <alignment vertical="center"/>
    </xf>
    <xf numFmtId="0" fontId="1" fillId="0" borderId="0" xfId="0" applyFont="1" applyAlignment="1">
      <alignment horizontal="right"/>
    </xf>
    <xf numFmtId="0" fontId="1" fillId="6" borderId="1" xfId="0" applyFont="1" applyFill="1" applyBorder="1" applyAlignment="1">
      <alignment horizontal="left" vertical="center"/>
    </xf>
    <xf numFmtId="176" fontId="27" fillId="6" borderId="11" xfId="1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176" fontId="28" fillId="14" borderId="4" xfId="1" applyFont="1" applyFill="1" applyBorder="1" applyAlignment="1">
      <alignment vertical="center"/>
    </xf>
    <xf numFmtId="0" fontId="3" fillId="12" borderId="2" xfId="0" applyFont="1" applyFill="1" applyBorder="1" applyAlignment="1">
      <alignment horizontal="left" vertical="center"/>
    </xf>
    <xf numFmtId="43" fontId="29" fillId="6" borderId="2" xfId="0" applyNumberFormat="1" applyFont="1" applyFill="1" applyBorder="1" applyAlignment="1">
      <alignment vertical="center"/>
    </xf>
    <xf numFmtId="0" fontId="0" fillId="0" borderId="0" xfId="0" applyAlignment="1">
      <alignment horizontal="right"/>
    </xf>
    <xf numFmtId="4" fontId="30" fillId="16" borderId="13" xfId="0" applyNumberFormat="1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176" fontId="1" fillId="14" borderId="1" xfId="0" applyNumberFormat="1" applyFont="1" applyFill="1" applyBorder="1"/>
    <xf numFmtId="176" fontId="25" fillId="14" borderId="1" xfId="0" applyNumberFormat="1" applyFont="1" applyFill="1" applyBorder="1"/>
    <xf numFmtId="0" fontId="8" fillId="14" borderId="7" xfId="0" applyFont="1" applyFill="1" applyBorder="1"/>
    <xf numFmtId="176" fontId="8" fillId="14" borderId="6" xfId="0" applyNumberFormat="1" applyFont="1" applyFill="1" applyBorder="1"/>
    <xf numFmtId="0" fontId="8" fillId="14" borderId="14" xfId="0" applyFont="1" applyFill="1" applyBorder="1"/>
    <xf numFmtId="176" fontId="8" fillId="14" borderId="15" xfId="1" applyFont="1" applyFill="1" applyBorder="1"/>
    <xf numFmtId="176" fontId="0" fillId="0" borderId="0" xfId="1" applyFont="1" applyAlignment="1">
      <alignment horizontal="right"/>
    </xf>
    <xf numFmtId="0" fontId="8" fillId="14" borderId="4" xfId="0" applyFont="1" applyFill="1" applyBorder="1"/>
    <xf numFmtId="176" fontId="8" fillId="14" borderId="8" xfId="1" applyFont="1" applyFill="1" applyBorder="1"/>
    <xf numFmtId="0" fontId="25" fillId="14" borderId="1" xfId="0" applyFont="1" applyFill="1" applyBorder="1" applyAlignment="1">
      <alignment vertical="center"/>
    </xf>
    <xf numFmtId="43" fontId="1" fillId="14" borderId="5" xfId="0" applyNumberFormat="1" applyFont="1" applyFill="1" applyBorder="1"/>
    <xf numFmtId="0" fontId="25" fillId="17" borderId="1" xfId="0" applyFont="1" applyFill="1" applyBorder="1"/>
    <xf numFmtId="176" fontId="1" fillId="17" borderId="5" xfId="0" applyNumberFormat="1" applyFont="1" applyFill="1" applyBorder="1"/>
    <xf numFmtId="0" fontId="25" fillId="14" borderId="14" xfId="0" applyFont="1" applyFill="1" applyBorder="1"/>
    <xf numFmtId="176" fontId="0" fillId="13" borderId="1" xfId="1" applyFont="1" applyFill="1" applyBorder="1"/>
    <xf numFmtId="176" fontId="1" fillId="0" borderId="0" xfId="1" applyFont="1"/>
    <xf numFmtId="0" fontId="25" fillId="12" borderId="2" xfId="0" applyFont="1" applyFill="1" applyBorder="1"/>
    <xf numFmtId="43" fontId="26" fillId="6" borderId="16" xfId="0" applyNumberFormat="1" applyFont="1" applyFill="1" applyBorder="1"/>
    <xf numFmtId="0" fontId="26" fillId="0" borderId="0" xfId="0" applyFont="1"/>
    <xf numFmtId="0" fontId="31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0" fontId="3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/>
    <xf numFmtId="176" fontId="35" fillId="0" borderId="12" xfId="1" applyFont="1" applyBorder="1" applyAlignment="1">
      <alignment horizontal="right"/>
    </xf>
    <xf numFmtId="0" fontId="32" fillId="0" borderId="17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176" fontId="32" fillId="0" borderId="17" xfId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176" fontId="14" fillId="0" borderId="0" xfId="1" applyFont="1" applyBorder="1" applyAlignment="1">
      <alignment horizontal="center" vertical="center"/>
    </xf>
    <xf numFmtId="176" fontId="14" fillId="0" borderId="12" xfId="1" applyFont="1" applyBorder="1" applyAlignment="1">
      <alignment horizontal="center" vertical="center"/>
    </xf>
    <xf numFmtId="0" fontId="36" fillId="0" borderId="18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176" fontId="32" fillId="18" borderId="18" xfId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76" fontId="32" fillId="0" borderId="18" xfId="1" applyFont="1" applyBorder="1" applyAlignment="1">
      <alignment horizontal="center" vertical="center"/>
    </xf>
    <xf numFmtId="176" fontId="14" fillId="0" borderId="17" xfId="1" applyFont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37" fillId="0" borderId="18" xfId="0" applyFont="1" applyBorder="1" applyAlignment="1">
      <alignment vertical="center"/>
    </xf>
    <xf numFmtId="0" fontId="34" fillId="0" borderId="18" xfId="0" applyFont="1" applyBorder="1" applyAlignment="1">
      <alignment vertical="center"/>
    </xf>
    <xf numFmtId="176" fontId="37" fillId="6" borderId="18" xfId="1" applyFont="1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15" fillId="19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43" fontId="17" fillId="0" borderId="0" xfId="0" applyNumberFormat="1" applyFont="1" applyAlignment="1">
      <alignment vertical="center"/>
    </xf>
    <xf numFmtId="43" fontId="17" fillId="0" borderId="0" xfId="0" applyNumberFormat="1" applyFont="1"/>
    <xf numFmtId="0" fontId="15" fillId="16" borderId="1" xfId="0" applyFont="1" applyFill="1" applyBorder="1" applyAlignment="1">
      <alignment horizontal="center"/>
    </xf>
    <xf numFmtId="4" fontId="38" fillId="20" borderId="1" xfId="0" applyNumberFormat="1" applyFont="1" applyFill="1" applyBorder="1"/>
    <xf numFmtId="0" fontId="15" fillId="0" borderId="1" xfId="0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62158</xdr:colOff>
      <xdr:row>0</xdr:row>
      <xdr:rowOff>108595</xdr:rowOff>
    </xdr:from>
    <xdr:to>
      <xdr:col>8</xdr:col>
      <xdr:colOff>754379</xdr:colOff>
      <xdr:row>3</xdr:row>
      <xdr:rowOff>161334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4145" y="108585"/>
          <a:ext cx="692150" cy="6927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7a92760d46d7c6af\RECEIVABLES%20MONITORING%20FOLDER\DHPP%20TRANSACTIONS\General_Journal_DHPP%20TRANSACTIONS-%20OCT%201-7-ALYWIN-DESKTOP-R8RRKSJ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EGINNING BALANCE"/>
      <sheetName val="Chart of Accounts"/>
      <sheetName val="PAYMENT RECEIPTS"/>
      <sheetName val="UPON DELIVERY"/>
      <sheetName val="FUEL INVENTORY"/>
      <sheetName val="AR-SUPPLIER"/>
      <sheetName val="Copyright-2"/>
      <sheetName val="JOURNAL ENTRY"/>
      <sheetName val="SUPPLIER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V27"/>
  <sheetViews>
    <sheetView view="pageBreakPreview" zoomScaleNormal="115" workbookViewId="0">
      <selection activeCell="K19" sqref="$A1:$XFD1048576"/>
    </sheetView>
  </sheetViews>
  <sheetFormatPr defaultColWidth="9" defaultRowHeight="14.4"/>
  <cols>
    <col min="1" max="1" width="7.71296296296296" customWidth="1"/>
    <col min="4" max="4" width="13.712962962963" customWidth="1"/>
    <col min="5" max="5" width="15.1388888888889" customWidth="1"/>
    <col min="6" max="6" width="1.57407407407407" hidden="1" customWidth="1"/>
    <col min="8" max="9" width="11.712962962963" customWidth="1"/>
    <col min="10" max="10" width="14.287037037037" customWidth="1"/>
    <col min="11" max="11" width="13.8518518518519" customWidth="1"/>
    <col min="12" max="12" width="9.28703703703704" customWidth="1"/>
    <col min="13" max="13" width="13.287037037037" customWidth="1"/>
    <col min="14" max="14" width="19.4259259259259" customWidth="1"/>
    <col min="16" max="16" width="11.1388888888889" customWidth="1"/>
    <col min="18" max="21" width="9" hidden="1" customWidth="1"/>
    <col min="22" max="22" width="18.287037037037" customWidth="1"/>
  </cols>
  <sheetData>
    <row r="2" ht="18" spans="1:10">
      <c r="A2" s="172"/>
      <c r="B2" s="173" t="s">
        <v>0</v>
      </c>
      <c r="C2" s="173"/>
      <c r="D2" s="173"/>
      <c r="E2" s="173"/>
      <c r="F2" s="173"/>
      <c r="G2" s="173"/>
      <c r="H2" s="173"/>
      <c r="I2" s="173"/>
      <c r="J2" s="172"/>
    </row>
    <row r="3" ht="18" spans="1:10">
      <c r="A3" s="174"/>
      <c r="B3" s="175" t="s">
        <v>1</v>
      </c>
      <c r="C3" s="175"/>
      <c r="D3" s="175"/>
      <c r="E3" s="175"/>
      <c r="F3" s="175"/>
      <c r="G3" s="175"/>
      <c r="H3" s="175"/>
      <c r="I3" s="175"/>
      <c r="J3" s="174"/>
    </row>
    <row r="4" spans="1:10">
      <c r="A4" s="51"/>
      <c r="B4" s="176" t="s">
        <v>2</v>
      </c>
      <c r="C4" s="176"/>
      <c r="D4" s="176"/>
      <c r="E4" s="176"/>
      <c r="F4" s="176"/>
      <c r="G4" s="176"/>
      <c r="H4" s="176"/>
      <c r="I4" s="176"/>
      <c r="J4" s="51"/>
    </row>
    <row r="5" spans="1:10">
      <c r="A5" s="177"/>
      <c r="B5" s="177"/>
      <c r="C5" s="177"/>
      <c r="D5" s="177"/>
      <c r="E5" s="177"/>
      <c r="F5" s="177"/>
      <c r="G5" s="177"/>
      <c r="H5" s="178" t="s">
        <v>3</v>
      </c>
      <c r="I5" s="178"/>
      <c r="J5" s="177"/>
    </row>
    <row r="6" spans="1:11">
      <c r="A6" s="1"/>
      <c r="B6" s="179" t="s">
        <v>4</v>
      </c>
      <c r="C6" s="180"/>
      <c r="D6" s="180"/>
      <c r="E6" s="180"/>
      <c r="F6" s="180"/>
      <c r="G6" s="180"/>
      <c r="H6" s="181"/>
      <c r="I6" s="181"/>
      <c r="J6" s="1"/>
      <c r="K6" s="1"/>
    </row>
    <row r="7" spans="1:14">
      <c r="A7" s="1"/>
      <c r="B7" s="182" t="s">
        <v>5</v>
      </c>
      <c r="C7" s="182"/>
      <c r="D7" s="182"/>
      <c r="E7" s="182"/>
      <c r="F7" s="182"/>
      <c r="G7" s="182"/>
      <c r="H7" s="183">
        <f>'JAN 01-05 2026'!P17+'JAN 06-12 2026'!P17+'JAN 13-19 2026'!P17+'JAN 20-26 2026'!P17+'JAN 27-31 2026'!P17</f>
        <v>42043027</v>
      </c>
      <c r="I7" s="183"/>
      <c r="J7" s="1"/>
      <c r="K7" s="1"/>
      <c r="M7" s="48"/>
      <c r="N7" s="48"/>
    </row>
    <row r="8" spans="1:13">
      <c r="A8" s="1"/>
      <c r="B8" s="182" t="s">
        <v>6</v>
      </c>
      <c r="C8" s="182"/>
      <c r="D8" s="182"/>
      <c r="E8" s="182"/>
      <c r="F8" s="182"/>
      <c r="G8" s="182"/>
      <c r="H8" s="183">
        <f>'JAN 01-05 2026'!O18+'JAN 06-12 2026'!O18+'JAN 13-19 2026'!O18+'JAN 20-26 2026'!O18+'JAN 27-31 2026'!O18</f>
        <v>673859.57</v>
      </c>
      <c r="I8" s="183"/>
      <c r="J8" s="1"/>
      <c r="K8" s="60">
        <f>H6+H8</f>
        <v>673859.57</v>
      </c>
      <c r="M8" s="45"/>
    </row>
    <row r="9" spans="1:13">
      <c r="A9" s="1"/>
      <c r="B9" s="182" t="s">
        <v>7</v>
      </c>
      <c r="C9" s="182"/>
      <c r="D9" s="182"/>
      <c r="E9" s="182"/>
      <c r="F9" s="182"/>
      <c r="G9" s="182"/>
      <c r="H9" s="183">
        <f>-('JAN 01-05 2026'!O20+'JAN 06-12 2026'!O20+'JAN 13-19 2026'!O20+'JAN 20-26 2026'!O20+'JAN 27-31 2026'!O20)</f>
        <v>-40872400</v>
      </c>
      <c r="I9" s="183"/>
      <c r="J9" s="60"/>
      <c r="K9" s="60">
        <f>H7+H9</f>
        <v>1170627</v>
      </c>
      <c r="M9" s="45"/>
    </row>
    <row r="10" spans="1:13">
      <c r="A10" s="1"/>
      <c r="B10" s="182" t="s">
        <v>8</v>
      </c>
      <c r="C10" s="182"/>
      <c r="D10" s="182"/>
      <c r="E10" s="182"/>
      <c r="F10" s="182"/>
      <c r="G10" s="182"/>
      <c r="H10" s="183">
        <f>-('JAN 01-05 2026'!O21+'JAN 06-12 2026'!O21+'JAN 13-19 2026'!O21+'JAN 20-26 2026'!O21+'JAN 27-31 2026'!O21)</f>
        <v>-1425020.45</v>
      </c>
      <c r="I10" s="183"/>
      <c r="J10" s="1"/>
      <c r="K10" s="197">
        <f>H10</f>
        <v>-1425020.45</v>
      </c>
      <c r="M10" s="45"/>
    </row>
    <row r="11" spans="1:13">
      <c r="A11" s="1"/>
      <c r="B11" s="182" t="s">
        <v>9</v>
      </c>
      <c r="C11" s="182"/>
      <c r="D11" s="182"/>
      <c r="E11" s="182"/>
      <c r="F11" s="182"/>
      <c r="G11" s="182"/>
      <c r="H11" s="183">
        <f>-('JAN 01-05 2026'!O22+'JAN 06-12 2026'!O22+'JAN 13-19 2026'!O22+'JAN 20-26 2026'!O23+'JAN 27-31 2026'!O23)</f>
        <v>-66223.25</v>
      </c>
      <c r="I11" s="183"/>
      <c r="J11" s="1"/>
      <c r="K11" s="197">
        <f>H11</f>
        <v>-66223.25</v>
      </c>
      <c r="M11" s="45"/>
    </row>
    <row r="12" spans="1:13">
      <c r="A12" s="1"/>
      <c r="B12" s="182" t="s">
        <v>10</v>
      </c>
      <c r="C12" s="182"/>
      <c r="D12" s="182"/>
      <c r="E12" s="182"/>
      <c r="F12" s="182"/>
      <c r="G12" s="182"/>
      <c r="H12" s="184">
        <f>-('JAN 01-05 2026'!O25+'JAN 06-12 2026'!O25+'JAN 13-19 2026'!O25+'JAN 20-26 2026'!O26+'JAN 27-31 2026'!O26)</f>
        <v>-461000.1</v>
      </c>
      <c r="I12" s="184"/>
      <c r="J12" s="1"/>
      <c r="K12" s="197">
        <f>H12</f>
        <v>-461000.1</v>
      </c>
      <c r="M12" s="45"/>
    </row>
    <row r="13" spans="1:12">
      <c r="A13" s="1"/>
      <c r="B13" s="185" t="s">
        <v>11</v>
      </c>
      <c r="C13" s="186"/>
      <c r="D13" s="186"/>
      <c r="E13" s="186"/>
      <c r="F13" s="186"/>
      <c r="G13" s="186"/>
      <c r="H13" s="187">
        <f>H7+H8+H9+H10+H11+H12</f>
        <v>-107757.229999999</v>
      </c>
      <c r="I13" s="187"/>
      <c r="J13" s="1"/>
      <c r="K13" s="60">
        <f>K9+K10+K11+K12+K8</f>
        <v>-107757.23</v>
      </c>
      <c r="L13" s="24">
        <f>H13-K13</f>
        <v>3.49245965480804e-10</v>
      </c>
    </row>
    <row r="14" spans="1:11">
      <c r="A14" s="1"/>
      <c r="B14" s="179" t="s">
        <v>12</v>
      </c>
      <c r="C14" s="180"/>
      <c r="D14" s="180"/>
      <c r="E14" s="180"/>
      <c r="F14" s="180"/>
      <c r="G14" s="180"/>
      <c r="H14" s="181"/>
      <c r="I14" s="181"/>
      <c r="J14" s="1"/>
      <c r="K14" s="1"/>
    </row>
    <row r="15" spans="1:11">
      <c r="A15" s="1"/>
      <c r="B15" s="188" t="s">
        <v>13</v>
      </c>
      <c r="C15" s="189"/>
      <c r="D15" s="189"/>
      <c r="E15" s="189"/>
      <c r="F15" s="189"/>
      <c r="G15" s="189"/>
      <c r="H15" s="183">
        <f>-('JAN 20-26 2026'!O22)</f>
        <v>-3040</v>
      </c>
      <c r="I15" s="183"/>
      <c r="J15" s="1"/>
      <c r="K15" s="1"/>
    </row>
    <row r="16" spans="1:11">
      <c r="A16" s="1"/>
      <c r="B16" s="188"/>
      <c r="C16" s="189"/>
      <c r="D16" s="189"/>
      <c r="E16" s="189"/>
      <c r="F16" s="189"/>
      <c r="G16" s="189"/>
      <c r="H16" s="184">
        <v>0</v>
      </c>
      <c r="I16" s="184"/>
      <c r="J16" s="1"/>
      <c r="K16" s="1"/>
    </row>
    <row r="17" spans="1:11">
      <c r="A17" s="1"/>
      <c r="B17" s="186" t="s">
        <v>14</v>
      </c>
      <c r="C17" s="186"/>
      <c r="D17" s="186"/>
      <c r="E17" s="186"/>
      <c r="F17" s="186"/>
      <c r="G17" s="186"/>
      <c r="H17" s="190">
        <f>H15+H16</f>
        <v>-3040</v>
      </c>
      <c r="I17" s="190"/>
      <c r="J17" s="1"/>
      <c r="K17" s="1"/>
    </row>
    <row r="18" spans="1:11">
      <c r="A18" s="1"/>
      <c r="B18" s="179" t="s">
        <v>15</v>
      </c>
      <c r="C18" s="180"/>
      <c r="D18" s="180"/>
      <c r="E18" s="180"/>
      <c r="F18" s="180"/>
      <c r="G18" s="180"/>
      <c r="H18" s="191"/>
      <c r="I18" s="191"/>
      <c r="J18" s="1"/>
      <c r="K18" s="1"/>
    </row>
    <row r="19" spans="1:11">
      <c r="A19" s="1"/>
      <c r="B19" s="182" t="s">
        <v>16</v>
      </c>
      <c r="C19" s="182"/>
      <c r="D19" s="182"/>
      <c r="E19" s="182"/>
      <c r="F19" s="182"/>
      <c r="G19" s="182"/>
      <c r="H19" s="183">
        <f>'JAN 01-05 2026'!O19+'JAN 06-12 2026'!O19+'JAN 13-19 2026'!O19+'JAN 20-26 2026'!O19+'JAN 27-31 2026'!O19</f>
        <v>3517300</v>
      </c>
      <c r="I19" s="183"/>
      <c r="J19" s="1"/>
      <c r="K19" s="1"/>
    </row>
    <row r="20" spans="1:11">
      <c r="A20" s="1"/>
      <c r="B20" s="182" t="s">
        <v>17</v>
      </c>
      <c r="C20" s="182"/>
      <c r="D20" s="182"/>
      <c r="E20" s="182"/>
      <c r="F20" s="182"/>
      <c r="G20" s="182"/>
      <c r="H20" s="184">
        <f>-('JAN 01-05 2026'!O26+'JAN 06-12 2026'!O26+'JAN 13-19 2026'!O26+'JAN 20-26 2026'!O27+'JAN 27-31 2026'!O27)</f>
        <v>-4348194.73</v>
      </c>
      <c r="I20" s="184"/>
      <c r="J20" s="1"/>
      <c r="K20" s="1"/>
    </row>
    <row r="21" spans="1:14">
      <c r="A21" s="1"/>
      <c r="B21" s="185" t="s">
        <v>18</v>
      </c>
      <c r="C21" s="186"/>
      <c r="D21" s="186"/>
      <c r="E21" s="186"/>
      <c r="F21" s="186"/>
      <c r="G21" s="186"/>
      <c r="H21" s="187">
        <f>H20+H19</f>
        <v>-830894.73</v>
      </c>
      <c r="I21" s="187"/>
      <c r="J21" s="1"/>
      <c r="K21" s="1"/>
      <c r="N21" t="s">
        <v>19</v>
      </c>
    </row>
    <row r="22" spans="1:22">
      <c r="A22" s="1"/>
      <c r="B22" s="192" t="s">
        <v>20</v>
      </c>
      <c r="C22" s="186"/>
      <c r="D22" s="186"/>
      <c r="E22" s="186"/>
      <c r="F22" s="186"/>
      <c r="G22" s="186"/>
      <c r="H22" s="190">
        <f>H21+H17+H13</f>
        <v>-941691.96</v>
      </c>
      <c r="I22" s="190"/>
      <c r="J22" s="1"/>
      <c r="K22" s="1"/>
      <c r="N22" s="198" t="s">
        <v>21</v>
      </c>
      <c r="O22" s="199">
        <v>1</v>
      </c>
      <c r="P22" s="199"/>
      <c r="Q22" s="199"/>
      <c r="R22" s="202"/>
      <c r="S22" s="202"/>
      <c r="T22" s="202"/>
      <c r="U22" s="199"/>
      <c r="V22" s="203">
        <v>53650</v>
      </c>
    </row>
    <row r="23" spans="1:22">
      <c r="A23" s="1"/>
      <c r="B23" s="193" t="s">
        <v>22</v>
      </c>
      <c r="C23" s="180"/>
      <c r="D23" s="180"/>
      <c r="E23" s="180"/>
      <c r="F23" s="180"/>
      <c r="G23" s="180"/>
      <c r="H23" s="190">
        <f>'JAN 01-05 2026'!O3</f>
        <v>2412842.54</v>
      </c>
      <c r="I23" s="190"/>
      <c r="J23" s="1"/>
      <c r="K23" s="1"/>
      <c r="N23" s="199"/>
      <c r="O23" s="199"/>
      <c r="P23" s="199"/>
      <c r="Q23" s="199"/>
      <c r="R23" s="202"/>
      <c r="S23" s="202"/>
      <c r="T23" s="202"/>
      <c r="U23" s="199" t="s">
        <v>23</v>
      </c>
      <c r="V23" s="203"/>
    </row>
    <row r="24" spans="1:22">
      <c r="A24" s="1"/>
      <c r="B24" s="193" t="s">
        <v>24</v>
      </c>
      <c r="C24" s="180"/>
      <c r="D24" s="180"/>
      <c r="E24" s="180"/>
      <c r="F24" s="180"/>
      <c r="G24" s="180"/>
      <c r="H24" s="190">
        <f>-'JAN 01-05 2026'!O4</f>
        <v>-155000</v>
      </c>
      <c r="I24" s="190"/>
      <c r="J24" s="1"/>
      <c r="K24" s="1"/>
      <c r="N24" s="198"/>
      <c r="O24" s="199"/>
      <c r="P24" s="199"/>
      <c r="Q24" s="199"/>
      <c r="R24" s="202"/>
      <c r="S24" s="202"/>
      <c r="T24" s="202"/>
      <c r="U24" s="199"/>
      <c r="V24" s="203"/>
    </row>
    <row r="25" ht="21" customHeight="1" spans="1:22">
      <c r="A25" s="1"/>
      <c r="B25" s="194" t="s">
        <v>25</v>
      </c>
      <c r="C25" s="195"/>
      <c r="D25" s="195"/>
      <c r="E25" s="195"/>
      <c r="F25" s="195"/>
      <c r="G25" s="195"/>
      <c r="H25" s="196">
        <f>H22+H23+H24</f>
        <v>1316150.58</v>
      </c>
      <c r="I25" s="196"/>
      <c r="J25" s="200">
        <f>'JAN 27-31 2026'!O8</f>
        <v>1316150.58</v>
      </c>
      <c r="K25" s="200">
        <f>H25-J25</f>
        <v>0</v>
      </c>
      <c r="N25" s="199"/>
      <c r="O25" s="199"/>
      <c r="P25" s="199"/>
      <c r="Q25" s="199"/>
      <c r="R25" s="202"/>
      <c r="S25" s="202"/>
      <c r="T25" s="202"/>
      <c r="U25" s="199" t="s">
        <v>23</v>
      </c>
      <c r="V25" s="203"/>
    </row>
    <row r="26" spans="10:22">
      <c r="J26" s="201">
        <f>H25-H24</f>
        <v>1471150.58</v>
      </c>
      <c r="N26" s="199"/>
      <c r="O26" s="199"/>
      <c r="P26" s="199"/>
      <c r="Q26" s="199"/>
      <c r="R26" s="202"/>
      <c r="S26" s="202"/>
      <c r="T26" s="202"/>
      <c r="U26" s="199" t="s">
        <v>23</v>
      </c>
      <c r="V26" s="204"/>
    </row>
    <row r="27" spans="10:10">
      <c r="J27" s="24">
        <f>J25-J26</f>
        <v>-155000</v>
      </c>
    </row>
  </sheetData>
  <mergeCells count="24">
    <mergeCell ref="B2:I2"/>
    <mergeCell ref="B3:I3"/>
    <mergeCell ref="B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</mergeCells>
  <pageMargins left="0.92" right="0.7" top="0.75" bottom="0.75" header="0.3" footer="0.3"/>
  <pageSetup paperSize="9" scale="96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31"/>
  <sheetViews>
    <sheetView workbookViewId="0">
      <selection activeCell="D4" sqref="D4"/>
    </sheetView>
  </sheetViews>
  <sheetFormatPr defaultColWidth="9" defaultRowHeight="14.4"/>
  <cols>
    <col min="2" max="2" width="15.712962962963" customWidth="1"/>
    <col min="3" max="3" width="40.712962962963" customWidth="1"/>
    <col min="4" max="4" width="22.5740740740741" customWidth="1"/>
    <col min="5" max="5" width="1.71296296296296" customWidth="1"/>
    <col min="6" max="6" width="64.712962962963" customWidth="1"/>
    <col min="7" max="7" width="20.712962962963" customWidth="1"/>
    <col min="8" max="8" width="2.28703703703704" customWidth="1"/>
    <col min="9" max="9" width="12.712962962963" customWidth="1"/>
    <col min="11" max="11" width="10.287037037037" customWidth="1"/>
    <col min="13" max="13" width="11.4259259259259" customWidth="1"/>
    <col min="14" max="14" width="19.287037037037" customWidth="1"/>
    <col min="16" max="16" width="14.287037037037" customWidth="1"/>
  </cols>
  <sheetData>
    <row r="1" ht="18" spans="3:7">
      <c r="C1" s="103" t="s">
        <v>26</v>
      </c>
      <c r="D1" s="104"/>
      <c r="F1" s="151" t="s">
        <v>27</v>
      </c>
      <c r="G1" s="152"/>
    </row>
    <row r="2" ht="21.6" customHeight="1" spans="3:7">
      <c r="C2" s="107" t="s">
        <v>28</v>
      </c>
      <c r="D2" s="108" t="s">
        <v>29</v>
      </c>
      <c r="F2" s="107" t="s">
        <v>28</v>
      </c>
      <c r="G2" s="109" t="s">
        <v>29</v>
      </c>
    </row>
    <row r="3" ht="18" spans="3:12">
      <c r="C3" s="110" t="s">
        <v>30</v>
      </c>
      <c r="D3" s="111"/>
      <c r="F3" s="112" t="s">
        <v>30</v>
      </c>
      <c r="G3" s="113"/>
      <c r="L3" t="s">
        <v>31</v>
      </c>
    </row>
    <row r="4" ht="18" spans="2:13">
      <c r="B4" s="114"/>
      <c r="C4" s="115" t="s">
        <v>32</v>
      </c>
      <c r="D4" s="116">
        <f>D9</f>
        <v>6615525</v>
      </c>
      <c r="F4" s="117" t="s">
        <v>33</v>
      </c>
      <c r="G4" s="118">
        <f>'JAN 01-05 2026'!O17+'JAN 01-05 2026'!O18-'JAN 01-05 2026'!O24</f>
        <v>7004321.17</v>
      </c>
      <c r="I4" s="24">
        <f>D12-G4</f>
        <v>-491396.17</v>
      </c>
      <c r="M4" s="142" t="s">
        <v>34</v>
      </c>
    </row>
    <row r="5" ht="15.15" spans="2:14">
      <c r="B5" s="114"/>
      <c r="C5" s="119" t="s">
        <v>35</v>
      </c>
      <c r="D5" s="120">
        <v>6315100</v>
      </c>
      <c r="F5" s="117" t="s">
        <v>36</v>
      </c>
      <c r="G5" s="121">
        <v>0</v>
      </c>
      <c r="M5" s="149" t="s">
        <v>37</v>
      </c>
      <c r="N5" s="45">
        <f>G4</f>
        <v>7004321.17</v>
      </c>
    </row>
    <row r="6" ht="16.35" spans="2:14">
      <c r="B6" s="114"/>
      <c r="C6" s="122" t="s">
        <v>38</v>
      </c>
      <c r="D6" s="123">
        <f>D4-D5</f>
        <v>300425</v>
      </c>
      <c r="F6" s="124" t="s">
        <v>39</v>
      </c>
      <c r="G6" s="125">
        <f>'JAN 01-05 2026'!O20</f>
        <v>7641900</v>
      </c>
      <c r="I6" s="24">
        <f>D5-G6</f>
        <v>-1326800</v>
      </c>
      <c r="M6" s="149" t="s">
        <v>40</v>
      </c>
      <c r="N6" s="48">
        <v>5050</v>
      </c>
    </row>
    <row r="7" ht="15.15" spans="6:16">
      <c r="F7" s="126" t="s">
        <v>41</v>
      </c>
      <c r="G7" s="127">
        <f>G4-G6</f>
        <v>-637578.83</v>
      </c>
      <c r="M7" s="149" t="s">
        <v>42</v>
      </c>
      <c r="N7" s="48">
        <v>-292.55</v>
      </c>
      <c r="P7" s="24">
        <f>N5+N6+N7+N8+N9+N10+N11</f>
        <v>6965278.62</v>
      </c>
    </row>
    <row r="8" ht="15.15" spans="6:14">
      <c r="F8" s="128" t="s">
        <v>43</v>
      </c>
      <c r="G8" s="129">
        <f>CF!H23+CF!H24</f>
        <v>2257842.54</v>
      </c>
      <c r="M8" s="149" t="s">
        <v>44</v>
      </c>
      <c r="N8" s="48">
        <f>-43800</f>
        <v>-43800</v>
      </c>
    </row>
    <row r="9" ht="15.15" spans="2:7">
      <c r="B9" s="130"/>
      <c r="C9" s="2" t="s">
        <v>33</v>
      </c>
      <c r="D9" s="48">
        <v>6615525</v>
      </c>
      <c r="F9" s="131" t="s">
        <v>45</v>
      </c>
      <c r="G9" s="132">
        <f>SUM(G7:G8)</f>
        <v>1620263.71</v>
      </c>
    </row>
    <row r="10" ht="16.15" customHeight="1" spans="2:7">
      <c r="B10" s="130"/>
      <c r="C10" t="s">
        <v>46</v>
      </c>
      <c r="D10" s="48">
        <v>0</v>
      </c>
      <c r="F10" s="133" t="s">
        <v>47</v>
      </c>
      <c r="G10" s="134">
        <f>SUM(G11:G14)</f>
        <v>-635973.95</v>
      </c>
    </row>
    <row r="11" ht="16.15" customHeight="1" spans="2:16">
      <c r="B11" s="130"/>
      <c r="C11" t="s">
        <v>48</v>
      </c>
      <c r="D11" s="135">
        <v>102600</v>
      </c>
      <c r="F11" s="136" t="s">
        <v>8</v>
      </c>
      <c r="G11" s="137">
        <f>-'JAN 01-05 2026'!$O$21</f>
        <v>-48757.35</v>
      </c>
      <c r="P11" s="24">
        <f>N12-P7</f>
        <v>720201.38</v>
      </c>
    </row>
    <row r="12" ht="16.15" customHeight="1" spans="2:14">
      <c r="B12" s="130"/>
      <c r="C12" t="s">
        <v>32</v>
      </c>
      <c r="D12" s="52">
        <f>D9-D10-D11</f>
        <v>6512925</v>
      </c>
      <c r="F12" s="138" t="s">
        <v>9</v>
      </c>
      <c r="G12" s="139">
        <f>-'JAN 01-05 2026'!$O$22</f>
        <v>-7216.6</v>
      </c>
      <c r="I12" s="24"/>
      <c r="M12" t="s">
        <v>49</v>
      </c>
      <c r="N12" s="150">
        <v>7685480</v>
      </c>
    </row>
    <row r="13" ht="16.15" customHeight="1" spans="6:7">
      <c r="F13" s="138" t="s">
        <v>17</v>
      </c>
      <c r="G13" s="139">
        <f>-'JAN 01-05 2026'!$O$26</f>
        <v>-580000</v>
      </c>
    </row>
    <row r="14" ht="23.45" customHeight="1" spans="6:8">
      <c r="F14" s="140" t="s">
        <v>50</v>
      </c>
      <c r="G14" s="141">
        <f>-'JAN 01-05 2026'!$O$25</f>
        <v>0</v>
      </c>
      <c r="H14" s="1"/>
    </row>
    <row r="15" ht="16.35" spans="4:10">
      <c r="D15" s="48"/>
      <c r="F15" s="143" t="s">
        <v>51</v>
      </c>
      <c r="G15" s="144">
        <f>G9+G10</f>
        <v>984289.76</v>
      </c>
      <c r="I15" s="91">
        <f>CF!H25</f>
        <v>1316150.58</v>
      </c>
      <c r="J15" s="24">
        <v>0</v>
      </c>
    </row>
    <row r="16" spans="6:9">
      <c r="F16" s="145" t="s">
        <v>52</v>
      </c>
      <c r="G16" s="146">
        <f>-349405</f>
        <v>-349405</v>
      </c>
      <c r="I16" s="1" t="s">
        <v>53</v>
      </c>
    </row>
    <row r="17" ht="16.35" spans="6:7">
      <c r="F17" s="147" t="str">
        <f>"ACTUAL CASH "&amp;IF(G17&lt;0,"DEFICIT",IF(G17&gt;0,"EXCESS","BREAKEVEN"))&amp;" FOR THE CYCLE"</f>
        <v>ACTUAL CASH EXCESS FOR THE CYCLE</v>
      </c>
      <c r="G17" s="148">
        <f>G15+G16</f>
        <v>634884.76</v>
      </c>
    </row>
    <row r="18" ht="15.15"/>
    <row r="19" spans="6:7">
      <c r="F19" s="117" t="s">
        <v>33</v>
      </c>
      <c r="G19" s="153">
        <f>G4</f>
        <v>7004321.17</v>
      </c>
    </row>
    <row r="20" spans="6:7">
      <c r="F20" s="117" t="s">
        <v>54</v>
      </c>
      <c r="G20" s="154">
        <f>SUM(G21:G24)</f>
        <v>-597827.55</v>
      </c>
    </row>
    <row r="21" spans="6:9">
      <c r="F21" s="155" t="s">
        <v>55</v>
      </c>
      <c r="G21" s="156">
        <f>G16</f>
        <v>-349405</v>
      </c>
      <c r="H21" t="s">
        <v>56</v>
      </c>
      <c r="I21" s="171"/>
    </row>
    <row r="22" spans="2:7">
      <c r="B22" t="s">
        <v>57</v>
      </c>
      <c r="C22" s="48">
        <v>700000</v>
      </c>
      <c r="F22" s="157" t="s">
        <v>58</v>
      </c>
      <c r="G22" s="158">
        <f>-232750</f>
        <v>-232750</v>
      </c>
    </row>
    <row r="23" spans="3:7">
      <c r="C23" s="159">
        <v>300000</v>
      </c>
      <c r="F23" s="157" t="s">
        <v>59</v>
      </c>
      <c r="G23" s="158">
        <f>-15380</f>
        <v>-15380</v>
      </c>
    </row>
    <row r="24" spans="3:9">
      <c r="C24" s="48">
        <f>C23/C22</f>
        <v>0.428571428571429</v>
      </c>
      <c r="F24" s="160" t="s">
        <v>60</v>
      </c>
      <c r="G24" s="161">
        <f>-292.55</f>
        <v>-292.55</v>
      </c>
      <c r="I24" s="24">
        <v>8574420</v>
      </c>
    </row>
    <row r="25" spans="3:10">
      <c r="C25" s="48">
        <v>0.25</v>
      </c>
      <c r="F25" s="162" t="s">
        <v>61</v>
      </c>
      <c r="G25" s="163">
        <f>G19+G20</f>
        <v>6406493.62</v>
      </c>
      <c r="I25" s="48">
        <v>8670950</v>
      </c>
      <c r="J25" t="s">
        <v>62</v>
      </c>
    </row>
    <row r="26" spans="6:10">
      <c r="F26" s="164" t="s">
        <v>63</v>
      </c>
      <c r="G26" s="165">
        <f>D12</f>
        <v>6512925</v>
      </c>
      <c r="I26" s="24">
        <v>96530</v>
      </c>
      <c r="J26" t="s">
        <v>64</v>
      </c>
    </row>
    <row r="27" spans="3:10">
      <c r="C27" s="142"/>
      <c r="D27" s="52"/>
      <c r="F27" s="166" t="s">
        <v>65</v>
      </c>
      <c r="G27" s="167">
        <v>968125</v>
      </c>
      <c r="I27" s="48">
        <v>5000</v>
      </c>
      <c r="J27" t="s">
        <v>66</v>
      </c>
    </row>
    <row r="28" ht="15.15" spans="3:11">
      <c r="C28" s="149"/>
      <c r="D28" s="168"/>
      <c r="F28" s="169" t="s">
        <v>67</v>
      </c>
      <c r="G28" s="170">
        <f>G25-G26+G27</f>
        <v>861693.62</v>
      </c>
      <c r="I28" s="48">
        <v>15000</v>
      </c>
      <c r="J28" t="s">
        <v>68</v>
      </c>
      <c r="K28" s="45">
        <v>78900</v>
      </c>
    </row>
    <row r="29" ht="15.15" spans="3:11">
      <c r="C29" s="149"/>
      <c r="D29" s="48"/>
      <c r="I29" s="48">
        <v>51500</v>
      </c>
      <c r="J29" t="s">
        <v>69</v>
      </c>
      <c r="K29" s="24">
        <v>17630</v>
      </c>
    </row>
    <row r="30" spans="3:10">
      <c r="C30" s="149"/>
      <c r="D30" s="48"/>
      <c r="G30" s="24"/>
      <c r="I30" s="24">
        <v>7400</v>
      </c>
      <c r="J30" t="s">
        <v>40</v>
      </c>
    </row>
    <row r="31" spans="3:4">
      <c r="C31" s="149"/>
      <c r="D31" s="48"/>
    </row>
  </sheetData>
  <mergeCells count="4">
    <mergeCell ref="C1:D1"/>
    <mergeCell ref="F1:G1"/>
    <mergeCell ref="D2:D3"/>
    <mergeCell ref="G2:G3"/>
  </mergeCells>
  <conditionalFormatting sqref="G17">
    <cfRule type="cellIs" dxfId="0" priority="1" operator="greaterThan">
      <formula>1</formula>
    </cfRule>
    <cfRule type="cellIs" dxfId="1" priority="2" operator="lessThan">
      <formula>0</formula>
    </cfRule>
    <cfRule type="cellIs" dxfId="1" priority="3" operator="lessThan">
      <formula>-599866.11</formula>
    </cfRule>
  </conditionalFormatting>
  <pageMargins left="0.7" right="0.7" top="0.75" bottom="0.75" header="0.3" footer="0.3"/>
  <pageSetup paperSize="9" scale="63" orientation="landscape" horizontalDpi="120" verticalDpi="7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28"/>
  <sheetViews>
    <sheetView workbookViewId="0">
      <selection activeCell="G16" sqref="G16"/>
    </sheetView>
  </sheetViews>
  <sheetFormatPr defaultColWidth="9" defaultRowHeight="14.4"/>
  <cols>
    <col min="2" max="2" width="15.712962962963" customWidth="1"/>
    <col min="3" max="3" width="40.712962962963" customWidth="1"/>
    <col min="4" max="4" width="22.5740740740741" customWidth="1"/>
    <col min="5" max="5" width="1.71296296296296" customWidth="1"/>
    <col min="6" max="6" width="64.712962962963" customWidth="1"/>
    <col min="7" max="7" width="20.712962962963" customWidth="1"/>
    <col min="8" max="8" width="2.28703703703704" customWidth="1"/>
    <col min="9" max="9" width="12.712962962963" customWidth="1"/>
    <col min="10" max="10" width="13.5740740740741" customWidth="1"/>
    <col min="11" max="11" width="10.287037037037" customWidth="1"/>
    <col min="13" max="13" width="11.4259259259259" customWidth="1"/>
    <col min="14" max="14" width="19.287037037037" customWidth="1"/>
    <col min="16" max="16" width="14.287037037037" customWidth="1"/>
  </cols>
  <sheetData>
    <row r="1" ht="18" spans="3:7">
      <c r="C1" s="103" t="s">
        <v>26</v>
      </c>
      <c r="D1" s="104"/>
      <c r="F1" s="105" t="s">
        <v>27</v>
      </c>
      <c r="G1" s="106"/>
    </row>
    <row r="2" ht="21.6" customHeight="1" spans="3:7">
      <c r="C2" s="107" t="s">
        <v>70</v>
      </c>
      <c r="D2" s="108" t="s">
        <v>29</v>
      </c>
      <c r="F2" s="107" t="s">
        <v>71</v>
      </c>
      <c r="G2" s="109" t="s">
        <v>29</v>
      </c>
    </row>
    <row r="3" ht="18" spans="3:12">
      <c r="C3" s="110" t="s">
        <v>30</v>
      </c>
      <c r="D3" s="111"/>
      <c r="F3" s="112" t="s">
        <v>30</v>
      </c>
      <c r="G3" s="113"/>
      <c r="L3" t="s">
        <v>31</v>
      </c>
    </row>
    <row r="4" ht="18" spans="2:13">
      <c r="B4" s="114"/>
      <c r="C4" s="115" t="s">
        <v>32</v>
      </c>
      <c r="D4" s="116">
        <f>D12</f>
        <v>9398277</v>
      </c>
      <c r="F4" s="117" t="s">
        <v>72</v>
      </c>
      <c r="G4" s="118">
        <f>'JAN 01-05 2026'!O17+'JAN 01-05 2026'!O18-'JAN 01-05 2026'!O24</f>
        <v>7004321.17</v>
      </c>
      <c r="I4" s="24">
        <f>D12-G4</f>
        <v>2393955.83</v>
      </c>
      <c r="M4" s="142" t="s">
        <v>34</v>
      </c>
    </row>
    <row r="5" ht="15.15" spans="2:14">
      <c r="B5" s="114"/>
      <c r="C5" s="119" t="s">
        <v>73</v>
      </c>
      <c r="D5" s="120">
        <v>9068800</v>
      </c>
      <c r="F5" s="117" t="s">
        <v>36</v>
      </c>
      <c r="G5" s="121">
        <f>'JAN 01-05 2026'!$O$19</f>
        <v>0</v>
      </c>
      <c r="M5" s="149" t="s">
        <v>37</v>
      </c>
      <c r="N5" s="45">
        <f>G4</f>
        <v>7004321.17</v>
      </c>
    </row>
    <row r="6" ht="16.35" spans="2:14">
      <c r="B6" s="114"/>
      <c r="C6" s="122" t="s">
        <v>38</v>
      </c>
      <c r="D6" s="123">
        <f>D4-D5</f>
        <v>329477</v>
      </c>
      <c r="F6" s="124" t="s">
        <v>74</v>
      </c>
      <c r="G6" s="125">
        <f>'JAN 01-05 2026'!O20</f>
        <v>7641900</v>
      </c>
      <c r="I6" s="24">
        <f>D5-G6</f>
        <v>1426900</v>
      </c>
      <c r="M6" s="149" t="s">
        <v>40</v>
      </c>
      <c r="N6" s="48">
        <v>17450</v>
      </c>
    </row>
    <row r="7" ht="15.15" spans="6:16">
      <c r="F7" s="126" t="s">
        <v>75</v>
      </c>
      <c r="G7" s="127">
        <f>G4+G5-G6</f>
        <v>-637578.83</v>
      </c>
      <c r="M7" s="149" t="s">
        <v>42</v>
      </c>
      <c r="N7" s="48">
        <f>-105.19</f>
        <v>-105.19</v>
      </c>
      <c r="P7" s="24">
        <f>N5+N6+N7+N8+N9+N10+N11</f>
        <v>7021665.98</v>
      </c>
    </row>
    <row r="8" ht="15.15" spans="6:14">
      <c r="F8" s="128" t="s">
        <v>76</v>
      </c>
      <c r="G8" s="129">
        <f>CF!H23+CF!H24</f>
        <v>2257842.54</v>
      </c>
      <c r="M8" s="149" t="s">
        <v>44</v>
      </c>
      <c r="N8" s="48">
        <v>0</v>
      </c>
    </row>
    <row r="9" ht="15.15" spans="2:16">
      <c r="B9" s="130"/>
      <c r="C9" s="2" t="s">
        <v>33</v>
      </c>
      <c r="D9" s="48">
        <v>9424327</v>
      </c>
      <c r="F9" s="131" t="s">
        <v>77</v>
      </c>
      <c r="G9" s="132">
        <f>SUM(G7:G8)</f>
        <v>1620263.71</v>
      </c>
      <c r="M9" s="149" t="s">
        <v>66</v>
      </c>
      <c r="N9" s="48">
        <v>0</v>
      </c>
      <c r="P9" s="24"/>
    </row>
    <row r="10" ht="16.15" customHeight="1" spans="2:14">
      <c r="B10" s="130"/>
      <c r="C10" t="s">
        <v>46</v>
      </c>
      <c r="D10" s="48">
        <v>26050</v>
      </c>
      <c r="F10" s="133" t="s">
        <v>78</v>
      </c>
      <c r="G10" s="134">
        <f>SUM(G11:G14)</f>
        <v>-635973.95</v>
      </c>
      <c r="M10" s="149"/>
      <c r="N10" s="48"/>
    </row>
    <row r="11" ht="16.15" customHeight="1" spans="2:16">
      <c r="B11" s="130"/>
      <c r="C11" t="s">
        <v>48</v>
      </c>
      <c r="D11" s="135">
        <v>0</v>
      </c>
      <c r="F11" s="136" t="s">
        <v>8</v>
      </c>
      <c r="G11" s="137">
        <f>-'JAN 01-05 2026'!$O$21</f>
        <v>-48757.35</v>
      </c>
      <c r="M11" s="149" t="s">
        <v>79</v>
      </c>
      <c r="N11" s="48"/>
      <c r="P11" s="24">
        <f>N12-P7</f>
        <v>52079.0200000005</v>
      </c>
    </row>
    <row r="12" ht="16.15" customHeight="1" spans="2:14">
      <c r="B12" s="130"/>
      <c r="C12" t="s">
        <v>32</v>
      </c>
      <c r="D12" s="52">
        <f>D9-D10-D11</f>
        <v>9398277</v>
      </c>
      <c r="F12" s="138" t="s">
        <v>9</v>
      </c>
      <c r="G12" s="139">
        <f>-'JAN 01-05 2026'!$O$22</f>
        <v>-7216.6</v>
      </c>
      <c r="I12" s="24"/>
      <c r="M12" t="s">
        <v>49</v>
      </c>
      <c r="N12" s="150">
        <v>7073745</v>
      </c>
    </row>
    <row r="13" ht="16.15" customHeight="1" spans="6:7">
      <c r="F13" s="138" t="s">
        <v>17</v>
      </c>
      <c r="G13" s="139">
        <f>-'JAN 01-05 2026'!$O$26</f>
        <v>-580000</v>
      </c>
    </row>
    <row r="14" ht="23.45" customHeight="1" spans="6:8">
      <c r="F14" s="140" t="s">
        <v>50</v>
      </c>
      <c r="G14" s="141">
        <f>-'JAN 01-05 2026'!$O$25</f>
        <v>0</v>
      </c>
      <c r="H14" s="1"/>
    </row>
    <row r="15" ht="16.35" spans="3:10">
      <c r="C15" s="142" t="s">
        <v>80</v>
      </c>
      <c r="D15" s="48">
        <f>D6</f>
        <v>329477</v>
      </c>
      <c r="F15" s="143" t="s">
        <v>81</v>
      </c>
      <c r="G15" s="144">
        <f>G9+G10</f>
        <v>984289.76</v>
      </c>
      <c r="I15" s="91">
        <f>CF!H25</f>
        <v>1316150.58</v>
      </c>
      <c r="J15" s="24">
        <v>0</v>
      </c>
    </row>
    <row r="16" spans="3:9">
      <c r="C16" s="142" t="s">
        <v>82</v>
      </c>
      <c r="D16" s="45">
        <f>G11+G12+G14</f>
        <v>-55973.95</v>
      </c>
      <c r="F16" s="145" t="s">
        <v>83</v>
      </c>
      <c r="G16" s="146">
        <f>-53100</f>
        <v>-53100</v>
      </c>
      <c r="I16" s="1" t="s">
        <v>53</v>
      </c>
    </row>
    <row r="17" ht="16.35" spans="3:10">
      <c r="C17" s="142" t="s">
        <v>84</v>
      </c>
      <c r="D17" s="52">
        <f>D15+D16</f>
        <v>273503.05</v>
      </c>
      <c r="F17" s="147" t="str">
        <f>"ACTUAL CASH "&amp;IF(G17&lt;0,"DEFICIT",IF(G17&gt;0,"EXCESS","BREAKEVEN"))&amp;" AS OF THE END THE CYCLE"&amp;J17</f>
        <v>ACTUAL CASH EXCESS AS OF THE END THE CYCLE NOV. 17, 2025</v>
      </c>
      <c r="G17" s="148">
        <f>G15+G16</f>
        <v>931189.76</v>
      </c>
      <c r="J17" t="s">
        <v>85</v>
      </c>
    </row>
    <row r="18" ht="15.15" spans="7:7">
      <c r="G18" s="48">
        <v>0</v>
      </c>
    </row>
    <row r="19" spans="6:7">
      <c r="F19" s="142" t="s">
        <v>86</v>
      </c>
      <c r="G19" s="24">
        <f>G18-G17</f>
        <v>-931189.76</v>
      </c>
    </row>
    <row r="24" spans="6:6">
      <c r="F24" s="48">
        <v>150000</v>
      </c>
    </row>
    <row r="25" spans="6:6">
      <c r="F25" s="24">
        <v>4</v>
      </c>
    </row>
    <row r="26" spans="4:6">
      <c r="D26">
        <v>150</v>
      </c>
      <c r="F26" s="48">
        <f>F24*F25</f>
        <v>600000</v>
      </c>
    </row>
    <row r="27" spans="4:6">
      <c r="D27">
        <v>150</v>
      </c>
      <c r="F27" s="48">
        <v>300000</v>
      </c>
    </row>
    <row r="28" spans="6:6">
      <c r="F28">
        <f>F27/F26</f>
        <v>0.5</v>
      </c>
    </row>
  </sheetData>
  <mergeCells count="4">
    <mergeCell ref="C1:D1"/>
    <mergeCell ref="F1:G1"/>
    <mergeCell ref="D2:D3"/>
    <mergeCell ref="G2:G3"/>
  </mergeCells>
  <conditionalFormatting sqref="G17">
    <cfRule type="cellIs" dxfId="0" priority="1" operator="greaterThan">
      <formula>1</formula>
    </cfRule>
    <cfRule type="cellIs" dxfId="1" priority="2" operator="lessThan">
      <formula>0</formula>
    </cfRule>
    <cfRule type="cellIs" dxfId="1" priority="3" operator="lessThan">
      <formula>-599866.11</formula>
    </cfRule>
  </conditionalFormatting>
  <pageMargins left="0.7" right="0.7" top="0.75" bottom="0.75" header="0.3" footer="0.3"/>
  <pageSetup paperSize="9" scale="48" orientation="landscape" horizontalDpi="120" verticalDpi="72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C1:R39"/>
  <sheetViews>
    <sheetView zoomScale="85" zoomScaleNormal="85" workbookViewId="0">
      <pane ySplit="3" topLeftCell="F4" activePane="bottomLeft" state="frozen"/>
      <selection/>
      <selection pane="bottomLeft" activeCell="I23" sqref="I23"/>
    </sheetView>
  </sheetViews>
  <sheetFormatPr defaultColWidth="9" defaultRowHeight="14.4"/>
  <cols>
    <col min="3" max="3" width="39.8518518518519" customWidth="1"/>
    <col min="4" max="4" width="15.4259259259259" customWidth="1"/>
    <col min="5" max="5" width="11.8518518518519" customWidth="1"/>
    <col min="6" max="7" width="13.287037037037" customWidth="1"/>
    <col min="8" max="8" width="15.287037037037" customWidth="1"/>
    <col min="9" max="9" width="13.712962962963" customWidth="1"/>
    <col min="10" max="10" width="14.712962962963" customWidth="1"/>
    <col min="11" max="11" width="12.4259259259259" customWidth="1"/>
    <col min="12" max="12" width="13.8518518518519" customWidth="1"/>
    <col min="13" max="13" width="12.4259259259259" customWidth="1"/>
    <col min="14" max="14" width="13.287037037037" customWidth="1"/>
    <col min="15" max="15" width="19.287037037037" customWidth="1"/>
    <col min="16" max="16" width="15.5740740740741" customWidth="1"/>
    <col min="17" max="17" width="15" customWidth="1"/>
    <col min="18" max="18" width="12.4259259259259" customWidth="1"/>
  </cols>
  <sheetData>
    <row r="1" spans="4:15">
      <c r="D1" s="3" t="s">
        <v>56</v>
      </c>
      <c r="E1" s="3" t="s">
        <v>56</v>
      </c>
      <c r="F1" s="3" t="s">
        <v>56</v>
      </c>
      <c r="G1" s="3" t="s">
        <v>56</v>
      </c>
      <c r="H1" s="3" t="s">
        <v>56</v>
      </c>
      <c r="I1" s="3" t="s">
        <v>56</v>
      </c>
      <c r="J1" s="3" t="s">
        <v>56</v>
      </c>
      <c r="K1" s="3" t="s">
        <v>56</v>
      </c>
      <c r="L1" s="3" t="s">
        <v>56</v>
      </c>
      <c r="M1" s="3" t="s">
        <v>56</v>
      </c>
      <c r="N1" s="3" t="s">
        <v>56</v>
      </c>
      <c r="O1" s="3"/>
    </row>
    <row r="2" ht="28.9" customHeight="1" spans="3:15">
      <c r="C2" s="4" t="s">
        <v>87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93</v>
      </c>
      <c r="J2" s="5" t="s">
        <v>94</v>
      </c>
      <c r="K2" s="5" t="s">
        <v>95</v>
      </c>
      <c r="L2" s="5" t="s">
        <v>96</v>
      </c>
      <c r="M2" s="5" t="s">
        <v>97</v>
      </c>
      <c r="N2" s="54" t="s">
        <v>98</v>
      </c>
      <c r="O2" s="5" t="s">
        <v>99</v>
      </c>
    </row>
    <row r="3" ht="22.9" customHeight="1" spans="3:15">
      <c r="C3" s="6" t="s">
        <v>100</v>
      </c>
      <c r="D3" s="7">
        <v>733035.46</v>
      </c>
      <c r="E3" s="7">
        <v>14281.36</v>
      </c>
      <c r="F3" s="7">
        <v>314297.74</v>
      </c>
      <c r="G3" s="7">
        <v>9030.43</v>
      </c>
      <c r="H3" s="7">
        <v>891913.88</v>
      </c>
      <c r="I3" s="7">
        <v>201183.08</v>
      </c>
      <c r="J3" s="7">
        <v>213003.48</v>
      </c>
      <c r="K3" s="7">
        <v>11097.11</v>
      </c>
      <c r="L3" s="7">
        <v>5000</v>
      </c>
      <c r="M3" s="7"/>
      <c r="N3" s="7">
        <v>20000</v>
      </c>
      <c r="O3" s="55">
        <f>SUM(D3:N3)</f>
        <v>2412842.54</v>
      </c>
    </row>
    <row r="4" spans="3:16">
      <c r="C4" s="8" t="s">
        <v>101</v>
      </c>
      <c r="D4" s="9">
        <v>50000</v>
      </c>
      <c r="E4" s="9">
        <v>5000</v>
      </c>
      <c r="F4" s="9">
        <v>5000</v>
      </c>
      <c r="G4" s="9">
        <v>5000</v>
      </c>
      <c r="H4" s="10">
        <v>5000</v>
      </c>
      <c r="I4" s="9">
        <v>5000</v>
      </c>
      <c r="J4" s="9">
        <v>50000</v>
      </c>
      <c r="K4" s="9">
        <v>5000</v>
      </c>
      <c r="L4" s="9">
        <v>5000</v>
      </c>
      <c r="M4" s="9">
        <v>0</v>
      </c>
      <c r="N4" s="9">
        <v>20000</v>
      </c>
      <c r="O4" s="56">
        <f t="shared" ref="O4:O10" si="0">SUM(D4:N4)</f>
        <v>155000</v>
      </c>
      <c r="P4" s="24"/>
    </row>
    <row r="5" spans="3:15">
      <c r="C5" s="11" t="s">
        <v>102</v>
      </c>
      <c r="D5" s="96">
        <f>D3-D4</f>
        <v>683035.46</v>
      </c>
      <c r="E5" s="96">
        <f t="shared" ref="E5:N5" si="1">E3-E4</f>
        <v>9281.36</v>
      </c>
      <c r="F5" s="96">
        <f t="shared" si="1"/>
        <v>309297.74</v>
      </c>
      <c r="G5" s="96">
        <f t="shared" si="1"/>
        <v>4030.43</v>
      </c>
      <c r="H5" s="96">
        <f t="shared" si="1"/>
        <v>886913.88</v>
      </c>
      <c r="I5" s="96">
        <f t="shared" si="1"/>
        <v>196183.08</v>
      </c>
      <c r="J5" s="96">
        <f t="shared" si="1"/>
        <v>163003.48</v>
      </c>
      <c r="K5" s="96">
        <f t="shared" si="1"/>
        <v>6097.11</v>
      </c>
      <c r="L5" s="96">
        <f t="shared" si="1"/>
        <v>0</v>
      </c>
      <c r="M5" s="96">
        <f t="shared" si="1"/>
        <v>0</v>
      </c>
      <c r="N5" s="96">
        <f t="shared" si="1"/>
        <v>0</v>
      </c>
      <c r="O5" s="57">
        <f t="shared" si="0"/>
        <v>2257842.54</v>
      </c>
    </row>
    <row r="6" spans="3:17">
      <c r="C6" s="13" t="s">
        <v>103</v>
      </c>
      <c r="D6" s="14">
        <v>1716926.17</v>
      </c>
      <c r="E6" s="14">
        <v>4700</v>
      </c>
      <c r="F6" s="14">
        <v>715145</v>
      </c>
      <c r="G6" s="14">
        <v>50000</v>
      </c>
      <c r="H6" s="14">
        <v>2057625</v>
      </c>
      <c r="I6" s="14">
        <v>461850</v>
      </c>
      <c r="J6" s="14">
        <v>1296000</v>
      </c>
      <c r="K6" s="14"/>
      <c r="L6" s="14"/>
      <c r="M6" s="14">
        <v>530000</v>
      </c>
      <c r="N6" s="14">
        <v>172075</v>
      </c>
      <c r="O6" s="57">
        <f t="shared" si="0"/>
        <v>7004321.17</v>
      </c>
      <c r="P6" s="24">
        <f>O17+O18+O19</f>
        <v>7004321.17</v>
      </c>
      <c r="Q6" s="24">
        <f>O6-P6</f>
        <v>0</v>
      </c>
    </row>
    <row r="7" spans="3:17">
      <c r="C7" s="13" t="s">
        <v>104</v>
      </c>
      <c r="D7" s="15">
        <v>2281174.61</v>
      </c>
      <c r="E7" s="16"/>
      <c r="F7" s="16">
        <v>901700</v>
      </c>
      <c r="G7" s="16"/>
      <c r="H7" s="16">
        <v>2940700</v>
      </c>
      <c r="I7" s="16">
        <v>254300</v>
      </c>
      <c r="J7" s="16">
        <v>1369999.34</v>
      </c>
      <c r="K7" s="16"/>
      <c r="L7" s="16"/>
      <c r="M7" s="16">
        <v>530000</v>
      </c>
      <c r="N7" s="16"/>
      <c r="O7" s="56">
        <f t="shared" si="0"/>
        <v>8277873.95</v>
      </c>
      <c r="P7" s="24">
        <f>O20+O21+O22+O24+O25+O26+O23</f>
        <v>8277873.95</v>
      </c>
      <c r="Q7" s="24">
        <f>O7-P7</f>
        <v>0</v>
      </c>
    </row>
    <row r="8" s="1" customFormat="1" ht="21.6" customHeight="1" spans="3:18">
      <c r="C8" s="17" t="s">
        <v>105</v>
      </c>
      <c r="D8" s="18">
        <f>D5+D6-D7</f>
        <v>118787.02</v>
      </c>
      <c r="E8" s="18">
        <f t="shared" ref="E8:N8" si="2">E5+E6-E7</f>
        <v>13981.36</v>
      </c>
      <c r="F8" s="18">
        <f t="shared" si="2"/>
        <v>122742.74</v>
      </c>
      <c r="G8" s="18">
        <f t="shared" si="2"/>
        <v>54030.43</v>
      </c>
      <c r="H8" s="18">
        <f t="shared" si="2"/>
        <v>3838.87999999989</v>
      </c>
      <c r="I8" s="18">
        <f t="shared" si="2"/>
        <v>403733.08</v>
      </c>
      <c r="J8" s="18">
        <f t="shared" si="2"/>
        <v>89004.1399999999</v>
      </c>
      <c r="K8" s="18">
        <f t="shared" si="2"/>
        <v>6097.11</v>
      </c>
      <c r="L8" s="18">
        <f t="shared" si="2"/>
        <v>0</v>
      </c>
      <c r="M8" s="18">
        <f t="shared" si="2"/>
        <v>0</v>
      </c>
      <c r="N8" s="18">
        <f t="shared" si="2"/>
        <v>172075</v>
      </c>
      <c r="O8" s="59">
        <f t="shared" si="0"/>
        <v>984289.76</v>
      </c>
      <c r="Q8" s="60">
        <f>O3-O4+O6-O7</f>
        <v>984289.760000002</v>
      </c>
      <c r="R8" s="60">
        <f>O8-Q8</f>
        <v>-1.97906047105789e-9</v>
      </c>
    </row>
    <row r="9" s="1" customFormat="1" ht="21.6" customHeight="1" spans="3:18">
      <c r="C9" s="19" t="s">
        <v>106</v>
      </c>
      <c r="D9" s="20">
        <f>D4</f>
        <v>50000</v>
      </c>
      <c r="E9" s="20">
        <f t="shared" ref="E9:J9" si="3">E4</f>
        <v>5000</v>
      </c>
      <c r="F9" s="20">
        <f t="shared" ref="F9" si="4">F4</f>
        <v>5000</v>
      </c>
      <c r="G9" s="20">
        <f t="shared" si="3"/>
        <v>5000</v>
      </c>
      <c r="H9" s="20">
        <f t="shared" si="3"/>
        <v>5000</v>
      </c>
      <c r="I9" s="20">
        <f t="shared" si="3"/>
        <v>5000</v>
      </c>
      <c r="J9" s="20">
        <f t="shared" si="3"/>
        <v>50000</v>
      </c>
      <c r="K9" s="20">
        <f t="shared" ref="K9" si="5">K4</f>
        <v>5000</v>
      </c>
      <c r="L9" s="20">
        <f t="shared" ref="L9" si="6">L4</f>
        <v>5000</v>
      </c>
      <c r="M9" s="20">
        <f t="shared" ref="M9:N9" si="7">M4</f>
        <v>0</v>
      </c>
      <c r="N9" s="20">
        <f t="shared" si="7"/>
        <v>20000</v>
      </c>
      <c r="O9" s="20">
        <f t="shared" si="0"/>
        <v>155000</v>
      </c>
      <c r="Q9" s="60"/>
      <c r="R9" s="60"/>
    </row>
    <row r="10" s="1" customFormat="1" ht="21.6" customHeight="1" spans="3:18">
      <c r="C10" s="21" t="s">
        <v>107</v>
      </c>
      <c r="D10" s="22">
        <f>D8+D9</f>
        <v>168787.02</v>
      </c>
      <c r="E10" s="22">
        <f>E8+E9</f>
        <v>18981.36</v>
      </c>
      <c r="F10" s="22">
        <f t="shared" ref="F10:N10" si="8">F8+F9</f>
        <v>127742.74</v>
      </c>
      <c r="G10" s="22">
        <f t="shared" si="8"/>
        <v>59030.43</v>
      </c>
      <c r="H10" s="22">
        <f t="shared" si="8"/>
        <v>8838.87999999989</v>
      </c>
      <c r="I10" s="22">
        <f t="shared" si="8"/>
        <v>408733.08</v>
      </c>
      <c r="J10" s="22">
        <f t="shared" si="8"/>
        <v>139004.14</v>
      </c>
      <c r="K10" s="22">
        <f t="shared" si="8"/>
        <v>11097.11</v>
      </c>
      <c r="L10" s="22">
        <f t="shared" si="8"/>
        <v>5000</v>
      </c>
      <c r="M10" s="22">
        <f t="shared" si="8"/>
        <v>0</v>
      </c>
      <c r="N10" s="22">
        <f t="shared" si="8"/>
        <v>192075</v>
      </c>
      <c r="O10" s="22">
        <f t="shared" si="0"/>
        <v>1139289.76</v>
      </c>
      <c r="P10" s="60">
        <f>O8+O9</f>
        <v>1139289.76</v>
      </c>
      <c r="Q10" s="60">
        <f>O10-P10</f>
        <v>0</v>
      </c>
      <c r="R10" s="60"/>
    </row>
    <row r="11" hidden="1" spans="4:14">
      <c r="D11" s="23">
        <f t="shared" ref="D11:L11" si="9">D8/$O$8</f>
        <v>0.120682978557046</v>
      </c>
      <c r="E11" s="23">
        <f t="shared" si="9"/>
        <v>0.0142045163611171</v>
      </c>
      <c r="F11" s="23">
        <f t="shared" si="9"/>
        <v>0.124701835768362</v>
      </c>
      <c r="G11" s="23">
        <f t="shared" si="9"/>
        <v>0.0548928092069149</v>
      </c>
      <c r="H11" s="23">
        <f t="shared" si="9"/>
        <v>0.00390015232912703</v>
      </c>
      <c r="I11" s="23">
        <f t="shared" si="9"/>
        <v>0.410177060055974</v>
      </c>
      <c r="J11" s="23">
        <f t="shared" si="9"/>
        <v>0.0904247342774347</v>
      </c>
      <c r="K11" s="23">
        <f t="shared" si="9"/>
        <v>0.00619442591783135</v>
      </c>
      <c r="L11" s="23">
        <f t="shared" si="9"/>
        <v>0</v>
      </c>
      <c r="M11" s="23"/>
      <c r="N11" s="23"/>
    </row>
    <row r="12" hidden="1" spans="7:10">
      <c r="G12" s="24">
        <f>G5+G4</f>
        <v>9030.43</v>
      </c>
      <c r="H12" s="24">
        <f>H5+H4</f>
        <v>891913.88</v>
      </c>
      <c r="I12" s="24">
        <f>I5+I4</f>
        <v>201183.08</v>
      </c>
      <c r="J12" s="24">
        <f>J5+J4</f>
        <v>213003.48</v>
      </c>
    </row>
    <row r="13" spans="3:15">
      <c r="C13" s="25" t="s">
        <v>108</v>
      </c>
      <c r="D13" s="26">
        <v>168787.02</v>
      </c>
      <c r="E13" s="26">
        <v>18981.36</v>
      </c>
      <c r="F13" s="26">
        <v>127742.74</v>
      </c>
      <c r="G13" s="26">
        <v>59030.43</v>
      </c>
      <c r="H13" s="26">
        <v>8838.88</v>
      </c>
      <c r="I13" s="26">
        <v>408733.08</v>
      </c>
      <c r="J13" s="26">
        <v>139004.14</v>
      </c>
      <c r="K13" s="26">
        <v>11097.11</v>
      </c>
      <c r="L13" s="26">
        <v>5000</v>
      </c>
      <c r="M13" s="26"/>
      <c r="N13" s="26">
        <v>192075</v>
      </c>
      <c r="O13" s="61">
        <f>SUM(D13:N13)</f>
        <v>1139289.76</v>
      </c>
    </row>
    <row r="14" spans="3:15">
      <c r="C14" s="28" t="s">
        <v>109</v>
      </c>
      <c r="D14" s="24">
        <f>D10-D13</f>
        <v>0</v>
      </c>
      <c r="E14" s="24">
        <f t="shared" ref="E14" si="10">E10-E13</f>
        <v>0</v>
      </c>
      <c r="F14" s="24">
        <f t="shared" ref="F14" si="11">F10-F13</f>
        <v>0</v>
      </c>
      <c r="G14" s="24">
        <f t="shared" ref="G14" si="12">G10-G13</f>
        <v>0</v>
      </c>
      <c r="H14" s="24">
        <f t="shared" ref="H14" si="13">H10-H13</f>
        <v>-1.10958353616297e-10</v>
      </c>
      <c r="I14" s="24">
        <f t="shared" ref="I14" si="14">I10-I13</f>
        <v>0</v>
      </c>
      <c r="J14" s="24">
        <f t="shared" ref="J14" si="15">J10-J13</f>
        <v>0</v>
      </c>
      <c r="K14" s="24">
        <f t="shared" ref="K14" si="16">K10-K13</f>
        <v>0</v>
      </c>
      <c r="L14" s="24">
        <f t="shared" ref="L14" si="17">L10-L13</f>
        <v>0</v>
      </c>
      <c r="M14" s="24">
        <f t="shared" ref="M14" si="18">M10-M13</f>
        <v>0</v>
      </c>
      <c r="N14" s="24">
        <f t="shared" ref="N14:O14" si="19">N10-N13</f>
        <v>0</v>
      </c>
      <c r="O14" s="24">
        <f t="shared" si="19"/>
        <v>0</v>
      </c>
    </row>
    <row r="15" spans="5:5">
      <c r="E15" s="24"/>
    </row>
    <row r="16" spans="4:16">
      <c r="D16" s="29"/>
      <c r="E16" s="29"/>
      <c r="F16" s="29"/>
      <c r="G16" s="30"/>
      <c r="H16" s="30"/>
      <c r="I16" s="30"/>
      <c r="J16" s="29"/>
      <c r="K16" s="30"/>
      <c r="L16" s="30"/>
      <c r="M16" s="30"/>
      <c r="N16" s="30"/>
      <c r="O16" s="30"/>
      <c r="P16" s="30"/>
    </row>
    <row r="17" ht="27.6" spans="3:17">
      <c r="C17" s="31" t="s">
        <v>110</v>
      </c>
      <c r="D17" s="33">
        <f>1716926.17-76.17</f>
        <v>1716850</v>
      </c>
      <c r="E17" s="33"/>
      <c r="F17" s="33">
        <v>715145</v>
      </c>
      <c r="G17" s="33">
        <v>50000</v>
      </c>
      <c r="H17" s="33">
        <v>2057625</v>
      </c>
      <c r="I17" s="33">
        <v>461850</v>
      </c>
      <c r="J17" s="33">
        <v>1296000</v>
      </c>
      <c r="K17" s="64"/>
      <c r="L17" s="64"/>
      <c r="M17" s="63">
        <v>530000</v>
      </c>
      <c r="N17" s="63">
        <v>172075</v>
      </c>
      <c r="O17" s="65">
        <f>SUM(D17:N17)</f>
        <v>6999545</v>
      </c>
      <c r="P17" s="60">
        <f>O17-O24-O23</f>
        <v>6999545</v>
      </c>
      <c r="Q17" s="60">
        <f>O17+O18+O19-O20-O21-O22-O23-O24-O25-O26</f>
        <v>-1273552.78</v>
      </c>
    </row>
    <row r="18" ht="27.6" spans="3:17">
      <c r="C18" s="31" t="s">
        <v>6</v>
      </c>
      <c r="D18" s="33">
        <v>76.17</v>
      </c>
      <c r="E18" s="33">
        <v>4700</v>
      </c>
      <c r="F18" s="33"/>
      <c r="G18" s="33"/>
      <c r="H18" s="33"/>
      <c r="I18" s="33"/>
      <c r="J18" s="100"/>
      <c r="K18" s="64"/>
      <c r="L18" s="64"/>
      <c r="M18" s="64"/>
      <c r="N18" s="64"/>
      <c r="O18" s="65">
        <f>SUM(D18:N18)</f>
        <v>4776.17</v>
      </c>
      <c r="P18" s="45"/>
      <c r="Q18" s="45">
        <f>O17+O18-O23-O24</f>
        <v>7004321.17</v>
      </c>
    </row>
    <row r="19" spans="3:15">
      <c r="C19" s="35" t="s">
        <v>16</v>
      </c>
      <c r="D19" s="33"/>
      <c r="E19" s="33"/>
      <c r="F19" s="33"/>
      <c r="G19" s="33"/>
      <c r="H19" s="33"/>
      <c r="I19" s="33"/>
      <c r="J19" s="100"/>
      <c r="K19" s="64"/>
      <c r="L19" s="64"/>
      <c r="M19" s="64"/>
      <c r="N19" s="64"/>
      <c r="O19" s="65">
        <f>SUM(D19:N19)</f>
        <v>0</v>
      </c>
    </row>
    <row r="20" ht="18.75" customHeight="1" spans="3:15">
      <c r="C20" s="31" t="s">
        <v>7</v>
      </c>
      <c r="D20" s="97">
        <v>2246300</v>
      </c>
      <c r="E20" s="98"/>
      <c r="F20" s="97">
        <v>901700</v>
      </c>
      <c r="G20" s="98"/>
      <c r="H20" s="99">
        <f>584400+1078200+785000</f>
        <v>2447600</v>
      </c>
      <c r="I20" s="101">
        <v>254300</v>
      </c>
      <c r="J20" s="97">
        <v>1262000</v>
      </c>
      <c r="K20" s="102"/>
      <c r="L20" s="102"/>
      <c r="M20" s="97">
        <v>530000</v>
      </c>
      <c r="N20" s="102"/>
      <c r="O20" s="65">
        <f>SUM(D20:N20)</f>
        <v>7641900</v>
      </c>
    </row>
    <row r="21" ht="27.6" spans="3:15">
      <c r="C21" s="31" t="s">
        <v>111</v>
      </c>
      <c r="D21" s="33">
        <f>15.23+5938+2500+4013.16+6981.62+8210</f>
        <v>27658.01</v>
      </c>
      <c r="E21" s="33"/>
      <c r="F21" s="33"/>
      <c r="G21" s="33"/>
      <c r="H21" s="33">
        <v>13100</v>
      </c>
      <c r="I21" s="33"/>
      <c r="J21" s="33">
        <v>7999.34</v>
      </c>
      <c r="K21" s="63"/>
      <c r="L21" s="64"/>
      <c r="M21" s="64"/>
      <c r="N21" s="64"/>
      <c r="O21" s="65">
        <f>SUM(D21:N21)</f>
        <v>48757.35</v>
      </c>
    </row>
    <row r="22" spans="3:15">
      <c r="C22" s="31" t="s">
        <v>9</v>
      </c>
      <c r="D22" s="33">
        <v>7216.6</v>
      </c>
      <c r="E22" s="33"/>
      <c r="F22" s="33"/>
      <c r="G22" s="33"/>
      <c r="H22" s="33"/>
      <c r="I22" s="33"/>
      <c r="J22" s="33"/>
      <c r="K22" s="64"/>
      <c r="L22" s="64"/>
      <c r="M22" s="64"/>
      <c r="N22" s="64"/>
      <c r="O22" s="65">
        <f t="shared" ref="O22:O26" si="20">SUM(D22:N22)</f>
        <v>7216.6</v>
      </c>
    </row>
    <row r="23" spans="3:15">
      <c r="C23" s="41" t="s">
        <v>112</v>
      </c>
      <c r="D23" s="33"/>
      <c r="E23" s="33"/>
      <c r="F23" s="33"/>
      <c r="G23" s="33"/>
      <c r="H23" s="33"/>
      <c r="I23" s="33"/>
      <c r="J23" s="33"/>
      <c r="K23" s="64"/>
      <c r="L23" s="64"/>
      <c r="M23" s="64"/>
      <c r="N23" s="64"/>
      <c r="O23" s="65">
        <f t="shared" si="20"/>
        <v>0</v>
      </c>
    </row>
    <row r="24" spans="3:15">
      <c r="C24" s="41" t="s">
        <v>113</v>
      </c>
      <c r="D24" s="33"/>
      <c r="E24" s="33"/>
      <c r="F24" s="33"/>
      <c r="G24" s="33"/>
      <c r="H24" s="33"/>
      <c r="I24" s="33"/>
      <c r="J24" s="33"/>
      <c r="K24" s="64"/>
      <c r="L24" s="64"/>
      <c r="M24" s="64"/>
      <c r="N24" s="64"/>
      <c r="O24" s="65">
        <f t="shared" si="20"/>
        <v>0</v>
      </c>
    </row>
    <row r="25" ht="27.6" spans="3:15">
      <c r="C25" s="31" t="s">
        <v>114</v>
      </c>
      <c r="D25" s="42"/>
      <c r="E25" s="33"/>
      <c r="F25" s="42"/>
      <c r="G25" s="33"/>
      <c r="H25" s="43"/>
      <c r="I25" s="42"/>
      <c r="J25" s="33"/>
      <c r="K25" s="42"/>
      <c r="L25" s="42"/>
      <c r="M25" s="42"/>
      <c r="N25" s="42"/>
      <c r="O25" s="65">
        <f t="shared" si="20"/>
        <v>0</v>
      </c>
    </row>
    <row r="26" spans="3:16">
      <c r="C26" s="35" t="s">
        <v>115</v>
      </c>
      <c r="D26" s="40"/>
      <c r="E26" s="33"/>
      <c r="F26" s="33"/>
      <c r="G26" s="33"/>
      <c r="H26" s="33">
        <v>480000</v>
      </c>
      <c r="I26" s="33"/>
      <c r="J26" s="33">
        <v>100000</v>
      </c>
      <c r="K26" s="64"/>
      <c r="L26" s="64"/>
      <c r="M26" s="64"/>
      <c r="N26" s="64"/>
      <c r="O26" s="65">
        <f t="shared" si="20"/>
        <v>580000</v>
      </c>
      <c r="P26" s="24">
        <f>O17+O18-O20-O21-O22-O25-O26</f>
        <v>-1273552.78</v>
      </c>
    </row>
    <row r="27" spans="3:15">
      <c r="C27" s="44" t="s">
        <v>116</v>
      </c>
      <c r="D27" s="45">
        <f>D17+D18+D19-D20-D21-D22-D23-D24-D25-D26</f>
        <v>-564248.44</v>
      </c>
      <c r="E27" s="45">
        <f t="shared" ref="E27:N27" si="21">E17+E18+E19-E20-E21-E22-E23-E24-E25-E26</f>
        <v>4700</v>
      </c>
      <c r="F27" s="45">
        <f t="shared" si="21"/>
        <v>-186555</v>
      </c>
      <c r="G27" s="45">
        <f t="shared" si="21"/>
        <v>50000</v>
      </c>
      <c r="H27" s="45">
        <f t="shared" si="21"/>
        <v>-883075</v>
      </c>
      <c r="I27" s="45">
        <f t="shared" si="21"/>
        <v>207550</v>
      </c>
      <c r="J27" s="45">
        <f t="shared" si="21"/>
        <v>-73999.34</v>
      </c>
      <c r="K27" s="45">
        <f t="shared" si="21"/>
        <v>0</v>
      </c>
      <c r="L27" s="45">
        <f t="shared" si="21"/>
        <v>0</v>
      </c>
      <c r="M27" s="45">
        <f t="shared" si="21"/>
        <v>0</v>
      </c>
      <c r="N27" s="45">
        <f t="shared" si="21"/>
        <v>172075</v>
      </c>
      <c r="O27" s="45">
        <f t="shared" ref="O27" si="22">O17+O18-O20-O21-O22-O24-O25-O26+O19</f>
        <v>-1273552.78</v>
      </c>
    </row>
    <row r="28" spans="3:15">
      <c r="C28" s="46" t="s">
        <v>117</v>
      </c>
      <c r="D28" s="24">
        <f t="shared" ref="D28:O28" si="23">D3</f>
        <v>733035.46</v>
      </c>
      <c r="E28" s="24">
        <f t="shared" ref="E28:N28" si="24">E3</f>
        <v>14281.36</v>
      </c>
      <c r="F28" s="24">
        <f t="shared" si="24"/>
        <v>314297.74</v>
      </c>
      <c r="G28" s="24">
        <f t="shared" si="24"/>
        <v>9030.43</v>
      </c>
      <c r="H28" s="24">
        <f t="shared" si="24"/>
        <v>891913.88</v>
      </c>
      <c r="I28" s="24">
        <f t="shared" si="24"/>
        <v>201183.08</v>
      </c>
      <c r="J28" s="24">
        <f t="shared" si="24"/>
        <v>213003.48</v>
      </c>
      <c r="K28" s="24">
        <f t="shared" si="24"/>
        <v>11097.11</v>
      </c>
      <c r="L28" s="24">
        <f t="shared" si="24"/>
        <v>5000</v>
      </c>
      <c r="M28" s="24">
        <f t="shared" si="24"/>
        <v>0</v>
      </c>
      <c r="N28" s="24">
        <f t="shared" si="24"/>
        <v>20000</v>
      </c>
      <c r="O28" s="24">
        <f t="shared" si="23"/>
        <v>2412842.54</v>
      </c>
    </row>
    <row r="29" spans="3:15">
      <c r="C29" s="46" t="s">
        <v>118</v>
      </c>
      <c r="D29" s="24">
        <f>D10</f>
        <v>168787.02</v>
      </c>
      <c r="E29" s="24">
        <f t="shared" ref="E29:N29" si="25">E10</f>
        <v>18981.36</v>
      </c>
      <c r="F29" s="24">
        <f t="shared" si="25"/>
        <v>127742.74</v>
      </c>
      <c r="G29" s="24">
        <f t="shared" si="25"/>
        <v>59030.43</v>
      </c>
      <c r="H29" s="24">
        <f t="shared" si="25"/>
        <v>8838.87999999989</v>
      </c>
      <c r="I29" s="24">
        <f t="shared" si="25"/>
        <v>408733.08</v>
      </c>
      <c r="J29" s="24">
        <f t="shared" si="25"/>
        <v>139004.14</v>
      </c>
      <c r="K29" s="24">
        <f t="shared" si="25"/>
        <v>11097.11</v>
      </c>
      <c r="L29" s="24">
        <f t="shared" si="25"/>
        <v>5000</v>
      </c>
      <c r="M29" s="24">
        <f t="shared" si="25"/>
        <v>0</v>
      </c>
      <c r="N29" s="24">
        <f t="shared" si="25"/>
        <v>192075</v>
      </c>
      <c r="O29" s="24">
        <f t="shared" ref="O29" si="26">O10</f>
        <v>1139289.76</v>
      </c>
    </row>
    <row r="30" s="2" customFormat="1" spans="3:15">
      <c r="C30" s="44" t="s">
        <v>119</v>
      </c>
      <c r="D30" s="24">
        <f>D27+D28-D29</f>
        <v>0</v>
      </c>
      <c r="E30" s="24">
        <f t="shared" ref="E30:N30" si="27">E27+E28-E29</f>
        <v>0</v>
      </c>
      <c r="F30" s="24">
        <f t="shared" si="27"/>
        <v>0</v>
      </c>
      <c r="G30" s="24">
        <f t="shared" si="27"/>
        <v>0</v>
      </c>
      <c r="H30" s="24">
        <f t="shared" si="27"/>
        <v>1.16415321826935e-10</v>
      </c>
      <c r="I30" s="24">
        <f t="shared" si="27"/>
        <v>0</v>
      </c>
      <c r="J30" s="24">
        <f t="shared" si="27"/>
        <v>0</v>
      </c>
      <c r="K30" s="24">
        <f t="shared" si="27"/>
        <v>0</v>
      </c>
      <c r="L30" s="24">
        <f t="shared" si="27"/>
        <v>0</v>
      </c>
      <c r="M30" s="24">
        <f t="shared" si="27"/>
        <v>0</v>
      </c>
      <c r="N30" s="24">
        <f t="shared" si="27"/>
        <v>0</v>
      </c>
      <c r="O30" s="24">
        <f t="shared" ref="O30" si="28">O27+O28-O29</f>
        <v>0</v>
      </c>
    </row>
    <row r="32" spans="4:15">
      <c r="D32" s="24">
        <f>D6-SUM(D17:D19)</f>
        <v>0</v>
      </c>
      <c r="E32" s="24">
        <f t="shared" ref="E32:N32" si="29">E6-SUM(E17:E19)</f>
        <v>0</v>
      </c>
      <c r="F32" s="24">
        <f t="shared" si="29"/>
        <v>0</v>
      </c>
      <c r="G32" s="24">
        <f t="shared" si="29"/>
        <v>0</v>
      </c>
      <c r="H32" s="24">
        <f t="shared" si="29"/>
        <v>0</v>
      </c>
      <c r="I32" s="24">
        <f t="shared" si="29"/>
        <v>0</v>
      </c>
      <c r="J32" s="24">
        <f t="shared" si="29"/>
        <v>0</v>
      </c>
      <c r="K32" s="24">
        <f t="shared" si="29"/>
        <v>0</v>
      </c>
      <c r="L32" s="24">
        <f t="shared" si="29"/>
        <v>0</v>
      </c>
      <c r="M32" s="24">
        <f t="shared" si="29"/>
        <v>0</v>
      </c>
      <c r="N32" s="24">
        <f t="shared" si="29"/>
        <v>0</v>
      </c>
      <c r="O32" s="24">
        <f t="shared" ref="O32" si="30">O6-SUM(O17:O19)</f>
        <v>0</v>
      </c>
    </row>
    <row r="33" spans="4:15">
      <c r="D33" s="24">
        <f>D7-SUM(D20:D26)</f>
        <v>0</v>
      </c>
      <c r="E33" s="24">
        <f t="shared" ref="E33:O33" si="31">E7-SUM(E20:E26)</f>
        <v>0</v>
      </c>
      <c r="F33" s="24">
        <f t="shared" si="31"/>
        <v>0</v>
      </c>
      <c r="G33" s="24">
        <f t="shared" si="31"/>
        <v>0</v>
      </c>
      <c r="H33" s="24">
        <f t="shared" si="31"/>
        <v>0</v>
      </c>
      <c r="I33" s="24">
        <f t="shared" si="31"/>
        <v>0</v>
      </c>
      <c r="J33" s="24">
        <f t="shared" si="31"/>
        <v>0</v>
      </c>
      <c r="K33" s="24">
        <f t="shared" si="31"/>
        <v>0</v>
      </c>
      <c r="L33" s="24">
        <f t="shared" si="31"/>
        <v>0</v>
      </c>
      <c r="M33" s="24">
        <f t="shared" si="31"/>
        <v>0</v>
      </c>
      <c r="N33" s="24">
        <f t="shared" ref="N33" si="32">N7-SUM(N20:N26)</f>
        <v>0</v>
      </c>
      <c r="O33" s="24">
        <f t="shared" si="31"/>
        <v>0</v>
      </c>
    </row>
    <row r="34" spans="5:7">
      <c r="E34" s="2"/>
      <c r="F34" s="47"/>
      <c r="G34" s="48"/>
    </row>
    <row r="35" spans="4:7">
      <c r="D35" s="2"/>
      <c r="E35" s="2"/>
      <c r="F35" s="48"/>
      <c r="G35" s="48"/>
    </row>
    <row r="36" spans="4:7">
      <c r="D36" s="82"/>
      <c r="E36" s="50"/>
      <c r="F36" s="24"/>
      <c r="G36" s="48"/>
    </row>
    <row r="37" spans="4:7">
      <c r="D37" s="2"/>
      <c r="E37" s="51"/>
      <c r="F37" s="52"/>
      <c r="G37" s="48"/>
    </row>
    <row r="38" spans="5:7">
      <c r="E38" s="53"/>
      <c r="G38" s="48"/>
    </row>
    <row r="39" spans="7:7">
      <c r="G39" s="48"/>
    </row>
  </sheetData>
  <conditionalFormatting sqref="K17:N17">
    <cfRule type="colorScale" priority="1">
      <colorScale>
        <cfvo type="min"/>
        <cfvo type="max"/>
        <color rgb="FFF8696B"/>
        <color rgb="FFFCFCFF"/>
      </colorScale>
    </cfRule>
  </conditionalFormatting>
  <conditionalFormatting sqref="D8:O10">
    <cfRule type="cellIs" dxfId="1" priority="3" operator="lessThan">
      <formula>0</formula>
    </cfRule>
  </conditionalFormatting>
  <conditionalFormatting sqref="K21:N26 K18:N19"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1" scale="49" orientation="landscape" horizontalDpi="120" verticalDpi="72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C1:W39"/>
  <sheetViews>
    <sheetView zoomScale="70" zoomScaleNormal="70" workbookViewId="0">
      <pane ySplit="3" topLeftCell="B5" activePane="bottomLeft" state="frozen"/>
      <selection/>
      <selection pane="bottomLeft" activeCell="S22" sqref="S22"/>
    </sheetView>
  </sheetViews>
  <sheetFormatPr defaultColWidth="9" defaultRowHeight="14.4"/>
  <cols>
    <col min="3" max="3" width="39.8518518518519" customWidth="1"/>
    <col min="4" max="4" width="14.4259259259259" customWidth="1"/>
    <col min="5" max="5" width="12.4259259259259" customWidth="1"/>
    <col min="6" max="6" width="13.8518518518519" customWidth="1"/>
    <col min="7" max="7" width="13.287037037037" customWidth="1"/>
    <col min="8" max="8" width="15.287037037037" customWidth="1"/>
    <col min="9" max="9" width="13.712962962963" customWidth="1"/>
    <col min="10" max="10" width="14.712962962963" customWidth="1"/>
    <col min="11" max="11" width="12.4259259259259" customWidth="1"/>
    <col min="12" max="12" width="13.8518518518519" customWidth="1"/>
    <col min="13" max="13" width="12.4259259259259" customWidth="1"/>
    <col min="14" max="14" width="13.287037037037" customWidth="1"/>
    <col min="15" max="15" width="19.287037037037" customWidth="1"/>
    <col min="16" max="16" width="15.5740740740741" customWidth="1"/>
    <col min="17" max="17" width="15" customWidth="1"/>
    <col min="18" max="18" width="12.4259259259259" customWidth="1"/>
    <col min="19" max="19" width="20" customWidth="1"/>
    <col min="21" max="21" width="11.287037037037" customWidth="1"/>
    <col min="22" max="22" width="17.8518518518519" customWidth="1"/>
  </cols>
  <sheetData>
    <row r="1" spans="4:15">
      <c r="D1" s="3" t="s">
        <v>56</v>
      </c>
      <c r="E1" s="3" t="s">
        <v>56</v>
      </c>
      <c r="F1" s="3" t="s">
        <v>56</v>
      </c>
      <c r="G1" s="3" t="s">
        <v>56</v>
      </c>
      <c r="H1" s="3" t="s">
        <v>56</v>
      </c>
      <c r="I1" s="3" t="s">
        <v>56</v>
      </c>
      <c r="J1" s="3" t="s">
        <v>56</v>
      </c>
      <c r="K1" s="3" t="s">
        <v>56</v>
      </c>
      <c r="L1" s="3" t="s">
        <v>56</v>
      </c>
      <c r="M1" s="3" t="s">
        <v>56</v>
      </c>
      <c r="N1" s="3" t="s">
        <v>56</v>
      </c>
      <c r="O1" s="3"/>
    </row>
    <row r="2" ht="28.9" customHeight="1" spans="3:15">
      <c r="C2" s="4" t="s">
        <v>87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93</v>
      </c>
      <c r="J2" s="5" t="s">
        <v>94</v>
      </c>
      <c r="K2" s="5" t="s">
        <v>95</v>
      </c>
      <c r="L2" s="5" t="s">
        <v>96</v>
      </c>
      <c r="M2" s="5" t="s">
        <v>97</v>
      </c>
      <c r="N2" s="54" t="s">
        <v>98</v>
      </c>
      <c r="O2" s="5" t="s">
        <v>99</v>
      </c>
    </row>
    <row r="3" ht="22.9" customHeight="1" spans="3:15">
      <c r="C3" s="6" t="s">
        <v>120</v>
      </c>
      <c r="D3" s="7">
        <v>168787.02</v>
      </c>
      <c r="E3" s="7">
        <v>18981.36</v>
      </c>
      <c r="F3" s="7">
        <v>127742.74</v>
      </c>
      <c r="G3" s="7">
        <v>59030.43</v>
      </c>
      <c r="H3" s="7">
        <v>8838.88</v>
      </c>
      <c r="I3" s="7">
        <v>408733.08</v>
      </c>
      <c r="J3" s="7">
        <v>139004.14</v>
      </c>
      <c r="K3" s="7">
        <v>11097.11</v>
      </c>
      <c r="L3" s="7">
        <v>5000</v>
      </c>
      <c r="M3" s="7">
        <v>0</v>
      </c>
      <c r="N3" s="7">
        <v>192075</v>
      </c>
      <c r="O3" s="55">
        <f>SUM(D3:N3)</f>
        <v>1139289.76</v>
      </c>
    </row>
    <row r="4" spans="3:16">
      <c r="C4" s="8" t="s">
        <v>101</v>
      </c>
      <c r="D4" s="9">
        <v>50000</v>
      </c>
      <c r="E4" s="9">
        <v>5000</v>
      </c>
      <c r="F4" s="9">
        <v>5000</v>
      </c>
      <c r="G4" s="9">
        <v>5000</v>
      </c>
      <c r="H4" s="10">
        <v>5000</v>
      </c>
      <c r="I4" s="9">
        <v>5000</v>
      </c>
      <c r="J4" s="9">
        <v>50000</v>
      </c>
      <c r="K4" s="9">
        <v>5000</v>
      </c>
      <c r="L4" s="9">
        <v>5000</v>
      </c>
      <c r="M4" s="9">
        <v>0</v>
      </c>
      <c r="N4" s="9">
        <v>20000</v>
      </c>
      <c r="O4" s="56">
        <f t="shared" ref="O4:O10" si="0">SUM(D4:N4)</f>
        <v>155000</v>
      </c>
      <c r="P4" s="24"/>
    </row>
    <row r="5" spans="3:15">
      <c r="C5" s="11" t="s">
        <v>102</v>
      </c>
      <c r="D5" s="12">
        <f>D3-D4</f>
        <v>118787.02</v>
      </c>
      <c r="E5" s="12">
        <f t="shared" ref="E5:N5" si="1">E3-E4</f>
        <v>13981.36</v>
      </c>
      <c r="F5" s="12">
        <f t="shared" si="1"/>
        <v>122742.74</v>
      </c>
      <c r="G5" s="12">
        <f t="shared" si="1"/>
        <v>54030.43</v>
      </c>
      <c r="H5" s="12">
        <f t="shared" si="1"/>
        <v>3838.88</v>
      </c>
      <c r="I5" s="12">
        <f t="shared" si="1"/>
        <v>403733.08</v>
      </c>
      <c r="J5" s="12">
        <f t="shared" si="1"/>
        <v>89004.14</v>
      </c>
      <c r="K5" s="12">
        <f t="shared" si="1"/>
        <v>6097.11</v>
      </c>
      <c r="L5" s="12">
        <f t="shared" si="1"/>
        <v>0</v>
      </c>
      <c r="M5" s="12">
        <f t="shared" si="1"/>
        <v>0</v>
      </c>
      <c r="N5" s="12">
        <f t="shared" si="1"/>
        <v>172075</v>
      </c>
      <c r="O5" s="57">
        <f t="shared" si="0"/>
        <v>984289.76</v>
      </c>
    </row>
    <row r="6" spans="3:23">
      <c r="C6" s="13" t="s">
        <v>103</v>
      </c>
      <c r="D6" s="14">
        <v>3487525</v>
      </c>
      <c r="E6" s="14">
        <v>6850</v>
      </c>
      <c r="F6" s="14">
        <v>432650</v>
      </c>
      <c r="G6" s="14">
        <v>476400</v>
      </c>
      <c r="H6" s="14">
        <v>3209050</v>
      </c>
      <c r="I6" s="14">
        <v>156006.27</v>
      </c>
      <c r="J6" s="14">
        <v>2204550</v>
      </c>
      <c r="K6" s="14">
        <v>14470</v>
      </c>
      <c r="L6" s="14">
        <v>0</v>
      </c>
      <c r="M6" s="14">
        <v>150000</v>
      </c>
      <c r="N6" s="14">
        <f>108350+471600</f>
        <v>579950</v>
      </c>
      <c r="O6" s="57">
        <f t="shared" si="0"/>
        <v>10717451.27</v>
      </c>
      <c r="P6" s="24">
        <f>O17+O18+O19</f>
        <v>10717451.27</v>
      </c>
      <c r="Q6" s="24">
        <f>O6-P6</f>
        <v>0</v>
      </c>
      <c r="W6" s="88">
        <v>49000</v>
      </c>
    </row>
    <row r="7" spans="3:23">
      <c r="C7" s="13" t="s">
        <v>104</v>
      </c>
      <c r="D7" s="15">
        <v>3410382.61</v>
      </c>
      <c r="E7" s="16">
        <v>17435</v>
      </c>
      <c r="F7" s="16">
        <v>552575.75</v>
      </c>
      <c r="G7" s="16">
        <v>526400</v>
      </c>
      <c r="H7" s="16">
        <v>3209350</v>
      </c>
      <c r="I7" s="16">
        <v>558001.25</v>
      </c>
      <c r="J7" s="16">
        <v>2171163.95</v>
      </c>
      <c r="K7" s="16">
        <v>0</v>
      </c>
      <c r="L7" s="16">
        <v>0</v>
      </c>
      <c r="M7" s="14">
        <v>150000</v>
      </c>
      <c r="N7" s="16">
        <f>172075+471600</f>
        <v>643675</v>
      </c>
      <c r="O7" s="56">
        <f t="shared" si="0"/>
        <v>11238983.56</v>
      </c>
      <c r="P7" s="24">
        <f>O20+O21+O22+O24+O25+O26+O23</f>
        <v>11238983.56</v>
      </c>
      <c r="Q7" s="24">
        <f>O7-P7</f>
        <v>0</v>
      </c>
      <c r="W7">
        <v>51900</v>
      </c>
    </row>
    <row r="8" s="1" customFormat="1" ht="21.6" customHeight="1" spans="3:23">
      <c r="C8" s="17" t="s">
        <v>121</v>
      </c>
      <c r="D8" s="18">
        <f t="shared" ref="D8:N8" si="2">D5+D6-D7</f>
        <v>195929.41</v>
      </c>
      <c r="E8" s="18">
        <f t="shared" si="2"/>
        <v>3396.36</v>
      </c>
      <c r="F8" s="18">
        <f t="shared" si="2"/>
        <v>2816.98999999999</v>
      </c>
      <c r="G8" s="18">
        <f t="shared" si="2"/>
        <v>4030.43000000005</v>
      </c>
      <c r="H8" s="18">
        <f t="shared" si="2"/>
        <v>3538.87999999989</v>
      </c>
      <c r="I8" s="18">
        <f t="shared" si="2"/>
        <v>1738.09999999998</v>
      </c>
      <c r="J8" s="18">
        <f t="shared" si="2"/>
        <v>122390.19</v>
      </c>
      <c r="K8" s="18">
        <f t="shared" si="2"/>
        <v>20567.11</v>
      </c>
      <c r="L8" s="18">
        <f t="shared" si="2"/>
        <v>0</v>
      </c>
      <c r="M8" s="18">
        <f t="shared" si="2"/>
        <v>0</v>
      </c>
      <c r="N8" s="18">
        <f t="shared" si="2"/>
        <v>108350</v>
      </c>
      <c r="O8" s="59">
        <f t="shared" si="0"/>
        <v>462757.47</v>
      </c>
      <c r="Q8" s="60">
        <f>O3-O4+O6-O7</f>
        <v>462757.470000001</v>
      </c>
      <c r="R8" s="60">
        <f>O8-Q8</f>
        <v>-6.98491930961609e-10</v>
      </c>
      <c r="W8" s="1">
        <v>1300</v>
      </c>
    </row>
    <row r="9" s="1" customFormat="1" ht="21.6" customHeight="1" spans="3:18">
      <c r="C9" s="19" t="s">
        <v>106</v>
      </c>
      <c r="D9" s="20">
        <f>D4</f>
        <v>50000</v>
      </c>
      <c r="E9" s="20">
        <f t="shared" ref="E9:J9" si="3">E4</f>
        <v>5000</v>
      </c>
      <c r="F9" s="20">
        <f t="shared" si="3"/>
        <v>5000</v>
      </c>
      <c r="G9" s="20">
        <f t="shared" si="3"/>
        <v>5000</v>
      </c>
      <c r="H9" s="20">
        <f t="shared" si="3"/>
        <v>5000</v>
      </c>
      <c r="I9" s="20">
        <f t="shared" si="3"/>
        <v>5000</v>
      </c>
      <c r="J9" s="20">
        <f t="shared" si="3"/>
        <v>50000</v>
      </c>
      <c r="K9" s="20">
        <f t="shared" ref="K9:N9" si="4">K4</f>
        <v>5000</v>
      </c>
      <c r="L9" s="20">
        <f t="shared" si="4"/>
        <v>5000</v>
      </c>
      <c r="M9" s="20">
        <f t="shared" si="4"/>
        <v>0</v>
      </c>
      <c r="N9" s="20">
        <f t="shared" si="4"/>
        <v>20000</v>
      </c>
      <c r="O9" s="20">
        <f t="shared" si="0"/>
        <v>155000</v>
      </c>
      <c r="Q9" s="60"/>
      <c r="R9" s="60"/>
    </row>
    <row r="10" s="1" customFormat="1" ht="21.6" customHeight="1" spans="3:18">
      <c r="C10" s="21" t="s">
        <v>107</v>
      </c>
      <c r="D10" s="22">
        <f t="shared" ref="D10:N10" si="5">D8+D9</f>
        <v>245929.41</v>
      </c>
      <c r="E10" s="22">
        <f t="shared" si="5"/>
        <v>8396.36</v>
      </c>
      <c r="F10" s="22">
        <f t="shared" si="5"/>
        <v>7816.98999999999</v>
      </c>
      <c r="G10" s="22">
        <f t="shared" si="5"/>
        <v>9030.43000000005</v>
      </c>
      <c r="H10" s="22">
        <f t="shared" si="5"/>
        <v>8538.87999999989</v>
      </c>
      <c r="I10" s="22">
        <f t="shared" si="5"/>
        <v>6738.09999999998</v>
      </c>
      <c r="J10" s="22">
        <f t="shared" si="5"/>
        <v>172390.19</v>
      </c>
      <c r="K10" s="22">
        <f t="shared" si="5"/>
        <v>25567.11</v>
      </c>
      <c r="L10" s="22">
        <f t="shared" si="5"/>
        <v>5000</v>
      </c>
      <c r="M10" s="22">
        <f t="shared" si="5"/>
        <v>0</v>
      </c>
      <c r="N10" s="22">
        <f t="shared" si="5"/>
        <v>128350</v>
      </c>
      <c r="O10" s="22">
        <f t="shared" si="0"/>
        <v>617757.47</v>
      </c>
      <c r="P10" s="60">
        <f>O8+O9</f>
        <v>617757.47</v>
      </c>
      <c r="Q10" s="60">
        <f>O10-P10</f>
        <v>0</v>
      </c>
      <c r="R10" s="60"/>
    </row>
    <row r="11" hidden="1" spans="4:14">
      <c r="D11" s="23">
        <f t="shared" ref="D11:L11" si="6">D8/$O$8</f>
        <v>0.423395455939372</v>
      </c>
      <c r="E11" s="23">
        <f t="shared" si="6"/>
        <v>0.00733939529922661</v>
      </c>
      <c r="F11" s="23">
        <f t="shared" si="6"/>
        <v>0.00608740038275339</v>
      </c>
      <c r="G11" s="23">
        <f t="shared" si="6"/>
        <v>0.00870959468250194</v>
      </c>
      <c r="H11" s="23">
        <f t="shared" si="6"/>
        <v>0.00764737520066373</v>
      </c>
      <c r="I11" s="23">
        <f t="shared" si="6"/>
        <v>0.00375596313982782</v>
      </c>
      <c r="J11" s="23">
        <f t="shared" si="6"/>
        <v>0.264480203852787</v>
      </c>
      <c r="K11" s="23">
        <f t="shared" si="6"/>
        <v>0.0444446850312325</v>
      </c>
      <c r="L11" s="23">
        <f t="shared" si="6"/>
        <v>0</v>
      </c>
      <c r="M11" s="23"/>
      <c r="N11" s="23"/>
    </row>
    <row r="12" hidden="1" spans="7:10">
      <c r="G12" s="24">
        <f>G5+G4</f>
        <v>59030.43</v>
      </c>
      <c r="H12" s="24">
        <f>H5+H4</f>
        <v>8838.88</v>
      </c>
      <c r="I12" s="24">
        <f>I5+I4</f>
        <v>408733.08</v>
      </c>
      <c r="J12" s="24">
        <f>J5+J4</f>
        <v>139004.14</v>
      </c>
    </row>
    <row r="13" spans="3:15">
      <c r="C13" s="25" t="s">
        <v>108</v>
      </c>
      <c r="D13" s="26">
        <v>245929.41</v>
      </c>
      <c r="E13" s="26">
        <v>8396.36</v>
      </c>
      <c r="F13" s="27">
        <v>7816.99</v>
      </c>
      <c r="G13" s="26">
        <v>9030.43</v>
      </c>
      <c r="H13" s="27">
        <v>8538.88</v>
      </c>
      <c r="I13" s="27">
        <v>6738.1</v>
      </c>
      <c r="J13" s="27">
        <v>172390.19</v>
      </c>
      <c r="K13" s="26">
        <v>25567.11</v>
      </c>
      <c r="L13" s="26">
        <v>5000</v>
      </c>
      <c r="M13" s="26">
        <v>0</v>
      </c>
      <c r="N13" s="26">
        <f>108350+20000</f>
        <v>128350</v>
      </c>
      <c r="O13" s="61">
        <f>SUM(D13:N13)</f>
        <v>617757.47</v>
      </c>
    </row>
    <row r="14" spans="3:15">
      <c r="C14" s="28" t="s">
        <v>109</v>
      </c>
      <c r="D14" s="24">
        <f>D10-D13</f>
        <v>0</v>
      </c>
      <c r="E14" s="24">
        <f>E10-E13</f>
        <v>0</v>
      </c>
      <c r="F14" s="24">
        <f>F10-F13</f>
        <v>-9.09494701772928e-12</v>
      </c>
      <c r="G14" s="24">
        <f t="shared" ref="G14:O14" si="7">G10-G13</f>
        <v>5.0931703299284e-11</v>
      </c>
      <c r="H14" s="24">
        <f t="shared" si="7"/>
        <v>-1.10958353616297e-10</v>
      </c>
      <c r="I14" s="24">
        <f t="shared" si="7"/>
        <v>-2.36468622460961e-11</v>
      </c>
      <c r="J14" s="24">
        <f t="shared" si="7"/>
        <v>0</v>
      </c>
      <c r="K14" s="24">
        <f t="shared" si="7"/>
        <v>0</v>
      </c>
      <c r="L14" s="24">
        <f t="shared" si="7"/>
        <v>0</v>
      </c>
      <c r="M14" s="24">
        <f t="shared" si="7"/>
        <v>0</v>
      </c>
      <c r="N14" s="24">
        <f t="shared" si="7"/>
        <v>0</v>
      </c>
      <c r="O14" s="24">
        <f t="shared" si="7"/>
        <v>0</v>
      </c>
    </row>
    <row r="15" spans="5:5">
      <c r="E15" s="24"/>
    </row>
    <row r="16" spans="4:16">
      <c r="D16" s="29"/>
      <c r="E16" s="29"/>
      <c r="F16" s="29"/>
      <c r="G16" s="30"/>
      <c r="H16" s="30"/>
      <c r="I16" s="30"/>
      <c r="J16" s="29"/>
      <c r="K16" s="30"/>
      <c r="L16" s="30"/>
      <c r="M16" s="30"/>
      <c r="N16" s="30"/>
      <c r="O16" s="30"/>
      <c r="P16" s="30"/>
    </row>
    <row r="17" ht="27.6" spans="3:17">
      <c r="C17" s="76" t="s">
        <v>110</v>
      </c>
      <c r="D17" s="77">
        <v>3437525</v>
      </c>
      <c r="E17" s="77"/>
      <c r="F17" s="78">
        <v>422650</v>
      </c>
      <c r="G17" s="77">
        <v>476400</v>
      </c>
      <c r="H17" s="77">
        <v>3209050</v>
      </c>
      <c r="I17" s="83">
        <v>156000</v>
      </c>
      <c r="J17" s="77">
        <v>1840030</v>
      </c>
      <c r="K17" s="84"/>
      <c r="L17" s="85"/>
      <c r="M17" s="85">
        <v>150000</v>
      </c>
      <c r="N17" s="85">
        <v>108350</v>
      </c>
      <c r="O17" s="65">
        <f>SUM(D17:N17)</f>
        <v>9800005</v>
      </c>
      <c r="P17" s="60">
        <f>O17-O24-O23</f>
        <v>9041530</v>
      </c>
      <c r="Q17" s="60">
        <f>O17+O18+O19-O20-O21-O22-O23-O24-O25-O26</f>
        <v>-521532.29</v>
      </c>
    </row>
    <row r="18" ht="27.6" spans="3:17">
      <c r="C18" s="31" t="s">
        <v>6</v>
      </c>
      <c r="D18" s="80">
        <v>50000</v>
      </c>
      <c r="E18" s="77">
        <v>6850</v>
      </c>
      <c r="F18" s="80">
        <v>10000</v>
      </c>
      <c r="G18" s="80"/>
      <c r="H18" s="80"/>
      <c r="I18" s="80">
        <v>6.27</v>
      </c>
      <c r="J18" s="80">
        <v>364520</v>
      </c>
      <c r="K18" s="86">
        <v>14470</v>
      </c>
      <c r="L18" s="87"/>
      <c r="M18" s="86"/>
      <c r="N18" s="86"/>
      <c r="O18" s="65">
        <f>SUM(D18:N18)</f>
        <v>445846.27</v>
      </c>
      <c r="P18" s="45"/>
      <c r="Q18" s="45">
        <f>O17+O18-O23-O24</f>
        <v>9487376.27</v>
      </c>
    </row>
    <row r="19" spans="3:15">
      <c r="C19" s="35" t="s">
        <v>16</v>
      </c>
      <c r="D19" s="33"/>
      <c r="E19" s="33"/>
      <c r="F19" s="33"/>
      <c r="G19" s="33"/>
      <c r="H19" s="33"/>
      <c r="I19" s="33"/>
      <c r="J19" s="33"/>
      <c r="K19" s="64"/>
      <c r="L19" s="64"/>
      <c r="M19" s="64"/>
      <c r="N19" s="63">
        <v>471600</v>
      </c>
      <c r="O19" s="65">
        <f>SUM(D19:N19)</f>
        <v>471600</v>
      </c>
    </row>
    <row r="20" ht="19.5" customHeight="1" spans="3:22">
      <c r="C20" s="31" t="s">
        <v>7</v>
      </c>
      <c r="D20" s="36">
        <v>2926700</v>
      </c>
      <c r="E20" s="37"/>
      <c r="F20" s="36">
        <v>412300</v>
      </c>
      <c r="G20" s="37"/>
      <c r="H20" s="38">
        <f>135900+83600+500000+680000+381050+356000+530000+336800+106000</f>
        <v>3109350</v>
      </c>
      <c r="I20" s="66">
        <f>155000+103000</f>
        <v>258000</v>
      </c>
      <c r="J20" s="36">
        <v>1676750</v>
      </c>
      <c r="K20" s="66"/>
      <c r="L20" s="66"/>
      <c r="M20" s="36">
        <v>150000</v>
      </c>
      <c r="N20" s="66">
        <v>471600</v>
      </c>
      <c r="O20" s="65">
        <f>SUM(D20:N20)</f>
        <v>9004700</v>
      </c>
      <c r="S20" s="24">
        <f>M17+K18+J18+J17+I17+H17+G17+F17+F18+E18+D18+D17+I18</f>
        <v>10137501.27</v>
      </c>
      <c r="V20" s="24">
        <f>P17+O18</f>
        <v>9487376.27</v>
      </c>
    </row>
    <row r="21" ht="27.6" spans="3:22">
      <c r="C21" s="31" t="s">
        <v>122</v>
      </c>
      <c r="D21" s="33">
        <f>93740.13+57242.28+2100+25576.74+45000+5923.46+100</f>
        <v>229682.61</v>
      </c>
      <c r="E21" s="33"/>
      <c r="F21" s="33">
        <v>11772</v>
      </c>
      <c r="G21" s="33"/>
      <c r="H21" s="33">
        <v>100000</v>
      </c>
      <c r="I21" s="33">
        <v>1.25</v>
      </c>
      <c r="J21" s="33">
        <f>12725+80000+63227.78+63225.87+42695.07+115712</f>
        <v>377585.72</v>
      </c>
      <c r="K21" s="63"/>
      <c r="L21" s="64"/>
      <c r="M21" s="64"/>
      <c r="N21" s="64"/>
      <c r="O21" s="65">
        <f>SUM(D21:N21)</f>
        <v>719041.58</v>
      </c>
      <c r="S21" s="91">
        <f>-(D24+E24+G24)</f>
        <v>-586400</v>
      </c>
      <c r="T21" t="s">
        <v>123</v>
      </c>
      <c r="V21" s="45">
        <f>S22</f>
        <v>-6.27</v>
      </c>
    </row>
    <row r="22" spans="3:20">
      <c r="C22" s="31" t="s">
        <v>9</v>
      </c>
      <c r="D22" s="33"/>
      <c r="E22" s="33">
        <v>7435</v>
      </c>
      <c r="F22" s="33">
        <v>8503.75</v>
      </c>
      <c r="G22" s="33"/>
      <c r="H22" s="33"/>
      <c r="I22" s="33"/>
      <c r="J22" s="33">
        <f>8987.6+7840.63</f>
        <v>16828.23</v>
      </c>
      <c r="K22" s="64"/>
      <c r="L22" s="64"/>
      <c r="M22" s="64"/>
      <c r="N22" s="64"/>
      <c r="O22" s="65">
        <f t="shared" ref="O22:O26" si="8">SUM(D22:N22)</f>
        <v>32766.98</v>
      </c>
      <c r="S22" s="48">
        <f>-6.27</f>
        <v>-6.27</v>
      </c>
      <c r="T22" t="s">
        <v>124</v>
      </c>
    </row>
    <row r="23" spans="3:15">
      <c r="C23" s="41" t="s">
        <v>112</v>
      </c>
      <c r="D23" s="33"/>
      <c r="E23" s="33"/>
      <c r="F23" s="33"/>
      <c r="G23" s="33"/>
      <c r="H23" s="33"/>
      <c r="I23" s="33"/>
      <c r="J23" s="33"/>
      <c r="K23" s="64"/>
      <c r="L23" s="64"/>
      <c r="M23" s="64"/>
      <c r="N23" s="64"/>
      <c r="O23" s="65">
        <f t="shared" si="8"/>
        <v>0</v>
      </c>
    </row>
    <row r="24" spans="3:22">
      <c r="C24" s="41" t="s">
        <v>113</v>
      </c>
      <c r="D24" s="33">
        <f>50000</f>
        <v>50000</v>
      </c>
      <c r="E24" s="33">
        <v>10000</v>
      </c>
      <c r="F24" s="33"/>
      <c r="G24" s="33">
        <f>51450+15000+320200+53750+36000+50000</f>
        <v>526400</v>
      </c>
      <c r="H24" s="33"/>
      <c r="I24" s="33"/>
      <c r="J24" s="33"/>
      <c r="K24" s="64"/>
      <c r="L24" s="64"/>
      <c r="M24" s="64"/>
      <c r="N24" s="64">
        <v>172075</v>
      </c>
      <c r="O24" s="65">
        <f t="shared" si="8"/>
        <v>758475</v>
      </c>
      <c r="S24" s="48">
        <v>16600</v>
      </c>
      <c r="T24" t="s">
        <v>40</v>
      </c>
      <c r="V24" s="45">
        <f>S24</f>
        <v>16600</v>
      </c>
    </row>
    <row r="25" ht="27.6" spans="3:15">
      <c r="C25" s="31" t="s">
        <v>114</v>
      </c>
      <c r="D25" s="42">
        <f>29000+175000</f>
        <v>204000</v>
      </c>
      <c r="E25" s="33"/>
      <c r="F25" s="42"/>
      <c r="G25" s="33"/>
      <c r="H25" s="43"/>
      <c r="I25" s="42"/>
      <c r="J25" s="33"/>
      <c r="K25" s="42"/>
      <c r="L25" s="42"/>
      <c r="M25" s="42"/>
      <c r="N25" s="42"/>
      <c r="O25" s="65">
        <f t="shared" si="8"/>
        <v>204000</v>
      </c>
    </row>
    <row r="26" spans="3:22">
      <c r="C26" s="35" t="s">
        <v>115</v>
      </c>
      <c r="D26" s="40"/>
      <c r="E26" s="33"/>
      <c r="F26" s="33">
        <v>120000</v>
      </c>
      <c r="G26" s="33"/>
      <c r="H26" s="33"/>
      <c r="I26" s="33">
        <v>300000</v>
      </c>
      <c r="J26" s="33">
        <f>100000</f>
        <v>100000</v>
      </c>
      <c r="K26" s="64"/>
      <c r="L26" s="64"/>
      <c r="M26" s="64"/>
      <c r="N26" s="64"/>
      <c r="O26" s="65">
        <f t="shared" si="8"/>
        <v>520000</v>
      </c>
      <c r="P26" s="24">
        <f>O17+O18-O20-O21-O22-O25-O26</f>
        <v>-234657.29</v>
      </c>
      <c r="S26" s="48">
        <f>108350</f>
        <v>108350</v>
      </c>
      <c r="T26" t="s">
        <v>125</v>
      </c>
      <c r="V26" s="24">
        <f>SUM(V20:V24)</f>
        <v>9503970</v>
      </c>
    </row>
    <row r="27" spans="3:20">
      <c r="C27" s="44" t="s">
        <v>116</v>
      </c>
      <c r="D27" s="45">
        <f t="shared" ref="D27:O27" si="9">D17+D18+D19-D20-D21-D22-D23-D24-D25-D26</f>
        <v>77142.39</v>
      </c>
      <c r="E27" s="45">
        <f t="shared" si="9"/>
        <v>-10585</v>
      </c>
      <c r="F27" s="45">
        <f t="shared" si="9"/>
        <v>-119925.75</v>
      </c>
      <c r="G27" s="45">
        <f t="shared" si="9"/>
        <v>-50000</v>
      </c>
      <c r="H27" s="45">
        <f t="shared" si="9"/>
        <v>-300</v>
      </c>
      <c r="I27" s="45">
        <f t="shared" si="9"/>
        <v>-401994.98</v>
      </c>
      <c r="J27" s="45">
        <f t="shared" si="9"/>
        <v>33386.05</v>
      </c>
      <c r="K27" s="45">
        <f t="shared" si="9"/>
        <v>14470</v>
      </c>
      <c r="L27" s="45">
        <f t="shared" si="9"/>
        <v>0</v>
      </c>
      <c r="M27" s="45">
        <f t="shared" si="9"/>
        <v>0</v>
      </c>
      <c r="N27" s="45">
        <f t="shared" si="9"/>
        <v>-63725</v>
      </c>
      <c r="O27" s="45">
        <f t="shared" si="9"/>
        <v>-521532.29</v>
      </c>
      <c r="S27" s="48">
        <f>-172075</f>
        <v>-172075</v>
      </c>
      <c r="T27" t="s">
        <v>126</v>
      </c>
    </row>
    <row r="28" spans="3:20">
      <c r="C28" s="46" t="s">
        <v>117</v>
      </c>
      <c r="D28" s="24">
        <f t="shared" ref="D28:O28" si="10">D3</f>
        <v>168787.02</v>
      </c>
      <c r="E28" s="24">
        <f t="shared" si="10"/>
        <v>18981.36</v>
      </c>
      <c r="F28" s="24">
        <f t="shared" si="10"/>
        <v>127742.74</v>
      </c>
      <c r="G28" s="24">
        <f t="shared" si="10"/>
        <v>59030.43</v>
      </c>
      <c r="H28" s="24">
        <f t="shared" si="10"/>
        <v>8838.88</v>
      </c>
      <c r="I28" s="24">
        <f t="shared" si="10"/>
        <v>408733.08</v>
      </c>
      <c r="J28" s="24">
        <f t="shared" si="10"/>
        <v>139004.14</v>
      </c>
      <c r="K28" s="24">
        <f t="shared" si="10"/>
        <v>11097.11</v>
      </c>
      <c r="L28" s="24">
        <f t="shared" si="10"/>
        <v>5000</v>
      </c>
      <c r="M28" s="24">
        <f t="shared" si="10"/>
        <v>0</v>
      </c>
      <c r="N28" s="24">
        <f t="shared" si="10"/>
        <v>192075</v>
      </c>
      <c r="O28" s="24">
        <f t="shared" si="10"/>
        <v>1139289.76</v>
      </c>
      <c r="S28" s="48"/>
      <c r="T28" t="s">
        <v>79</v>
      </c>
    </row>
    <row r="29" spans="3:15">
      <c r="C29" s="46" t="s">
        <v>118</v>
      </c>
      <c r="D29" s="24">
        <f>D10</f>
        <v>245929.41</v>
      </c>
      <c r="E29" s="24">
        <f>E10</f>
        <v>8396.36</v>
      </c>
      <c r="F29" s="24">
        <f t="shared" ref="F29:O29" si="11">F10</f>
        <v>7816.98999999999</v>
      </c>
      <c r="G29" s="24">
        <f t="shared" si="11"/>
        <v>9030.43000000005</v>
      </c>
      <c r="H29" s="24">
        <f t="shared" si="11"/>
        <v>8538.87999999989</v>
      </c>
      <c r="I29" s="24">
        <f t="shared" si="11"/>
        <v>6738.09999999998</v>
      </c>
      <c r="J29" s="24">
        <f t="shared" si="11"/>
        <v>172390.19</v>
      </c>
      <c r="K29" s="24">
        <f t="shared" si="11"/>
        <v>25567.11</v>
      </c>
      <c r="L29" s="24">
        <f t="shared" si="11"/>
        <v>5000</v>
      </c>
      <c r="M29" s="24">
        <f t="shared" si="11"/>
        <v>0</v>
      </c>
      <c r="N29" s="24">
        <f t="shared" si="11"/>
        <v>128350</v>
      </c>
      <c r="O29" s="24">
        <f t="shared" si="11"/>
        <v>617757.47</v>
      </c>
    </row>
    <row r="30" s="2" customFormat="1" spans="3:21">
      <c r="C30" s="44" t="s">
        <v>119</v>
      </c>
      <c r="D30" s="24">
        <f>D27+D28-D29</f>
        <v>0</v>
      </c>
      <c r="E30" s="24">
        <f t="shared" ref="E30:O30" si="12">E27+E28-E29</f>
        <v>0</v>
      </c>
      <c r="F30" s="24">
        <f t="shared" si="12"/>
        <v>1.45519152283669e-11</v>
      </c>
      <c r="G30" s="24">
        <f t="shared" si="12"/>
        <v>-5.0931703299284e-11</v>
      </c>
      <c r="H30" s="24">
        <f t="shared" si="12"/>
        <v>1.10958353616297e-10</v>
      </c>
      <c r="I30" s="24">
        <f t="shared" si="12"/>
        <v>5.82076609134674e-11</v>
      </c>
      <c r="J30" s="24">
        <f t="shared" si="12"/>
        <v>0</v>
      </c>
      <c r="K30" s="24">
        <f t="shared" si="12"/>
        <v>0</v>
      </c>
      <c r="L30" s="24">
        <f t="shared" si="12"/>
        <v>0</v>
      </c>
      <c r="M30" s="24">
        <f t="shared" si="12"/>
        <v>0</v>
      </c>
      <c r="N30" s="24">
        <f t="shared" si="12"/>
        <v>0</v>
      </c>
      <c r="O30" s="24">
        <f t="shared" si="12"/>
        <v>0</v>
      </c>
      <c r="S30" s="24">
        <f>SUM(S20:S28)</f>
        <v>9503970</v>
      </c>
      <c r="T30"/>
      <c r="U30"/>
    </row>
    <row r="31" spans="21:21">
      <c r="U31" s="24">
        <f>S30-S32</f>
        <v>0</v>
      </c>
    </row>
    <row r="32" spans="4:19">
      <c r="D32" s="24">
        <f>D6-SUM(D17:D19)</f>
        <v>0</v>
      </c>
      <c r="E32" s="24">
        <f t="shared" ref="E32:O32" si="13">E6-SUM(E17:E19)</f>
        <v>0</v>
      </c>
      <c r="F32" s="24">
        <f t="shared" si="13"/>
        <v>0</v>
      </c>
      <c r="G32" s="24">
        <f t="shared" si="13"/>
        <v>0</v>
      </c>
      <c r="H32" s="24">
        <f t="shared" si="13"/>
        <v>0</v>
      </c>
      <c r="I32" s="24">
        <f t="shared" si="13"/>
        <v>0</v>
      </c>
      <c r="J32" s="24">
        <f t="shared" si="13"/>
        <v>0</v>
      </c>
      <c r="K32" s="24">
        <f t="shared" si="13"/>
        <v>0</v>
      </c>
      <c r="L32" s="24">
        <f t="shared" si="13"/>
        <v>0</v>
      </c>
      <c r="M32" s="24">
        <f t="shared" si="13"/>
        <v>0</v>
      </c>
      <c r="N32" s="24">
        <f t="shared" si="13"/>
        <v>0</v>
      </c>
      <c r="O32" s="24">
        <f t="shared" si="13"/>
        <v>0</v>
      </c>
      <c r="S32" s="48">
        <v>9503970</v>
      </c>
    </row>
    <row r="33" spans="4:15">
      <c r="D33" s="24">
        <f>D7-SUM(D20:D26)</f>
        <v>0</v>
      </c>
      <c r="E33" s="24">
        <f t="shared" ref="E33:O33" si="14">E7-SUM(E20:E26)</f>
        <v>0</v>
      </c>
      <c r="F33" s="24">
        <f t="shared" si="14"/>
        <v>0</v>
      </c>
      <c r="G33" s="24">
        <f t="shared" si="14"/>
        <v>0</v>
      </c>
      <c r="H33" s="24">
        <f t="shared" si="14"/>
        <v>0</v>
      </c>
      <c r="I33" s="24">
        <f t="shared" si="14"/>
        <v>0</v>
      </c>
      <c r="J33" s="24">
        <f t="shared" si="14"/>
        <v>0</v>
      </c>
      <c r="K33" s="24">
        <f t="shared" si="14"/>
        <v>0</v>
      </c>
      <c r="L33" s="24">
        <f t="shared" si="14"/>
        <v>0</v>
      </c>
      <c r="M33" s="24">
        <f t="shared" si="14"/>
        <v>0</v>
      </c>
      <c r="N33" s="24">
        <f t="shared" si="14"/>
        <v>0</v>
      </c>
      <c r="O33" s="24">
        <f t="shared" si="14"/>
        <v>0</v>
      </c>
    </row>
    <row r="34" spans="5:19">
      <c r="E34" s="2"/>
      <c r="F34" s="47"/>
      <c r="G34" s="48"/>
      <c r="S34" s="24">
        <f>V24+V21</f>
        <v>16593.73</v>
      </c>
    </row>
    <row r="35" spans="4:7">
      <c r="D35" s="2"/>
      <c r="E35" s="2"/>
      <c r="F35" s="48"/>
      <c r="G35" s="48"/>
    </row>
    <row r="36" spans="4:19">
      <c r="D36" s="82"/>
      <c r="E36" s="50"/>
      <c r="F36" s="24"/>
      <c r="G36" s="48"/>
      <c r="S36" s="24">
        <f>S32-S34</f>
        <v>9487376.27</v>
      </c>
    </row>
    <row r="37" spans="4:7">
      <c r="D37" s="2"/>
      <c r="E37" s="51"/>
      <c r="F37" s="52"/>
      <c r="G37" s="48"/>
    </row>
    <row r="38" spans="5:7">
      <c r="E38" s="53"/>
      <c r="G38" s="48"/>
    </row>
    <row r="39" spans="7:7">
      <c r="G39" s="48"/>
    </row>
  </sheetData>
  <conditionalFormatting sqref="K17:L17">
    <cfRule type="colorScale" priority="1">
      <colorScale>
        <cfvo type="min"/>
        <cfvo type="max"/>
        <color rgb="FFF8696B"/>
        <color rgb="FFFCFCFF"/>
      </colorScale>
    </cfRule>
  </conditionalFormatting>
  <conditionalFormatting sqref="D8:O10">
    <cfRule type="cellIs" dxfId="1" priority="3" operator="lessThan">
      <formula>0</formula>
    </cfRule>
  </conditionalFormatting>
  <conditionalFormatting sqref="K18:L18 K19:M19 K21:N26"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1" scale="49" orientation="landscape" horizontalDpi="120" verticalDpi="72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C1:W39"/>
  <sheetViews>
    <sheetView zoomScale="85" zoomScaleNormal="85" topLeftCell="J1" workbookViewId="0">
      <pane ySplit="3" topLeftCell="J4" activePane="bottomLeft" state="frozen"/>
      <selection/>
      <selection pane="bottomLeft" activeCell="V19" sqref="V19"/>
    </sheetView>
  </sheetViews>
  <sheetFormatPr defaultColWidth="9" defaultRowHeight="14.4"/>
  <cols>
    <col min="3" max="3" width="39.8518518518519" customWidth="1"/>
    <col min="4" max="4" width="14.4259259259259" customWidth="1"/>
    <col min="5" max="5" width="12.4259259259259" customWidth="1"/>
    <col min="6" max="6" width="13.8518518518519" customWidth="1"/>
    <col min="7" max="7" width="13.287037037037" customWidth="1"/>
    <col min="8" max="8" width="15.287037037037" customWidth="1"/>
    <col min="9" max="9" width="13.712962962963" customWidth="1"/>
    <col min="10" max="10" width="14.712962962963" customWidth="1"/>
    <col min="11" max="11" width="12.4259259259259" customWidth="1"/>
    <col min="12" max="12" width="13.8518518518519" customWidth="1"/>
    <col min="13" max="13" width="12.4259259259259" customWidth="1"/>
    <col min="14" max="14" width="13.287037037037" customWidth="1"/>
    <col min="15" max="15" width="19.287037037037" customWidth="1"/>
    <col min="16" max="16" width="15.5740740740741" customWidth="1"/>
    <col min="17" max="17" width="15" customWidth="1"/>
    <col min="18" max="18" width="12.4259259259259" customWidth="1"/>
    <col min="19" max="19" width="20" customWidth="1"/>
    <col min="20" max="20" width="9.13888888888889" customWidth="1"/>
    <col min="21" max="21" width="13.4259259259259" customWidth="1"/>
    <col min="22" max="22" width="17.8518518518519" customWidth="1"/>
    <col min="23" max="23" width="34.712962962963" customWidth="1"/>
    <col min="24" max="25" width="9.13888888888889" customWidth="1"/>
  </cols>
  <sheetData>
    <row r="1" spans="4:15">
      <c r="D1" s="3" t="s">
        <v>56</v>
      </c>
      <c r="E1" s="3" t="s">
        <v>56</v>
      </c>
      <c r="F1" s="3" t="s">
        <v>56</v>
      </c>
      <c r="G1" s="3" t="s">
        <v>56</v>
      </c>
      <c r="H1" s="3" t="s">
        <v>56</v>
      </c>
      <c r="I1" s="3" t="s">
        <v>56</v>
      </c>
      <c r="J1" s="3" t="s">
        <v>56</v>
      </c>
      <c r="K1" s="3" t="s">
        <v>56</v>
      </c>
      <c r="L1" s="3" t="s">
        <v>56</v>
      </c>
      <c r="M1" s="3" t="s">
        <v>56</v>
      </c>
      <c r="N1" s="3" t="s">
        <v>56</v>
      </c>
      <c r="O1" s="3"/>
    </row>
    <row r="2" ht="28.9" customHeight="1" spans="3:15">
      <c r="C2" s="4" t="s">
        <v>87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93</v>
      </c>
      <c r="J2" s="5" t="s">
        <v>94</v>
      </c>
      <c r="K2" s="5" t="s">
        <v>95</v>
      </c>
      <c r="L2" s="5" t="s">
        <v>96</v>
      </c>
      <c r="M2" s="5" t="s">
        <v>97</v>
      </c>
      <c r="N2" s="54" t="s">
        <v>98</v>
      </c>
      <c r="O2" s="5" t="s">
        <v>99</v>
      </c>
    </row>
    <row r="3" ht="22.9" customHeight="1" spans="3:15">
      <c r="C3" s="6" t="s">
        <v>127</v>
      </c>
      <c r="D3" s="7">
        <v>245929.41</v>
      </c>
      <c r="E3" s="7">
        <v>8396.36</v>
      </c>
      <c r="F3" s="7">
        <v>7816.99</v>
      </c>
      <c r="G3" s="7">
        <v>9030.43</v>
      </c>
      <c r="H3" s="7">
        <v>8538.88</v>
      </c>
      <c r="I3" s="7">
        <v>6738.1</v>
      </c>
      <c r="J3" s="7">
        <v>172390.19</v>
      </c>
      <c r="K3" s="7">
        <v>25567.11</v>
      </c>
      <c r="L3" s="7">
        <v>5000</v>
      </c>
      <c r="M3" s="7">
        <v>0</v>
      </c>
      <c r="N3" s="7">
        <v>128350</v>
      </c>
      <c r="O3" s="55">
        <f>D3+E3+F3+G3+H3+I3+J3+K3+L3+M3+N3</f>
        <v>617757.47</v>
      </c>
    </row>
    <row r="4" spans="3:16">
      <c r="C4" s="8" t="s">
        <v>101</v>
      </c>
      <c r="D4" s="9">
        <v>50000</v>
      </c>
      <c r="E4" s="9">
        <v>5000</v>
      </c>
      <c r="F4" s="9">
        <v>5000</v>
      </c>
      <c r="G4" s="9">
        <v>5000</v>
      </c>
      <c r="H4" s="10">
        <v>5000</v>
      </c>
      <c r="I4" s="9">
        <v>5000</v>
      </c>
      <c r="J4" s="9">
        <v>50000</v>
      </c>
      <c r="K4" s="9">
        <v>5000</v>
      </c>
      <c r="L4" s="9">
        <v>5000</v>
      </c>
      <c r="M4" s="9">
        <v>0</v>
      </c>
      <c r="N4" s="9">
        <v>20000</v>
      </c>
      <c r="O4" s="56">
        <f t="shared" ref="O4:O10" si="0">SUM(D4:N4)</f>
        <v>155000</v>
      </c>
      <c r="P4" s="24"/>
    </row>
    <row r="5" spans="3:15">
      <c r="C5" s="11" t="s">
        <v>102</v>
      </c>
      <c r="D5" s="12">
        <f>D3-D4</f>
        <v>195929.41</v>
      </c>
      <c r="E5" s="12">
        <f t="shared" ref="E5:N5" si="1">E3-E4</f>
        <v>3396.36</v>
      </c>
      <c r="F5" s="12">
        <f t="shared" si="1"/>
        <v>2816.99</v>
      </c>
      <c r="G5" s="12">
        <f t="shared" si="1"/>
        <v>4030.43</v>
      </c>
      <c r="H5" s="12">
        <f t="shared" si="1"/>
        <v>3538.88</v>
      </c>
      <c r="I5" s="12">
        <f t="shared" si="1"/>
        <v>1738.1</v>
      </c>
      <c r="J5" s="12">
        <f t="shared" si="1"/>
        <v>122390.19</v>
      </c>
      <c r="K5" s="12">
        <f t="shared" si="1"/>
        <v>20567.11</v>
      </c>
      <c r="L5" s="12">
        <f t="shared" si="1"/>
        <v>0</v>
      </c>
      <c r="M5" s="12">
        <f t="shared" si="1"/>
        <v>0</v>
      </c>
      <c r="N5" s="12">
        <f t="shared" si="1"/>
        <v>108350</v>
      </c>
      <c r="O5" s="57">
        <f t="shared" si="0"/>
        <v>462757.47</v>
      </c>
    </row>
    <row r="6" spans="3:23">
      <c r="C6" s="13" t="s">
        <v>103</v>
      </c>
      <c r="D6" s="14">
        <v>2417095</v>
      </c>
      <c r="E6" s="14">
        <v>4000</v>
      </c>
      <c r="F6" s="14">
        <v>500169</v>
      </c>
      <c r="G6" s="14"/>
      <c r="H6" s="14">
        <v>3387615</v>
      </c>
      <c r="I6" s="14">
        <v>359750</v>
      </c>
      <c r="J6" s="14">
        <v>1706631</v>
      </c>
      <c r="K6" s="45">
        <v>1000</v>
      </c>
      <c r="L6" s="14"/>
      <c r="M6" s="14">
        <v>440000</v>
      </c>
      <c r="N6" s="14">
        <v>697550</v>
      </c>
      <c r="O6" s="57">
        <f t="shared" si="0"/>
        <v>9513810</v>
      </c>
      <c r="P6" s="24">
        <f>O17+O18+O19</f>
        <v>9513810</v>
      </c>
      <c r="Q6" s="24">
        <f>O6-P6</f>
        <v>0</v>
      </c>
      <c r="W6" s="88">
        <v>49000</v>
      </c>
    </row>
    <row r="7" spans="3:23">
      <c r="C7" s="13" t="s">
        <v>104</v>
      </c>
      <c r="D7" s="15">
        <v>2583718.65</v>
      </c>
      <c r="E7" s="16"/>
      <c r="F7" s="16">
        <v>500191</v>
      </c>
      <c r="G7" s="16"/>
      <c r="H7" s="16">
        <v>3051625</v>
      </c>
      <c r="I7" s="16">
        <v>359750</v>
      </c>
      <c r="J7" s="16">
        <v>1799376.22</v>
      </c>
      <c r="K7" s="14">
        <v>0</v>
      </c>
      <c r="L7" s="16"/>
      <c r="M7" s="14">
        <v>440000</v>
      </c>
      <c r="N7" s="16">
        <v>754050</v>
      </c>
      <c r="O7" s="56">
        <f t="shared" si="0"/>
        <v>9488710.87</v>
      </c>
      <c r="P7" s="24">
        <f>O20+O21+O22+O24+O25+O26+O23</f>
        <v>9488710.87</v>
      </c>
      <c r="Q7" s="24">
        <f>O7-P7</f>
        <v>0</v>
      </c>
      <c r="W7">
        <v>51900</v>
      </c>
    </row>
    <row r="8" s="1" customFormat="1" ht="21.6" customHeight="1" spans="3:23">
      <c r="C8" s="17" t="s">
        <v>128</v>
      </c>
      <c r="D8" s="18">
        <f t="shared" ref="D8:N8" si="2">D5+D6-D7</f>
        <v>29305.7600000002</v>
      </c>
      <c r="E8" s="18">
        <f t="shared" si="2"/>
        <v>7396.36</v>
      </c>
      <c r="F8" s="18">
        <f t="shared" si="2"/>
        <v>2794.98999999999</v>
      </c>
      <c r="G8" s="18">
        <f t="shared" si="2"/>
        <v>4030.43</v>
      </c>
      <c r="H8" s="18">
        <f t="shared" si="2"/>
        <v>339528.88</v>
      </c>
      <c r="I8" s="18">
        <f t="shared" si="2"/>
        <v>1738.09999999998</v>
      </c>
      <c r="J8" s="18">
        <f t="shared" si="2"/>
        <v>29644.97</v>
      </c>
      <c r="K8" s="18">
        <f t="shared" si="2"/>
        <v>21567.11</v>
      </c>
      <c r="L8" s="18">
        <f t="shared" si="2"/>
        <v>0</v>
      </c>
      <c r="M8" s="18">
        <f t="shared" si="2"/>
        <v>0</v>
      </c>
      <c r="N8" s="18">
        <f t="shared" si="2"/>
        <v>51850</v>
      </c>
      <c r="O8" s="59">
        <f t="shared" si="0"/>
        <v>487856.6</v>
      </c>
      <c r="Q8" s="60">
        <f>O3-O4+O6-O7</f>
        <v>487856.6</v>
      </c>
      <c r="R8" s="60">
        <f>O8-Q8</f>
        <v>0</v>
      </c>
      <c r="W8" s="1">
        <v>1300</v>
      </c>
    </row>
    <row r="9" s="1" customFormat="1" ht="21.6" customHeight="1" spans="3:18">
      <c r="C9" s="19" t="s">
        <v>106</v>
      </c>
      <c r="D9" s="20">
        <f>D4</f>
        <v>50000</v>
      </c>
      <c r="E9" s="20">
        <f t="shared" ref="E9:J9" si="3">E4</f>
        <v>5000</v>
      </c>
      <c r="F9" s="20">
        <f t="shared" si="3"/>
        <v>5000</v>
      </c>
      <c r="G9" s="20">
        <f t="shared" si="3"/>
        <v>5000</v>
      </c>
      <c r="H9" s="20">
        <f t="shared" si="3"/>
        <v>5000</v>
      </c>
      <c r="I9" s="20">
        <f t="shared" si="3"/>
        <v>5000</v>
      </c>
      <c r="J9" s="20">
        <f t="shared" si="3"/>
        <v>50000</v>
      </c>
      <c r="K9" s="20">
        <f t="shared" ref="K9:N9" si="4">K4</f>
        <v>5000</v>
      </c>
      <c r="L9" s="20">
        <f t="shared" si="4"/>
        <v>5000</v>
      </c>
      <c r="M9" s="20">
        <f t="shared" si="4"/>
        <v>0</v>
      </c>
      <c r="N9" s="20">
        <f t="shared" si="4"/>
        <v>20000</v>
      </c>
      <c r="O9" s="20">
        <f t="shared" si="0"/>
        <v>155000</v>
      </c>
      <c r="Q9" s="60"/>
      <c r="R9" s="60"/>
    </row>
    <row r="10" s="1" customFormat="1" ht="21.6" customHeight="1" spans="3:18">
      <c r="C10" s="21" t="s">
        <v>107</v>
      </c>
      <c r="D10" s="22">
        <f t="shared" ref="D10:N10" si="5">D8+D9</f>
        <v>79305.7600000002</v>
      </c>
      <c r="E10" s="22">
        <f t="shared" si="5"/>
        <v>12396.36</v>
      </c>
      <c r="F10" s="22">
        <f t="shared" si="5"/>
        <v>7794.98999999999</v>
      </c>
      <c r="G10" s="22">
        <f t="shared" si="5"/>
        <v>9030.43</v>
      </c>
      <c r="H10" s="22">
        <f t="shared" si="5"/>
        <v>344528.88</v>
      </c>
      <c r="I10" s="22">
        <f t="shared" si="5"/>
        <v>6738.09999999998</v>
      </c>
      <c r="J10" s="22">
        <f t="shared" si="5"/>
        <v>79644.97</v>
      </c>
      <c r="K10" s="22">
        <f t="shared" si="5"/>
        <v>26567.11</v>
      </c>
      <c r="L10" s="22">
        <f t="shared" si="5"/>
        <v>5000</v>
      </c>
      <c r="M10" s="22">
        <f t="shared" si="5"/>
        <v>0</v>
      </c>
      <c r="N10" s="22">
        <f t="shared" si="5"/>
        <v>71850</v>
      </c>
      <c r="O10" s="22">
        <f t="shared" si="0"/>
        <v>642856.6</v>
      </c>
      <c r="P10" s="60">
        <f>O8+O9</f>
        <v>642856.6</v>
      </c>
      <c r="Q10" s="60">
        <f>O10-P10</f>
        <v>0</v>
      </c>
      <c r="R10" s="60"/>
    </row>
    <row r="11" hidden="1" spans="4:14">
      <c r="D11" s="23">
        <f t="shared" ref="D11:L11" si="6">D8/$O$8</f>
        <v>0.0600704387313818</v>
      </c>
      <c r="E11" s="23">
        <f t="shared" si="6"/>
        <v>0.0151609304865405</v>
      </c>
      <c r="F11" s="23">
        <f t="shared" si="6"/>
        <v>0.00572912204118995</v>
      </c>
      <c r="G11" s="23">
        <f t="shared" si="6"/>
        <v>0.00826150553256838</v>
      </c>
      <c r="H11" s="23">
        <f t="shared" si="6"/>
        <v>0.695960411317588</v>
      </c>
      <c r="I11" s="23">
        <f t="shared" si="6"/>
        <v>0.00356272724403027</v>
      </c>
      <c r="J11" s="23">
        <f t="shared" si="6"/>
        <v>0.0607657455080037</v>
      </c>
      <c r="K11" s="23">
        <f t="shared" si="6"/>
        <v>0.0442078881376208</v>
      </c>
      <c r="L11" s="23">
        <f t="shared" si="6"/>
        <v>0</v>
      </c>
      <c r="M11" s="23"/>
      <c r="N11" s="23"/>
    </row>
    <row r="12" hidden="1" spans="7:10">
      <c r="G12" s="24">
        <f>G5+G4</f>
        <v>9030.43</v>
      </c>
      <c r="H12" s="24">
        <f>H5+H4</f>
        <v>8538.88</v>
      </c>
      <c r="I12" s="24">
        <f>I5+I4</f>
        <v>6738.1</v>
      </c>
      <c r="J12" s="24">
        <f>J5+J4</f>
        <v>172390.19</v>
      </c>
    </row>
    <row r="13" spans="3:15">
      <c r="C13" s="25" t="s">
        <v>108</v>
      </c>
      <c r="D13" s="26">
        <v>79305.76</v>
      </c>
      <c r="E13" s="26">
        <v>12396.36</v>
      </c>
      <c r="F13" s="27">
        <v>7794.99</v>
      </c>
      <c r="G13" s="26">
        <v>9030.43</v>
      </c>
      <c r="H13" s="27">
        <v>344528.88</v>
      </c>
      <c r="I13" s="27">
        <v>6738.1</v>
      </c>
      <c r="J13" s="27">
        <v>79644.97</v>
      </c>
      <c r="K13" s="26">
        <v>26567.11</v>
      </c>
      <c r="L13" s="26">
        <v>5000</v>
      </c>
      <c r="M13" s="26"/>
      <c r="N13" s="26">
        <v>71850</v>
      </c>
      <c r="O13" s="61">
        <f>SUM(D13:N13)</f>
        <v>642856.6</v>
      </c>
    </row>
    <row r="14" spans="3:15">
      <c r="C14" s="28" t="s">
        <v>109</v>
      </c>
      <c r="D14" s="24">
        <f>D10-D13</f>
        <v>2.47382558882236e-10</v>
      </c>
      <c r="E14" s="24">
        <f>E10-E13</f>
        <v>0</v>
      </c>
      <c r="F14" s="24">
        <f>F10-F13</f>
        <v>-9.09494701772928e-12</v>
      </c>
      <c r="G14" s="24">
        <f t="shared" ref="G14:O14" si="7">G10-G13</f>
        <v>0</v>
      </c>
      <c r="H14" s="24">
        <f t="shared" si="7"/>
        <v>0</v>
      </c>
      <c r="I14" s="24">
        <f t="shared" si="7"/>
        <v>-2.36468622460961e-11</v>
      </c>
      <c r="J14" s="24">
        <f t="shared" si="7"/>
        <v>0</v>
      </c>
      <c r="K14" s="24">
        <f t="shared" si="7"/>
        <v>0</v>
      </c>
      <c r="L14" s="24">
        <f t="shared" si="7"/>
        <v>0</v>
      </c>
      <c r="M14" s="24">
        <f t="shared" si="7"/>
        <v>0</v>
      </c>
      <c r="N14" s="24">
        <f t="shared" si="7"/>
        <v>0</v>
      </c>
      <c r="O14" s="24">
        <f t="shared" si="7"/>
        <v>0</v>
      </c>
    </row>
    <row r="15" spans="5:5">
      <c r="E15" s="24"/>
    </row>
    <row r="16" spans="4:16">
      <c r="D16" s="29"/>
      <c r="E16" s="29"/>
      <c r="F16" s="29"/>
      <c r="G16" s="30"/>
      <c r="H16" s="30"/>
      <c r="I16" s="30"/>
      <c r="J16" s="29"/>
      <c r="K16" s="30"/>
      <c r="L16" s="30"/>
      <c r="M16" s="30"/>
      <c r="N16" s="30"/>
      <c r="O16" s="30"/>
      <c r="P16" s="30"/>
    </row>
    <row r="17" ht="27.6" spans="3:17">
      <c r="C17" s="76" t="s">
        <v>110</v>
      </c>
      <c r="D17" s="77">
        <f>2307095-6870</f>
        <v>2300225</v>
      </c>
      <c r="E17" s="77"/>
      <c r="F17" s="78">
        <v>498650</v>
      </c>
      <c r="G17" s="77"/>
      <c r="H17" s="77">
        <v>3387615</v>
      </c>
      <c r="I17" s="83">
        <v>359750</v>
      </c>
      <c r="J17" s="77">
        <v>1701650</v>
      </c>
      <c r="K17" s="84"/>
      <c r="L17" s="85"/>
      <c r="M17" s="85">
        <v>440000</v>
      </c>
      <c r="N17" s="85">
        <v>51850</v>
      </c>
      <c r="O17" s="65">
        <f>SUM(D17:N17)</f>
        <v>8739740</v>
      </c>
      <c r="P17" s="60">
        <f>O17-O24-O23</f>
        <v>8431390</v>
      </c>
      <c r="Q17" s="60">
        <f>O17+O18+O19-O20-O21-O22-O23-O24-O25-O26</f>
        <v>25099.1300000001</v>
      </c>
    </row>
    <row r="18" ht="27.6" spans="3:17">
      <c r="C18" s="31" t="s">
        <v>6</v>
      </c>
      <c r="D18" s="79">
        <f>6870+110000</f>
        <v>116870</v>
      </c>
      <c r="E18" s="77">
        <v>4000</v>
      </c>
      <c r="F18" s="80">
        <v>1519</v>
      </c>
      <c r="G18" s="80"/>
      <c r="H18" s="80"/>
      <c r="I18" s="80"/>
      <c r="J18" s="80">
        <v>4981</v>
      </c>
      <c r="K18" s="86">
        <v>1000</v>
      </c>
      <c r="L18" s="87"/>
      <c r="M18" s="86"/>
      <c r="N18" s="86"/>
      <c r="O18" s="65">
        <f>SUM(D18:N18)</f>
        <v>128370</v>
      </c>
      <c r="P18" s="45"/>
      <c r="Q18" s="45">
        <f>O17+O18-O23-O24</f>
        <v>8559760</v>
      </c>
    </row>
    <row r="19" ht="28.8" spans="3:23">
      <c r="C19" s="35" t="s">
        <v>16</v>
      </c>
      <c r="D19" s="33"/>
      <c r="E19" s="33"/>
      <c r="F19" s="33"/>
      <c r="G19" s="33"/>
      <c r="H19" s="33"/>
      <c r="I19" s="33"/>
      <c r="J19" s="33"/>
      <c r="K19" s="64"/>
      <c r="L19" s="64"/>
      <c r="M19" s="64"/>
      <c r="N19" s="63">
        <v>645700</v>
      </c>
      <c r="O19" s="65">
        <f>SUM(D19:N19)</f>
        <v>645700</v>
      </c>
      <c r="V19" s="69" t="s">
        <v>129</v>
      </c>
      <c r="W19" s="70" t="s">
        <v>130</v>
      </c>
    </row>
    <row r="20" ht="19.5" customHeight="1" spans="3:23">
      <c r="C20" s="31" t="s">
        <v>7</v>
      </c>
      <c r="D20" s="36">
        <v>1924450</v>
      </c>
      <c r="E20" s="37"/>
      <c r="F20" s="36">
        <v>468100</v>
      </c>
      <c r="G20" s="37"/>
      <c r="H20" s="77">
        <v>2573800</v>
      </c>
      <c r="I20" s="66">
        <v>359750</v>
      </c>
      <c r="J20" s="36">
        <v>1707400</v>
      </c>
      <c r="K20" s="66"/>
      <c r="L20" s="66"/>
      <c r="M20" s="36">
        <v>440000</v>
      </c>
      <c r="N20" s="66">
        <v>645700</v>
      </c>
      <c r="O20" s="65">
        <f>SUM(D20:N20)</f>
        <v>8119200</v>
      </c>
      <c r="S20" s="24">
        <f>M17+K18+J18+J17+I17+H17+G17+F17+F18+E18+D18+D17+I18</f>
        <v>8816260</v>
      </c>
      <c r="V20" s="89">
        <f>P17</f>
        <v>8431390</v>
      </c>
      <c r="W20" s="90" t="s">
        <v>131</v>
      </c>
    </row>
    <row r="21" ht="27.6" spans="3:23">
      <c r="C21" s="31" t="s">
        <v>122</v>
      </c>
      <c r="D21" s="33">
        <f>43812.38+1116.27+15+8625</f>
        <v>53568.65</v>
      </c>
      <c r="E21" s="33"/>
      <c r="F21" s="33">
        <v>32091</v>
      </c>
      <c r="G21" s="33"/>
      <c r="H21" s="33">
        <v>6225</v>
      </c>
      <c r="I21" s="33"/>
      <c r="J21" s="33">
        <v>82907.3</v>
      </c>
      <c r="K21" s="63"/>
      <c r="L21" s="64"/>
      <c r="M21" s="64"/>
      <c r="N21" s="64"/>
      <c r="O21" s="65">
        <f>SUM(D21:N21)</f>
        <v>174791.95</v>
      </c>
      <c r="S21" s="91">
        <f>-O24+N24</f>
        <v>-200000</v>
      </c>
      <c r="T21" t="s">
        <v>123</v>
      </c>
      <c r="V21" s="92">
        <v>128370</v>
      </c>
      <c r="W21" s="90" t="str">
        <f>C18</f>
        <v>  Other Cash Collections  relating to operating activities (+)</v>
      </c>
    </row>
    <row r="22" spans="3:23">
      <c r="C22" s="31" t="s">
        <v>9</v>
      </c>
      <c r="D22" s="33"/>
      <c r="E22" s="33"/>
      <c r="F22" s="33"/>
      <c r="G22" s="33"/>
      <c r="H22" s="33"/>
      <c r="I22" s="33"/>
      <c r="J22" s="33">
        <v>9068.92</v>
      </c>
      <c r="K22" s="64"/>
      <c r="L22" s="64"/>
      <c r="M22" s="64"/>
      <c r="N22" s="64"/>
      <c r="O22" s="65">
        <f t="shared" ref="O22:O26" si="8">SUM(D22:N22)</f>
        <v>9068.92</v>
      </c>
      <c r="S22" s="48">
        <f>0</f>
        <v>0</v>
      </c>
      <c r="T22" t="s">
        <v>124</v>
      </c>
      <c r="V22" s="90"/>
      <c r="W22" s="90"/>
    </row>
    <row r="23" spans="3:23">
      <c r="C23" s="41" t="s">
        <v>112</v>
      </c>
      <c r="D23" s="33"/>
      <c r="E23" s="33"/>
      <c r="F23" s="33"/>
      <c r="G23" s="33"/>
      <c r="H23" s="33"/>
      <c r="I23" s="33"/>
      <c r="J23" s="33"/>
      <c r="K23" s="64"/>
      <c r="L23" s="64"/>
      <c r="M23" s="64"/>
      <c r="N23" s="64"/>
      <c r="O23" s="65">
        <f t="shared" si="8"/>
        <v>0</v>
      </c>
      <c r="V23" s="92">
        <v>12647</v>
      </c>
      <c r="W23" s="90" t="s">
        <v>132</v>
      </c>
    </row>
    <row r="24" spans="3:23">
      <c r="C24" s="41" t="s">
        <v>113</v>
      </c>
      <c r="D24" s="33">
        <v>200000</v>
      </c>
      <c r="E24" s="33"/>
      <c r="F24" s="33"/>
      <c r="G24" s="33"/>
      <c r="H24" s="33"/>
      <c r="I24" s="33"/>
      <c r="J24" s="33"/>
      <c r="K24" s="64"/>
      <c r="L24" s="64"/>
      <c r="M24" s="64"/>
      <c r="N24" s="64">
        <v>108350</v>
      </c>
      <c r="O24" s="65">
        <f t="shared" si="8"/>
        <v>308350</v>
      </c>
      <c r="S24" s="48">
        <v>3366</v>
      </c>
      <c r="T24" t="s">
        <v>40</v>
      </c>
      <c r="V24" s="92">
        <v>3366</v>
      </c>
      <c r="W24" s="90" t="s">
        <v>133</v>
      </c>
    </row>
    <row r="25" ht="27.6" spans="3:23">
      <c r="C25" s="31" t="s">
        <v>114</v>
      </c>
      <c r="D25" s="81">
        <v>110000</v>
      </c>
      <c r="E25" s="33"/>
      <c r="F25" s="42"/>
      <c r="G25" s="33"/>
      <c r="H25" s="43"/>
      <c r="I25" s="42"/>
      <c r="J25" s="33"/>
      <c r="K25" s="42"/>
      <c r="L25" s="42"/>
      <c r="M25" s="42"/>
      <c r="N25" s="42"/>
      <c r="O25" s="65">
        <f t="shared" si="8"/>
        <v>110000</v>
      </c>
      <c r="V25" s="93">
        <f>V20+V21+V23+V24</f>
        <v>8575773</v>
      </c>
      <c r="W25" s="94" t="s">
        <v>134</v>
      </c>
    </row>
    <row r="26" spans="3:23">
      <c r="C26" s="35" t="s">
        <v>115</v>
      </c>
      <c r="D26" s="40">
        <v>295700</v>
      </c>
      <c r="E26" s="33"/>
      <c r="F26" s="33"/>
      <c r="G26" s="33"/>
      <c r="H26" s="33">
        <v>471600</v>
      </c>
      <c r="I26" s="33"/>
      <c r="J26" s="33"/>
      <c r="K26" s="64"/>
      <c r="L26" s="64"/>
      <c r="M26" s="64"/>
      <c r="N26" s="64"/>
      <c r="O26" s="65">
        <f t="shared" si="8"/>
        <v>767300</v>
      </c>
      <c r="P26" s="24">
        <f>O17+O18-O20-O21-O22-O25-O26</f>
        <v>-312250.87</v>
      </c>
      <c r="S26" s="48">
        <f>N17</f>
        <v>51850</v>
      </c>
      <c r="T26" t="s">
        <v>125</v>
      </c>
      <c r="V26" s="95">
        <v>8575773</v>
      </c>
      <c r="W26" s="90" t="s">
        <v>135</v>
      </c>
    </row>
    <row r="27" spans="3:20">
      <c r="C27" s="44" t="s">
        <v>116</v>
      </c>
      <c r="D27" s="45">
        <f t="shared" ref="D27:O27" si="9">D17+D18+D19-D20-D21-D22-D23-D24-D25-D26</f>
        <v>-166623.65</v>
      </c>
      <c r="E27" s="45">
        <f t="shared" si="9"/>
        <v>4000</v>
      </c>
      <c r="F27" s="45">
        <f t="shared" si="9"/>
        <v>-22</v>
      </c>
      <c r="G27" s="45">
        <f t="shared" si="9"/>
        <v>0</v>
      </c>
      <c r="H27" s="45">
        <f t="shared" si="9"/>
        <v>335990</v>
      </c>
      <c r="I27" s="45">
        <f t="shared" si="9"/>
        <v>0</v>
      </c>
      <c r="J27" s="45">
        <f t="shared" si="9"/>
        <v>-92745.22</v>
      </c>
      <c r="K27" s="45">
        <f t="shared" si="9"/>
        <v>1000</v>
      </c>
      <c r="L27" s="45">
        <f t="shared" si="9"/>
        <v>0</v>
      </c>
      <c r="M27" s="45">
        <f t="shared" si="9"/>
        <v>0</v>
      </c>
      <c r="N27" s="45">
        <f t="shared" si="9"/>
        <v>-56500</v>
      </c>
      <c r="O27" s="45">
        <f t="shared" si="9"/>
        <v>25099.1300000001</v>
      </c>
      <c r="S27" s="48">
        <f>-N24</f>
        <v>-108350</v>
      </c>
      <c r="T27" t="s">
        <v>126</v>
      </c>
    </row>
    <row r="28" spans="3:23">
      <c r="C28" s="46" t="s">
        <v>117</v>
      </c>
      <c r="D28" s="24">
        <f t="shared" ref="D28:O28" si="10">D3</f>
        <v>245929.41</v>
      </c>
      <c r="E28" s="24">
        <f t="shared" si="10"/>
        <v>8396.36</v>
      </c>
      <c r="F28" s="24">
        <f t="shared" si="10"/>
        <v>7816.99</v>
      </c>
      <c r="G28" s="24">
        <f t="shared" si="10"/>
        <v>9030.43</v>
      </c>
      <c r="H28" s="24">
        <f t="shared" si="10"/>
        <v>8538.88</v>
      </c>
      <c r="I28" s="24">
        <f t="shared" si="10"/>
        <v>6738.1</v>
      </c>
      <c r="J28" s="24">
        <f t="shared" si="10"/>
        <v>172390.19</v>
      </c>
      <c r="K28" s="24">
        <f t="shared" si="10"/>
        <v>25567.11</v>
      </c>
      <c r="L28" s="24">
        <f t="shared" si="10"/>
        <v>5000</v>
      </c>
      <c r="M28" s="24">
        <f t="shared" si="10"/>
        <v>0</v>
      </c>
      <c r="N28" s="24">
        <f t="shared" si="10"/>
        <v>128350</v>
      </c>
      <c r="O28" s="24">
        <f t="shared" si="10"/>
        <v>617757.47</v>
      </c>
      <c r="S28" s="48">
        <v>20000</v>
      </c>
      <c r="T28" t="s">
        <v>79</v>
      </c>
      <c r="V28" s="45">
        <f>V25-V26</f>
        <v>0</v>
      </c>
      <c r="W28" t="s">
        <v>119</v>
      </c>
    </row>
    <row r="29" spans="3:15">
      <c r="C29" s="46" t="s">
        <v>118</v>
      </c>
      <c r="D29" s="24">
        <f>D10</f>
        <v>79305.7600000002</v>
      </c>
      <c r="E29" s="24">
        <f>E10</f>
        <v>12396.36</v>
      </c>
      <c r="F29" s="24">
        <f t="shared" ref="F29:O29" si="11">F10</f>
        <v>7794.98999999999</v>
      </c>
      <c r="G29" s="24">
        <f t="shared" si="11"/>
        <v>9030.43</v>
      </c>
      <c r="H29" s="24">
        <f t="shared" si="11"/>
        <v>344528.88</v>
      </c>
      <c r="I29" s="24">
        <f t="shared" si="11"/>
        <v>6738.09999999998</v>
      </c>
      <c r="J29" s="24">
        <f t="shared" si="11"/>
        <v>79644.97</v>
      </c>
      <c r="K29" s="24">
        <f t="shared" si="11"/>
        <v>26567.11</v>
      </c>
      <c r="L29" s="24">
        <f t="shared" si="11"/>
        <v>5000</v>
      </c>
      <c r="M29" s="24">
        <f t="shared" si="11"/>
        <v>0</v>
      </c>
      <c r="N29" s="24">
        <f t="shared" si="11"/>
        <v>71850</v>
      </c>
      <c r="O29" s="24">
        <f t="shared" si="11"/>
        <v>642856.6</v>
      </c>
    </row>
    <row r="30" s="2" customFormat="1" spans="3:21">
      <c r="C30" s="44" t="s">
        <v>119</v>
      </c>
      <c r="D30" s="24">
        <f t="shared" ref="D30:O30" si="12">D27+D28-D29</f>
        <v>-2.61934474110603e-10</v>
      </c>
      <c r="E30" s="24">
        <f t="shared" si="12"/>
        <v>0</v>
      </c>
      <c r="F30" s="24">
        <f t="shared" si="12"/>
        <v>9.09494701772928e-12</v>
      </c>
      <c r="G30" s="24">
        <f t="shared" si="12"/>
        <v>0</v>
      </c>
      <c r="H30" s="24">
        <f t="shared" si="12"/>
        <v>0</v>
      </c>
      <c r="I30" s="24">
        <f t="shared" si="12"/>
        <v>2.36468622460961e-11</v>
      </c>
      <c r="J30" s="24">
        <f t="shared" si="12"/>
        <v>0</v>
      </c>
      <c r="K30" s="24">
        <f t="shared" si="12"/>
        <v>0</v>
      </c>
      <c r="L30" s="24">
        <f t="shared" si="12"/>
        <v>0</v>
      </c>
      <c r="M30" s="24">
        <f t="shared" si="12"/>
        <v>0</v>
      </c>
      <c r="N30" s="24">
        <f t="shared" si="12"/>
        <v>0</v>
      </c>
      <c r="O30" s="24">
        <f t="shared" si="12"/>
        <v>0</v>
      </c>
      <c r="S30" s="24">
        <f>SUM(S20:S28)</f>
        <v>8583126</v>
      </c>
      <c r="T30"/>
      <c r="U30"/>
    </row>
    <row r="31" spans="21:21">
      <c r="U31" s="24">
        <f>S30-S32</f>
        <v>-920844</v>
      </c>
    </row>
    <row r="32" spans="4:19">
      <c r="D32" s="24">
        <f>D6-SUM(D17:D19)</f>
        <v>0</v>
      </c>
      <c r="E32" s="24">
        <f t="shared" ref="E32:O32" si="13">E6-SUM(E17:E19)</f>
        <v>0</v>
      </c>
      <c r="F32" s="24">
        <f t="shared" si="13"/>
        <v>0</v>
      </c>
      <c r="G32" s="24">
        <f t="shared" si="13"/>
        <v>0</v>
      </c>
      <c r="H32" s="24">
        <f t="shared" si="13"/>
        <v>0</v>
      </c>
      <c r="I32" s="24">
        <f t="shared" si="13"/>
        <v>0</v>
      </c>
      <c r="J32" s="24">
        <f t="shared" si="13"/>
        <v>0</v>
      </c>
      <c r="K32" s="24">
        <f t="shared" si="13"/>
        <v>0</v>
      </c>
      <c r="L32" s="24">
        <f t="shared" si="13"/>
        <v>0</v>
      </c>
      <c r="M32" s="24">
        <f t="shared" si="13"/>
        <v>0</v>
      </c>
      <c r="N32" s="24">
        <f t="shared" si="13"/>
        <v>0</v>
      </c>
      <c r="O32" s="24">
        <f t="shared" si="13"/>
        <v>0</v>
      </c>
      <c r="S32" s="48">
        <v>9503970</v>
      </c>
    </row>
    <row r="33" spans="4:15">
      <c r="D33" s="24">
        <f>D7-SUM(D20:D26)</f>
        <v>0</v>
      </c>
      <c r="E33" s="24">
        <f t="shared" ref="E33:O33" si="14">E7-SUM(E20:E26)</f>
        <v>0</v>
      </c>
      <c r="F33" s="24">
        <f t="shared" si="14"/>
        <v>0</v>
      </c>
      <c r="G33" s="24">
        <f t="shared" si="14"/>
        <v>0</v>
      </c>
      <c r="H33" s="24">
        <f t="shared" si="14"/>
        <v>0</v>
      </c>
      <c r="I33" s="24">
        <f t="shared" si="14"/>
        <v>0</v>
      </c>
      <c r="J33" s="24">
        <f t="shared" si="14"/>
        <v>0</v>
      </c>
      <c r="K33" s="24">
        <f t="shared" si="14"/>
        <v>0</v>
      </c>
      <c r="L33" s="24">
        <f t="shared" si="14"/>
        <v>0</v>
      </c>
      <c r="M33" s="24">
        <f t="shared" si="14"/>
        <v>0</v>
      </c>
      <c r="N33" s="24">
        <f t="shared" si="14"/>
        <v>0</v>
      </c>
      <c r="O33" s="24">
        <f t="shared" si="14"/>
        <v>0</v>
      </c>
    </row>
    <row r="34" spans="5:19">
      <c r="E34" s="2"/>
      <c r="F34" s="47"/>
      <c r="G34" s="48"/>
      <c r="S34" s="24">
        <f>V24+V21</f>
        <v>131736</v>
      </c>
    </row>
    <row r="35" spans="4:7">
      <c r="D35" s="2"/>
      <c r="E35" s="2"/>
      <c r="F35" s="48"/>
      <c r="G35" s="48"/>
    </row>
    <row r="36" spans="4:19">
      <c r="D36" s="82"/>
      <c r="E36" s="50"/>
      <c r="F36" s="24"/>
      <c r="G36" s="48"/>
      <c r="S36" s="24">
        <f>S32-S34</f>
        <v>9372234</v>
      </c>
    </row>
    <row r="37" spans="4:7">
      <c r="D37" s="2"/>
      <c r="E37" s="51"/>
      <c r="F37" s="52"/>
      <c r="G37" s="48"/>
    </row>
    <row r="38" spans="5:7">
      <c r="E38" s="53"/>
      <c r="G38" s="48"/>
    </row>
    <row r="39" spans="7:7">
      <c r="G39" s="48"/>
    </row>
  </sheetData>
  <conditionalFormatting sqref="K17:L17">
    <cfRule type="colorScale" priority="2">
      <colorScale>
        <cfvo type="min"/>
        <cfvo type="max"/>
        <color rgb="FFF8696B"/>
        <color rgb="FFFCFCFF"/>
      </colorScale>
    </cfRule>
  </conditionalFormatting>
  <conditionalFormatting sqref="D30:O30">
    <cfRule type="cellIs" dxfId="1" priority="1" operator="lessThan">
      <formula>0</formula>
    </cfRule>
  </conditionalFormatting>
  <conditionalFormatting sqref="D8:O10">
    <cfRule type="cellIs" dxfId="1" priority="4" operator="lessThan">
      <formula>0</formula>
    </cfRule>
  </conditionalFormatting>
  <conditionalFormatting sqref="K18:L18 K19:M19 K21:N26">
    <cfRule type="colorScale" priority="3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1" scale="49" orientation="landscape" horizontalDpi="120" verticalDpi="72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C1:X40"/>
  <sheetViews>
    <sheetView tabSelected="1" zoomScale="70" zoomScaleNormal="70" workbookViewId="0">
      <pane ySplit="3" topLeftCell="A4" activePane="bottomLeft" state="frozen"/>
      <selection/>
      <selection pane="bottomLeft" activeCell="C10" sqref="C10"/>
    </sheetView>
  </sheetViews>
  <sheetFormatPr defaultColWidth="9" defaultRowHeight="14.4"/>
  <cols>
    <col min="3" max="3" width="39.8518518518519" customWidth="1"/>
    <col min="4" max="4" width="14.5740740740741" customWidth="1"/>
    <col min="5" max="5" width="12.4259259259259" customWidth="1"/>
    <col min="6" max="7" width="13.287037037037" customWidth="1"/>
    <col min="8" max="8" width="15.287037037037" customWidth="1"/>
    <col min="9" max="9" width="13.712962962963" customWidth="1"/>
    <col min="10" max="10" width="14.712962962963" customWidth="1"/>
    <col min="11" max="11" width="12.4259259259259" customWidth="1"/>
    <col min="12" max="12" width="13.8518518518519" customWidth="1"/>
    <col min="13" max="13" width="12.4259259259259" customWidth="1"/>
    <col min="14" max="14" width="13.287037037037" customWidth="1"/>
    <col min="15" max="15" width="19.287037037037" customWidth="1"/>
    <col min="16" max="16" width="15.5740740740741" customWidth="1"/>
    <col min="17" max="17" width="15" customWidth="1"/>
    <col min="18" max="18" width="12.4259259259259" customWidth="1"/>
    <col min="20" max="20" width="16.712962962963" customWidth="1"/>
    <col min="22" max="22" width="14.5740740740741" customWidth="1"/>
    <col min="24" max="24" width="34.712962962963" customWidth="1"/>
  </cols>
  <sheetData>
    <row r="1" spans="4:15">
      <c r="D1" s="3" t="s">
        <v>56</v>
      </c>
      <c r="E1" s="3" t="s">
        <v>56</v>
      </c>
      <c r="F1" s="3" t="s">
        <v>56</v>
      </c>
      <c r="G1" s="3" t="s">
        <v>56</v>
      </c>
      <c r="H1" s="3" t="s">
        <v>56</v>
      </c>
      <c r="I1" s="3" t="s">
        <v>56</v>
      </c>
      <c r="J1" s="3" t="s">
        <v>56</v>
      </c>
      <c r="K1" s="3" t="s">
        <v>56</v>
      </c>
      <c r="L1" s="3" t="s">
        <v>56</v>
      </c>
      <c r="M1" s="3" t="s">
        <v>56</v>
      </c>
      <c r="N1" s="3" t="s">
        <v>56</v>
      </c>
      <c r="O1" s="3"/>
    </row>
    <row r="2" ht="28.9" customHeight="1" spans="3:15">
      <c r="C2" s="4" t="s">
        <v>87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93</v>
      </c>
      <c r="J2" s="5" t="s">
        <v>94</v>
      </c>
      <c r="K2" s="5" t="s">
        <v>95</v>
      </c>
      <c r="L2" s="5" t="s">
        <v>96</v>
      </c>
      <c r="M2" s="5" t="s">
        <v>97</v>
      </c>
      <c r="N2" s="54" t="s">
        <v>98</v>
      </c>
      <c r="O2" s="5" t="s">
        <v>99</v>
      </c>
    </row>
    <row r="3" ht="22.9" customHeight="1" spans="3:15">
      <c r="C3" s="6" t="s">
        <v>136</v>
      </c>
      <c r="D3" s="7">
        <v>79305.76</v>
      </c>
      <c r="E3" s="7">
        <v>12396.36</v>
      </c>
      <c r="F3" s="7">
        <v>7794.99</v>
      </c>
      <c r="G3" s="7">
        <v>9030.43</v>
      </c>
      <c r="H3" s="7">
        <v>344528.88</v>
      </c>
      <c r="I3" s="7">
        <v>6738.1</v>
      </c>
      <c r="J3" s="7">
        <v>79644.97</v>
      </c>
      <c r="K3" s="7">
        <v>26567.11</v>
      </c>
      <c r="L3" s="7">
        <v>5000</v>
      </c>
      <c r="M3" s="7"/>
      <c r="N3" s="7">
        <v>71850</v>
      </c>
      <c r="O3" s="55">
        <f>SUM(D3:N3)</f>
        <v>642856.6</v>
      </c>
    </row>
    <row r="4" spans="3:16">
      <c r="C4" s="8" t="s">
        <v>101</v>
      </c>
      <c r="D4" s="9">
        <v>50000</v>
      </c>
      <c r="E4" s="9">
        <v>5000</v>
      </c>
      <c r="F4" s="9">
        <v>5000</v>
      </c>
      <c r="G4" s="9">
        <v>5000</v>
      </c>
      <c r="H4" s="10">
        <v>5000</v>
      </c>
      <c r="I4" s="9">
        <v>5000</v>
      </c>
      <c r="J4" s="9">
        <v>50000</v>
      </c>
      <c r="K4" s="9">
        <v>5000</v>
      </c>
      <c r="L4" s="9">
        <v>5000</v>
      </c>
      <c r="M4" s="9">
        <v>0</v>
      </c>
      <c r="N4" s="9">
        <v>20000</v>
      </c>
      <c r="O4" s="56">
        <f t="shared" ref="O4:O10" si="0">SUM(D4:N4)</f>
        <v>155000</v>
      </c>
      <c r="P4" s="24"/>
    </row>
    <row r="5" spans="3:15">
      <c r="C5" s="11" t="s">
        <v>102</v>
      </c>
      <c r="D5" s="12">
        <f>D3-D4</f>
        <v>29305.76</v>
      </c>
      <c r="E5" s="12">
        <f t="shared" ref="E5:N5" si="1">E3-E4</f>
        <v>7396.36</v>
      </c>
      <c r="F5" s="12">
        <f t="shared" si="1"/>
        <v>2794.99</v>
      </c>
      <c r="G5" s="12">
        <f t="shared" si="1"/>
        <v>4030.43</v>
      </c>
      <c r="H5" s="12">
        <f t="shared" si="1"/>
        <v>339528.88</v>
      </c>
      <c r="I5" s="12">
        <f t="shared" si="1"/>
        <v>1738.1</v>
      </c>
      <c r="J5" s="12">
        <f t="shared" si="1"/>
        <v>29644.97</v>
      </c>
      <c r="K5" s="12">
        <f t="shared" si="1"/>
        <v>21567.11</v>
      </c>
      <c r="L5" s="12">
        <f t="shared" si="1"/>
        <v>0</v>
      </c>
      <c r="M5" s="12">
        <f t="shared" si="1"/>
        <v>0</v>
      </c>
      <c r="N5" s="12">
        <f t="shared" si="1"/>
        <v>51850</v>
      </c>
      <c r="O5" s="57">
        <f t="shared" si="0"/>
        <v>487856.6</v>
      </c>
    </row>
    <row r="6" spans="3:17">
      <c r="C6" s="13" t="s">
        <v>103</v>
      </c>
      <c r="D6" s="14">
        <v>2698215.88</v>
      </c>
      <c r="E6" s="14">
        <v>9707</v>
      </c>
      <c r="F6" s="14">
        <v>340456</v>
      </c>
      <c r="G6" s="14">
        <v>133350</v>
      </c>
      <c r="H6" s="14">
        <v>3729556</v>
      </c>
      <c r="I6" s="14">
        <v>274944</v>
      </c>
      <c r="J6" s="14">
        <v>2660350</v>
      </c>
      <c r="K6" s="14"/>
      <c r="L6" s="14"/>
      <c r="M6" s="14">
        <v>440000</v>
      </c>
      <c r="N6" s="14">
        <v>2203900</v>
      </c>
      <c r="O6" s="57">
        <f t="shared" si="0"/>
        <v>12490478.88</v>
      </c>
      <c r="P6" s="24">
        <f>O17+O18+O19</f>
        <v>12490478.88</v>
      </c>
      <c r="Q6" s="24">
        <f>O6-P6</f>
        <v>0</v>
      </c>
    </row>
    <row r="7" spans="3:17">
      <c r="C7" s="13" t="s">
        <v>104</v>
      </c>
      <c r="D7" s="15">
        <v>2588218.95</v>
      </c>
      <c r="E7" s="16"/>
      <c r="F7" s="16">
        <v>340425</v>
      </c>
      <c r="G7" s="16">
        <v>92350</v>
      </c>
      <c r="H7" s="16">
        <v>3662550</v>
      </c>
      <c r="I7" s="16">
        <v>274875</v>
      </c>
      <c r="J7" s="15">
        <v>2536718.6</v>
      </c>
      <c r="K7" s="16"/>
      <c r="L7" s="16"/>
      <c r="M7" s="14">
        <v>440000</v>
      </c>
      <c r="N7" s="16">
        <v>2151800</v>
      </c>
      <c r="O7" s="56">
        <f t="shared" si="0"/>
        <v>12086937.55</v>
      </c>
      <c r="P7" s="24">
        <f>O20+O21+O23+O25+O26+O27+O24</f>
        <v>12083897.55</v>
      </c>
      <c r="Q7" s="24">
        <f>O7-P7</f>
        <v>3040</v>
      </c>
    </row>
    <row r="8" s="1" customFormat="1" ht="21.6" customHeight="1" spans="3:18">
      <c r="C8" s="17" t="s">
        <v>137</v>
      </c>
      <c r="D8" s="18">
        <f t="shared" ref="D8:N8" si="2">D5+D6-D7</f>
        <v>139302.689999999</v>
      </c>
      <c r="E8" s="18">
        <f t="shared" si="2"/>
        <v>17103.36</v>
      </c>
      <c r="F8" s="18">
        <f t="shared" si="2"/>
        <v>2825.98999999999</v>
      </c>
      <c r="G8" s="18">
        <f t="shared" si="2"/>
        <v>45030.43</v>
      </c>
      <c r="H8" s="18">
        <f t="shared" si="2"/>
        <v>406534.88</v>
      </c>
      <c r="I8" s="18">
        <f t="shared" si="2"/>
        <v>1807.09999999998</v>
      </c>
      <c r="J8" s="18">
        <f t="shared" si="2"/>
        <v>153276.37</v>
      </c>
      <c r="K8" s="18">
        <f t="shared" si="2"/>
        <v>21567.11</v>
      </c>
      <c r="L8" s="18">
        <f t="shared" si="2"/>
        <v>0</v>
      </c>
      <c r="M8" s="18">
        <f t="shared" si="2"/>
        <v>0</v>
      </c>
      <c r="N8" s="18">
        <f t="shared" si="2"/>
        <v>103950</v>
      </c>
      <c r="O8" s="59">
        <f t="shared" si="0"/>
        <v>891397.929999999</v>
      </c>
      <c r="Q8" s="60">
        <f>O3-O4+O6-O7</f>
        <v>891397.929999998</v>
      </c>
      <c r="R8" s="60">
        <f>O8-Q8</f>
        <v>1.62981450557709e-9</v>
      </c>
    </row>
    <row r="9" s="1" customFormat="1" ht="21.6" customHeight="1" spans="3:18">
      <c r="C9" s="19" t="s">
        <v>106</v>
      </c>
      <c r="D9" s="20">
        <f>D4</f>
        <v>50000</v>
      </c>
      <c r="E9" s="20">
        <f t="shared" ref="E9:J9" si="3">E4</f>
        <v>5000</v>
      </c>
      <c r="F9" s="20">
        <f t="shared" si="3"/>
        <v>5000</v>
      </c>
      <c r="G9" s="20">
        <f t="shared" si="3"/>
        <v>5000</v>
      </c>
      <c r="H9" s="20">
        <f t="shared" si="3"/>
        <v>5000</v>
      </c>
      <c r="I9" s="20">
        <f t="shared" si="3"/>
        <v>5000</v>
      </c>
      <c r="J9" s="20">
        <f t="shared" si="3"/>
        <v>50000</v>
      </c>
      <c r="K9" s="20">
        <f t="shared" ref="K9:N9" si="4">K4</f>
        <v>5000</v>
      </c>
      <c r="L9" s="20">
        <f t="shared" si="4"/>
        <v>5000</v>
      </c>
      <c r="M9" s="20">
        <f t="shared" si="4"/>
        <v>0</v>
      </c>
      <c r="N9" s="20">
        <f t="shared" si="4"/>
        <v>20000</v>
      </c>
      <c r="O9" s="20">
        <f t="shared" si="0"/>
        <v>155000</v>
      </c>
      <c r="Q9" s="60"/>
      <c r="R9" s="60"/>
    </row>
    <row r="10" s="1" customFormat="1" ht="21.6" customHeight="1" spans="3:18">
      <c r="C10" s="21" t="s">
        <v>107</v>
      </c>
      <c r="D10" s="22">
        <f t="shared" ref="D10:N10" si="5">D8+D9</f>
        <v>189302.689999999</v>
      </c>
      <c r="E10" s="22">
        <f t="shared" si="5"/>
        <v>22103.36</v>
      </c>
      <c r="F10" s="22">
        <f t="shared" si="5"/>
        <v>7825.98999999999</v>
      </c>
      <c r="G10" s="22">
        <f t="shared" si="5"/>
        <v>50030.43</v>
      </c>
      <c r="H10" s="22">
        <f t="shared" si="5"/>
        <v>411534.88</v>
      </c>
      <c r="I10" s="22">
        <f t="shared" si="5"/>
        <v>6807.09999999998</v>
      </c>
      <c r="J10" s="22">
        <f t="shared" si="5"/>
        <v>203276.37</v>
      </c>
      <c r="K10" s="22">
        <f t="shared" si="5"/>
        <v>26567.11</v>
      </c>
      <c r="L10" s="22">
        <f t="shared" si="5"/>
        <v>5000</v>
      </c>
      <c r="M10" s="22">
        <f t="shared" si="5"/>
        <v>0</v>
      </c>
      <c r="N10" s="22">
        <f t="shared" si="5"/>
        <v>123950</v>
      </c>
      <c r="O10" s="22">
        <f t="shared" si="0"/>
        <v>1046397.93</v>
      </c>
      <c r="P10" s="60">
        <f>O8+O9</f>
        <v>1046397.93</v>
      </c>
      <c r="Q10" s="60">
        <f>O10-P10</f>
        <v>0</v>
      </c>
      <c r="R10" s="60"/>
    </row>
    <row r="11" hidden="1" spans="4:14">
      <c r="D11" s="23">
        <f t="shared" ref="D11:L11" si="6">D8/$O$8</f>
        <v>0.156274414951804</v>
      </c>
      <c r="E11" s="23">
        <f t="shared" si="6"/>
        <v>0.0191871210649996</v>
      </c>
      <c r="F11" s="23">
        <f t="shared" si="6"/>
        <v>0.00317029006338392</v>
      </c>
      <c r="G11" s="23">
        <f t="shared" si="6"/>
        <v>0.0505166418773263</v>
      </c>
      <c r="H11" s="23">
        <f t="shared" si="6"/>
        <v>0.456064420073311</v>
      </c>
      <c r="I11" s="23">
        <f t="shared" si="6"/>
        <v>0.00202726519681281</v>
      </c>
      <c r="J11" s="23">
        <f t="shared" si="6"/>
        <v>0.171950556358147</v>
      </c>
      <c r="K11" s="23">
        <f t="shared" si="6"/>
        <v>0.0241947050516485</v>
      </c>
      <c r="L11" s="23">
        <f t="shared" si="6"/>
        <v>0</v>
      </c>
      <c r="M11" s="23"/>
      <c r="N11" s="23"/>
    </row>
    <row r="12" hidden="1" spans="7:10">
      <c r="G12" s="24">
        <f>G5+G4</f>
        <v>9030.43</v>
      </c>
      <c r="H12" s="24">
        <f>H5+H4</f>
        <v>344528.88</v>
      </c>
      <c r="I12" s="24">
        <f>I5+I4</f>
        <v>6738.1</v>
      </c>
      <c r="J12" s="24">
        <f>J5+J4</f>
        <v>79644.97</v>
      </c>
    </row>
    <row r="13" spans="3:15">
      <c r="C13" s="25" t="s">
        <v>108</v>
      </c>
      <c r="D13" s="26">
        <v>189302.69</v>
      </c>
      <c r="E13" s="26">
        <v>22103.36</v>
      </c>
      <c r="F13" s="27">
        <v>7825.99</v>
      </c>
      <c r="G13" s="26">
        <v>50030.43</v>
      </c>
      <c r="H13" s="27">
        <v>411534.88</v>
      </c>
      <c r="I13" s="27">
        <v>6807.1</v>
      </c>
      <c r="J13" s="27">
        <v>203276.37</v>
      </c>
      <c r="K13" s="26">
        <v>26567.11</v>
      </c>
      <c r="L13" s="26">
        <v>5000</v>
      </c>
      <c r="M13" s="26"/>
      <c r="N13" s="26">
        <v>123950</v>
      </c>
      <c r="O13" s="61">
        <v>1046397.93</v>
      </c>
    </row>
    <row r="14" spans="3:15">
      <c r="C14" s="28" t="s">
        <v>109</v>
      </c>
      <c r="D14" s="24">
        <f>D10-D13</f>
        <v>-5.23868948221207e-10</v>
      </c>
      <c r="E14" s="24">
        <f t="shared" ref="E14:O14" si="7">E10-E13</f>
        <v>0</v>
      </c>
      <c r="F14" s="24">
        <f t="shared" si="7"/>
        <v>-9.09494701772928e-12</v>
      </c>
      <c r="G14" s="24">
        <f t="shared" si="7"/>
        <v>0</v>
      </c>
      <c r="H14" s="24">
        <f t="shared" si="7"/>
        <v>0</v>
      </c>
      <c r="I14" s="24">
        <f t="shared" si="7"/>
        <v>-2.36468622460961e-11</v>
      </c>
      <c r="J14" s="24">
        <f t="shared" si="7"/>
        <v>0</v>
      </c>
      <c r="K14" s="24">
        <f t="shared" si="7"/>
        <v>0</v>
      </c>
      <c r="L14" s="24">
        <f t="shared" si="7"/>
        <v>0</v>
      </c>
      <c r="M14" s="24">
        <f t="shared" si="7"/>
        <v>0</v>
      </c>
      <c r="N14" s="24">
        <f t="shared" si="7"/>
        <v>0</v>
      </c>
      <c r="O14" s="24">
        <f t="shared" si="7"/>
        <v>0</v>
      </c>
    </row>
    <row r="15" spans="5:5">
      <c r="E15" s="24"/>
    </row>
    <row r="16" spans="4:16">
      <c r="D16" s="29"/>
      <c r="E16" s="29"/>
      <c r="F16" s="29"/>
      <c r="G16" s="30"/>
      <c r="H16" s="30"/>
      <c r="I16" s="30"/>
      <c r="J16" s="29"/>
      <c r="K16" s="30"/>
      <c r="L16" s="30"/>
      <c r="M16" s="30"/>
      <c r="N16" s="30"/>
      <c r="O16" s="30"/>
      <c r="P16" s="30"/>
    </row>
    <row r="17" ht="27.6" spans="3:17">
      <c r="C17" s="31" t="s">
        <v>110</v>
      </c>
      <c r="D17" s="34">
        <f>2698215.88-17865.88</f>
        <v>2680350</v>
      </c>
      <c r="E17" s="33"/>
      <c r="F17" s="33">
        <f>299456+41000-1031</f>
        <v>339425</v>
      </c>
      <c r="G17" s="33">
        <v>133350</v>
      </c>
      <c r="H17" s="34">
        <f>3709556-2350+20000</f>
        <v>3727206</v>
      </c>
      <c r="I17" s="33">
        <v>274944</v>
      </c>
      <c r="J17" s="32">
        <f>1921750+51750+51350+85000+500000+20000</f>
        <v>2629850</v>
      </c>
      <c r="K17" s="63"/>
      <c r="L17" s="64"/>
      <c r="M17" s="63">
        <v>440000</v>
      </c>
      <c r="N17" s="63">
        <v>103900</v>
      </c>
      <c r="O17" s="65">
        <f>SUM(D17:N17)</f>
        <v>10329025</v>
      </c>
      <c r="P17" s="60">
        <f>O17-O25-O24</f>
        <v>9528125</v>
      </c>
      <c r="Q17" s="60">
        <f>O17+O18+O19-O20-O21-O23-O24-O25-O26-O27</f>
        <v>406581.330000001</v>
      </c>
    </row>
    <row r="18" ht="27.6" spans="3:20">
      <c r="C18" s="31" t="s">
        <v>6</v>
      </c>
      <c r="D18" s="33">
        <v>17865.88</v>
      </c>
      <c r="E18" s="33">
        <v>9707</v>
      </c>
      <c r="F18" s="33">
        <v>1031</v>
      </c>
      <c r="G18" s="33"/>
      <c r="H18" s="33">
        <v>2350</v>
      </c>
      <c r="I18" s="33"/>
      <c r="J18" s="33">
        <v>30500</v>
      </c>
      <c r="K18" s="63"/>
      <c r="L18" s="64"/>
      <c r="M18" s="63"/>
      <c r="N18" s="63"/>
      <c r="O18" s="65">
        <f>SUM(D18:N18)</f>
        <v>61453.88</v>
      </c>
      <c r="P18" s="45"/>
      <c r="Q18" s="45">
        <f>O17+O18-O24-O25</f>
        <v>9589578.88</v>
      </c>
      <c r="T18" s="45"/>
    </row>
    <row r="19" spans="3:15">
      <c r="C19" s="35" t="s">
        <v>16</v>
      </c>
      <c r="D19" s="33"/>
      <c r="E19" s="33"/>
      <c r="F19" s="33"/>
      <c r="G19" s="33"/>
      <c r="H19" s="33"/>
      <c r="I19" s="33"/>
      <c r="J19" s="33"/>
      <c r="K19" s="64"/>
      <c r="L19" s="64"/>
      <c r="M19" s="64"/>
      <c r="N19" s="63">
        <v>2100000</v>
      </c>
      <c r="O19" s="65">
        <f>SUM(D19:N19)</f>
        <v>2100000</v>
      </c>
    </row>
    <row r="20" ht="19.5" customHeight="1" spans="3:24">
      <c r="C20" s="31" t="s">
        <v>7</v>
      </c>
      <c r="D20" s="36">
        <v>1502700</v>
      </c>
      <c r="E20" s="37"/>
      <c r="F20" s="36">
        <v>312450</v>
      </c>
      <c r="G20" s="37"/>
      <c r="H20" s="38">
        <v>2860800</v>
      </c>
      <c r="I20" s="66">
        <v>274875</v>
      </c>
      <c r="J20" s="36">
        <v>2089775</v>
      </c>
      <c r="K20" s="66"/>
      <c r="L20" s="66"/>
      <c r="M20" s="36">
        <v>440000</v>
      </c>
      <c r="N20" s="66">
        <v>2100000</v>
      </c>
      <c r="O20" s="65">
        <f t="shared" ref="O20:O27" si="8">SUM(D20:N20)</f>
        <v>9580600</v>
      </c>
      <c r="T20" s="45"/>
      <c r="V20" s="45">
        <f>P17</f>
        <v>9528125</v>
      </c>
      <c r="X20" s="71" t="s">
        <v>131</v>
      </c>
    </row>
    <row r="21" ht="27.6" spans="3:24">
      <c r="C21" s="31" t="s">
        <v>122</v>
      </c>
      <c r="D21" s="33">
        <f>7000+4500+8425+8625+60927.4+14707.65+95439.17</f>
        <v>199624.22</v>
      </c>
      <c r="E21" s="33"/>
      <c r="F21" s="33">
        <f>15000+12975</f>
        <v>27975</v>
      </c>
      <c r="G21" s="33"/>
      <c r="H21" s="33"/>
      <c r="I21" s="33"/>
      <c r="J21" s="33">
        <f>8959.25+2500+3000+3150+6600+2441.25+12000</f>
        <v>38650.5</v>
      </c>
      <c r="K21" s="63"/>
      <c r="L21" s="64"/>
      <c r="M21" s="64"/>
      <c r="N21" s="64"/>
      <c r="O21" s="65">
        <f t="shared" si="8"/>
        <v>266249.72</v>
      </c>
      <c r="V21" s="72">
        <v>61453.88</v>
      </c>
      <c r="X21" t="s">
        <v>138</v>
      </c>
    </row>
    <row r="22" spans="3:22">
      <c r="C22" s="39" t="s">
        <v>139</v>
      </c>
      <c r="D22" s="40"/>
      <c r="E22" s="40"/>
      <c r="F22" s="40"/>
      <c r="G22" s="40"/>
      <c r="H22" s="40"/>
      <c r="I22" s="40"/>
      <c r="J22" s="40">
        <v>3040</v>
      </c>
      <c r="K22" s="40"/>
      <c r="L22" s="67"/>
      <c r="M22" s="67"/>
      <c r="N22" s="67"/>
      <c r="O22" s="68">
        <f t="shared" si="8"/>
        <v>3040</v>
      </c>
      <c r="V22" s="72"/>
    </row>
    <row r="23" spans="3:24">
      <c r="C23" s="31" t="s">
        <v>9</v>
      </c>
      <c r="D23" s="33"/>
      <c r="E23" s="33"/>
      <c r="F23" s="33"/>
      <c r="G23" s="33"/>
      <c r="H23" s="33"/>
      <c r="I23" s="33"/>
      <c r="J23" s="33">
        <v>8253</v>
      </c>
      <c r="K23" s="64"/>
      <c r="L23" s="64"/>
      <c r="M23" s="64"/>
      <c r="N23" s="64"/>
      <c r="O23" s="65">
        <f t="shared" si="8"/>
        <v>8253</v>
      </c>
      <c r="V23" s="45">
        <v>50000</v>
      </c>
      <c r="X23" t="s">
        <v>140</v>
      </c>
    </row>
    <row r="24" spans="3:24">
      <c r="C24" s="41" t="s">
        <v>112</v>
      </c>
      <c r="D24" s="33"/>
      <c r="E24" s="33"/>
      <c r="F24" s="33"/>
      <c r="G24" s="33"/>
      <c r="H24" s="33"/>
      <c r="I24" s="33"/>
      <c r="J24" s="33"/>
      <c r="K24" s="64"/>
      <c r="L24" s="64"/>
      <c r="M24" s="64"/>
      <c r="N24" s="64"/>
      <c r="O24" s="65">
        <f t="shared" si="8"/>
        <v>0</v>
      </c>
      <c r="V24" s="45">
        <f>-20000</f>
        <v>-20000</v>
      </c>
      <c r="X24" t="s">
        <v>141</v>
      </c>
    </row>
    <row r="25" spans="3:15">
      <c r="C25" s="41" t="s">
        <v>113</v>
      </c>
      <c r="D25" s="33">
        <f>85000+20000</f>
        <v>105000</v>
      </c>
      <c r="E25" s="33"/>
      <c r="F25" s="33"/>
      <c r="G25" s="33">
        <v>92350</v>
      </c>
      <c r="H25" s="33">
        <f>500000+51750</f>
        <v>551750</v>
      </c>
      <c r="I25" s="33"/>
      <c r="J25" s="33"/>
      <c r="K25" s="64"/>
      <c r="L25" s="64"/>
      <c r="M25" s="64"/>
      <c r="N25" s="64">
        <v>51800</v>
      </c>
      <c r="O25" s="65">
        <f t="shared" si="8"/>
        <v>800900</v>
      </c>
    </row>
    <row r="26" ht="27.6" spans="3:24">
      <c r="C26" s="31" t="s">
        <v>114</v>
      </c>
      <c r="D26" s="42"/>
      <c r="E26" s="33"/>
      <c r="F26" s="42"/>
      <c r="G26" s="33"/>
      <c r="H26" s="43"/>
      <c r="I26" s="42"/>
      <c r="J26" s="33">
        <f>10029.65+70628+42930.64+23411.81</f>
        <v>147000.1</v>
      </c>
      <c r="K26" s="42"/>
      <c r="L26" s="42"/>
      <c r="M26" s="42"/>
      <c r="N26" s="42"/>
      <c r="O26" s="65">
        <f t="shared" si="8"/>
        <v>147000.1</v>
      </c>
      <c r="V26" s="74">
        <f>SUM(V20:V25)</f>
        <v>9619578.88</v>
      </c>
      <c r="X26" t="s">
        <v>116</v>
      </c>
    </row>
    <row r="27" ht="20.25" customHeight="1" spans="3:24">
      <c r="C27" s="35" t="s">
        <v>115</v>
      </c>
      <c r="D27" s="40">
        <f>30894.73+350000+250000+150000</f>
        <v>780894.73</v>
      </c>
      <c r="E27" s="33"/>
      <c r="F27" s="33"/>
      <c r="G27" s="33"/>
      <c r="H27" s="33">
        <f>200000+50000</f>
        <v>250000</v>
      </c>
      <c r="I27" s="33"/>
      <c r="J27" s="33">
        <v>250000</v>
      </c>
      <c r="K27" s="64"/>
      <c r="L27" s="64"/>
      <c r="M27" s="64"/>
      <c r="N27" s="64"/>
      <c r="O27" s="65">
        <f t="shared" si="8"/>
        <v>1280894.73</v>
      </c>
      <c r="P27" s="24">
        <f>O17+O18-O20-O21-O23-O26-O27</f>
        <v>-892518.669999999</v>
      </c>
      <c r="V27" s="75">
        <v>9619528.88</v>
      </c>
      <c r="X27" t="s">
        <v>142</v>
      </c>
    </row>
    <row r="28" spans="3:15">
      <c r="C28" s="44" t="s">
        <v>116</v>
      </c>
      <c r="D28" s="45">
        <f>D17+D18+D19-D20-D21-D23-D24-D25-D26-D27</f>
        <v>109996.93</v>
      </c>
      <c r="E28" s="45">
        <f t="shared" ref="E28:N28" si="9">E17+E18+E19-E20-E21-E23-E24-E25-E26-E27</f>
        <v>9707</v>
      </c>
      <c r="F28" s="45">
        <f t="shared" si="9"/>
        <v>31</v>
      </c>
      <c r="G28" s="45">
        <f t="shared" si="9"/>
        <v>41000</v>
      </c>
      <c r="H28" s="45">
        <f t="shared" si="9"/>
        <v>67006</v>
      </c>
      <c r="I28" s="45">
        <f t="shared" si="9"/>
        <v>69</v>
      </c>
      <c r="J28" s="45">
        <f>J17+J18+J19-J20-J21-J22-J23-J24-J25-J26-J27</f>
        <v>123631.4</v>
      </c>
      <c r="K28" s="45">
        <f t="shared" si="9"/>
        <v>0</v>
      </c>
      <c r="L28" s="45">
        <f t="shared" si="9"/>
        <v>0</v>
      </c>
      <c r="M28" s="45">
        <f t="shared" si="9"/>
        <v>0</v>
      </c>
      <c r="N28" s="45">
        <f t="shared" si="9"/>
        <v>52100</v>
      </c>
      <c r="O28" s="45">
        <f>O17+O18+O19-O20-O21-O22-O23-O24-O25-O26-O27</f>
        <v>403541.330000001</v>
      </c>
    </row>
    <row r="29" spans="3:15">
      <c r="C29" s="46" t="s">
        <v>117</v>
      </c>
      <c r="D29" s="24">
        <f t="shared" ref="D29:O29" si="10">D3</f>
        <v>79305.76</v>
      </c>
      <c r="E29" s="24">
        <f t="shared" si="10"/>
        <v>12396.36</v>
      </c>
      <c r="F29" s="24">
        <f t="shared" si="10"/>
        <v>7794.99</v>
      </c>
      <c r="G29" s="24">
        <f t="shared" si="10"/>
        <v>9030.43</v>
      </c>
      <c r="H29" s="24">
        <f t="shared" si="10"/>
        <v>344528.88</v>
      </c>
      <c r="I29" s="24">
        <f t="shared" si="10"/>
        <v>6738.1</v>
      </c>
      <c r="J29" s="24">
        <f t="shared" si="10"/>
        <v>79644.97</v>
      </c>
      <c r="K29" s="24">
        <f t="shared" si="10"/>
        <v>26567.11</v>
      </c>
      <c r="L29" s="24">
        <f t="shared" si="10"/>
        <v>5000</v>
      </c>
      <c r="M29" s="24">
        <f t="shared" si="10"/>
        <v>0</v>
      </c>
      <c r="N29" s="24">
        <f t="shared" si="10"/>
        <v>71850</v>
      </c>
      <c r="O29" s="24">
        <f t="shared" si="10"/>
        <v>642856.6</v>
      </c>
    </row>
    <row r="30" spans="3:24">
      <c r="C30" s="46" t="s">
        <v>118</v>
      </c>
      <c r="D30" s="24">
        <f>D10</f>
        <v>189302.689999999</v>
      </c>
      <c r="E30" s="24">
        <f>E10</f>
        <v>22103.36</v>
      </c>
      <c r="F30" s="24">
        <f t="shared" ref="F30:O30" si="11">F10</f>
        <v>7825.98999999999</v>
      </c>
      <c r="G30" s="24">
        <f t="shared" si="11"/>
        <v>50030.43</v>
      </c>
      <c r="H30" s="24">
        <f t="shared" si="11"/>
        <v>411534.88</v>
      </c>
      <c r="I30" s="24">
        <f t="shared" si="11"/>
        <v>6807.09999999998</v>
      </c>
      <c r="J30" s="24">
        <f t="shared" si="11"/>
        <v>203276.37</v>
      </c>
      <c r="K30" s="24">
        <f t="shared" si="11"/>
        <v>26567.11</v>
      </c>
      <c r="L30" s="24">
        <f t="shared" si="11"/>
        <v>5000</v>
      </c>
      <c r="M30" s="24">
        <f t="shared" si="11"/>
        <v>0</v>
      </c>
      <c r="N30" s="24">
        <f t="shared" si="11"/>
        <v>123950</v>
      </c>
      <c r="O30" s="24">
        <f t="shared" si="11"/>
        <v>1046397.93</v>
      </c>
      <c r="V30" s="45">
        <v>50</v>
      </c>
      <c r="X30" t="s">
        <v>119</v>
      </c>
    </row>
    <row r="31" s="2" customFormat="1" spans="3:15">
      <c r="C31" s="44" t="s">
        <v>119</v>
      </c>
      <c r="D31" s="24">
        <f>D28+D29-D30</f>
        <v>4.65661287307739e-10</v>
      </c>
      <c r="E31" s="24">
        <f t="shared" ref="E31:O31" si="12">E28+E29-E30</f>
        <v>0</v>
      </c>
      <c r="F31" s="24">
        <f t="shared" si="12"/>
        <v>9.09494701772928e-12</v>
      </c>
      <c r="G31" s="24">
        <f t="shared" si="12"/>
        <v>0</v>
      </c>
      <c r="H31" s="24">
        <f t="shared" si="12"/>
        <v>0</v>
      </c>
      <c r="I31" s="24">
        <f t="shared" si="12"/>
        <v>2.36468622460961e-11</v>
      </c>
      <c r="J31" s="24">
        <f t="shared" si="12"/>
        <v>0</v>
      </c>
      <c r="K31" s="24">
        <f t="shared" si="12"/>
        <v>0</v>
      </c>
      <c r="L31" s="24">
        <f t="shared" si="12"/>
        <v>0</v>
      </c>
      <c r="M31" s="24">
        <f t="shared" si="12"/>
        <v>0</v>
      </c>
      <c r="N31" s="24">
        <f t="shared" si="12"/>
        <v>0</v>
      </c>
      <c r="O31" s="24">
        <f t="shared" si="12"/>
        <v>1.51339918375015e-9</v>
      </c>
    </row>
    <row r="33" spans="4:15">
      <c r="D33" s="24">
        <f>D6-SUM(D17:D19)</f>
        <v>0</v>
      </c>
      <c r="E33" s="24">
        <f t="shared" ref="E33:O33" si="13">E6-SUM(E17:E19)</f>
        <v>0</v>
      </c>
      <c r="F33" s="24">
        <f t="shared" si="13"/>
        <v>0</v>
      </c>
      <c r="G33" s="24">
        <f t="shared" si="13"/>
        <v>0</v>
      </c>
      <c r="H33" s="24">
        <f t="shared" si="13"/>
        <v>0</v>
      </c>
      <c r="I33" s="24">
        <f t="shared" si="13"/>
        <v>0</v>
      </c>
      <c r="J33" s="24">
        <f t="shared" si="13"/>
        <v>0</v>
      </c>
      <c r="K33" s="24">
        <f t="shared" si="13"/>
        <v>0</v>
      </c>
      <c r="L33" s="24">
        <f t="shared" si="13"/>
        <v>0</v>
      </c>
      <c r="M33" s="24">
        <f t="shared" si="13"/>
        <v>0</v>
      </c>
      <c r="N33" s="24">
        <f t="shared" si="13"/>
        <v>0</v>
      </c>
      <c r="O33" s="24">
        <f t="shared" si="13"/>
        <v>0</v>
      </c>
    </row>
    <row r="34" spans="4:15">
      <c r="D34" s="24">
        <f>D7-SUM(D20:D27)</f>
        <v>0</v>
      </c>
      <c r="E34" s="24">
        <f t="shared" ref="E34:O34" si="14">E7-SUM(E20:E27)</f>
        <v>0</v>
      </c>
      <c r="F34" s="24">
        <f t="shared" si="14"/>
        <v>0</v>
      </c>
      <c r="G34" s="24">
        <f t="shared" si="14"/>
        <v>0</v>
      </c>
      <c r="H34" s="24">
        <f t="shared" si="14"/>
        <v>0</v>
      </c>
      <c r="I34" s="24">
        <f t="shared" si="14"/>
        <v>0</v>
      </c>
      <c r="J34" s="24">
        <f t="shared" si="14"/>
        <v>0</v>
      </c>
      <c r="K34" s="24">
        <f t="shared" si="14"/>
        <v>0</v>
      </c>
      <c r="L34" s="24">
        <f t="shared" si="14"/>
        <v>0</v>
      </c>
      <c r="M34" s="24">
        <f t="shared" si="14"/>
        <v>0</v>
      </c>
      <c r="N34" s="24">
        <f t="shared" si="14"/>
        <v>0</v>
      </c>
      <c r="O34" s="24">
        <f t="shared" si="14"/>
        <v>0</v>
      </c>
    </row>
    <row r="35" spans="5:7">
      <c r="E35" s="2"/>
      <c r="F35" s="47"/>
      <c r="G35" s="48"/>
    </row>
    <row r="36" spans="4:7">
      <c r="D36" s="2"/>
      <c r="E36" s="2"/>
      <c r="F36" s="48"/>
      <c r="G36" s="48"/>
    </row>
    <row r="37" spans="4:7">
      <c r="D37" s="49" t="s">
        <v>143</v>
      </c>
      <c r="E37" s="50"/>
      <c r="F37" s="24"/>
      <c r="G37" s="48"/>
    </row>
    <row r="38" spans="4:7">
      <c r="D38" s="2"/>
      <c r="E38" s="51"/>
      <c r="F38" s="52"/>
      <c r="G38" s="48"/>
    </row>
    <row r="39" spans="5:7">
      <c r="E39" s="53"/>
      <c r="G39" s="48"/>
    </row>
    <row r="40" spans="7:7">
      <c r="G40" s="48"/>
    </row>
  </sheetData>
  <conditionalFormatting sqref="K17:L17">
    <cfRule type="colorScale" priority="1">
      <colorScale>
        <cfvo type="min"/>
        <cfvo type="max"/>
        <color rgb="FFF8696B"/>
        <color rgb="FFFCFCFF"/>
      </colorScale>
    </cfRule>
  </conditionalFormatting>
  <conditionalFormatting sqref="D8:O10">
    <cfRule type="cellIs" dxfId="1" priority="3" operator="lessThan">
      <formula>0</formula>
    </cfRule>
  </conditionalFormatting>
  <conditionalFormatting sqref="K18:L18 K21:N27 K19:M19"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1" scale="49" orientation="landscape" horizontalDpi="120" verticalDpi="72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C1:AI40"/>
  <sheetViews>
    <sheetView zoomScale="70" zoomScaleNormal="70" workbookViewId="0">
      <pane ySplit="3" topLeftCell="D4" activePane="bottomLeft" state="frozen"/>
      <selection/>
      <selection pane="bottomLeft" activeCell="N25" sqref="N25"/>
    </sheetView>
  </sheetViews>
  <sheetFormatPr defaultColWidth="9" defaultRowHeight="15" customHeight="1"/>
  <cols>
    <col min="3" max="3" width="41.5740740740741" customWidth="1"/>
    <col min="4" max="4" width="20.4259259259259" customWidth="1"/>
    <col min="5" max="7" width="13.287037037037" customWidth="1"/>
    <col min="8" max="8" width="15.287037037037" customWidth="1"/>
    <col min="9" max="9" width="13.712962962963" customWidth="1"/>
    <col min="10" max="10" width="14.712962962963" customWidth="1"/>
    <col min="11" max="11" width="12.4259259259259" customWidth="1"/>
    <col min="12" max="12" width="13.8518518518519" customWidth="1"/>
    <col min="13" max="13" width="12.4259259259259" customWidth="1"/>
    <col min="14" max="14" width="13.287037037037" customWidth="1"/>
    <col min="15" max="15" width="19.287037037037" customWidth="1"/>
    <col min="16" max="16" width="15.5740740740741" customWidth="1"/>
    <col min="17" max="17" width="15" customWidth="1"/>
    <col min="18" max="18" width="12.4259259259259" customWidth="1"/>
    <col min="20" max="20" width="16.712962962963" customWidth="1"/>
    <col min="21" max="21" width="9.85185185185185" customWidth="1"/>
    <col min="22" max="22" width="18.287037037037" customWidth="1"/>
    <col min="23" max="23" width="34.712962962963" customWidth="1"/>
    <col min="28" max="28" width="13.1388888888889" customWidth="1"/>
    <col min="29" max="29" width="20.1388888888889" customWidth="1"/>
    <col min="35" max="35" width="12" customWidth="1"/>
  </cols>
  <sheetData>
    <row r="1" ht="14.4" spans="4:15">
      <c r="D1" s="3" t="s">
        <v>56</v>
      </c>
      <c r="E1" s="3" t="s">
        <v>56</v>
      </c>
      <c r="F1" s="3" t="s">
        <v>56</v>
      </c>
      <c r="G1" s="3" t="s">
        <v>56</v>
      </c>
      <c r="H1" s="3" t="s">
        <v>56</v>
      </c>
      <c r="I1" s="3" t="s">
        <v>56</v>
      </c>
      <c r="J1" s="3" t="s">
        <v>56</v>
      </c>
      <c r="K1" s="3" t="s">
        <v>56</v>
      </c>
      <c r="L1" s="3" t="s">
        <v>56</v>
      </c>
      <c r="M1" s="3" t="s">
        <v>56</v>
      </c>
      <c r="N1" s="3" t="s">
        <v>56</v>
      </c>
      <c r="O1" s="3"/>
    </row>
    <row r="2" ht="28.9" customHeight="1" spans="3:15">
      <c r="C2" s="4" t="s">
        <v>87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93</v>
      </c>
      <c r="J2" s="5" t="s">
        <v>94</v>
      </c>
      <c r="K2" s="5" t="s">
        <v>95</v>
      </c>
      <c r="L2" s="5" t="s">
        <v>96</v>
      </c>
      <c r="M2" s="5" t="s">
        <v>97</v>
      </c>
      <c r="N2" s="54" t="s">
        <v>98</v>
      </c>
      <c r="O2" s="5" t="s">
        <v>99</v>
      </c>
    </row>
    <row r="3" ht="22.9" customHeight="1" spans="3:15">
      <c r="C3" s="6" t="s">
        <v>144</v>
      </c>
      <c r="D3" s="7">
        <v>189302.69</v>
      </c>
      <c r="E3" s="7">
        <v>22103.36</v>
      </c>
      <c r="F3" s="7">
        <v>7825.99</v>
      </c>
      <c r="G3" s="7">
        <v>50030.43</v>
      </c>
      <c r="H3" s="7">
        <v>411534.88</v>
      </c>
      <c r="I3" s="7">
        <v>6807.1</v>
      </c>
      <c r="J3" s="7">
        <v>203276.37</v>
      </c>
      <c r="K3" s="7">
        <v>26567.11</v>
      </c>
      <c r="L3" s="7">
        <v>5000</v>
      </c>
      <c r="M3" s="7"/>
      <c r="N3" s="7">
        <v>123950</v>
      </c>
      <c r="O3" s="55">
        <f>SUM(D3:N3)</f>
        <v>1046397.93</v>
      </c>
    </row>
    <row r="4" ht="14.4" spans="3:16">
      <c r="C4" s="8" t="s">
        <v>101</v>
      </c>
      <c r="D4" s="9">
        <v>50000</v>
      </c>
      <c r="E4" s="9">
        <v>5000</v>
      </c>
      <c r="F4" s="9">
        <v>5000</v>
      </c>
      <c r="G4" s="9">
        <v>5000</v>
      </c>
      <c r="H4" s="10">
        <v>5000</v>
      </c>
      <c r="I4" s="9">
        <v>5000</v>
      </c>
      <c r="J4" s="9">
        <v>50000</v>
      </c>
      <c r="K4" s="9">
        <v>5000</v>
      </c>
      <c r="L4" s="9">
        <v>5000</v>
      </c>
      <c r="M4" s="9">
        <v>0</v>
      </c>
      <c r="N4" s="9">
        <v>20000</v>
      </c>
      <c r="O4" s="56">
        <f t="shared" ref="O4:O10" si="0">SUM(D4:N4)</f>
        <v>155000</v>
      </c>
      <c r="P4" s="24"/>
    </row>
    <row r="5" ht="14.4" spans="3:15">
      <c r="C5" s="11" t="s">
        <v>102</v>
      </c>
      <c r="D5" s="12">
        <f>D3-D4</f>
        <v>139302.69</v>
      </c>
      <c r="E5" s="12">
        <f t="shared" ref="E5:N5" si="1">E3-E4</f>
        <v>17103.36</v>
      </c>
      <c r="F5" s="12">
        <f t="shared" si="1"/>
        <v>2825.99</v>
      </c>
      <c r="G5" s="12">
        <f t="shared" si="1"/>
        <v>45030.43</v>
      </c>
      <c r="H5" s="12">
        <f t="shared" si="1"/>
        <v>406534.88</v>
      </c>
      <c r="I5" s="12">
        <f t="shared" si="1"/>
        <v>1807.1</v>
      </c>
      <c r="J5" s="12">
        <f t="shared" si="1"/>
        <v>153276.37</v>
      </c>
      <c r="K5" s="12">
        <f t="shared" si="1"/>
        <v>21567.11</v>
      </c>
      <c r="L5" s="12">
        <f t="shared" si="1"/>
        <v>0</v>
      </c>
      <c r="M5" s="12">
        <f t="shared" si="1"/>
        <v>0</v>
      </c>
      <c r="N5" s="12">
        <f t="shared" si="1"/>
        <v>103950</v>
      </c>
      <c r="O5" s="57">
        <f t="shared" si="0"/>
        <v>891397.93</v>
      </c>
    </row>
    <row r="6" ht="14.4" spans="3:17">
      <c r="C6" s="13" t="s">
        <v>103</v>
      </c>
      <c r="D6" s="14">
        <v>2188583.34</v>
      </c>
      <c r="E6" s="14">
        <v>22040</v>
      </c>
      <c r="F6" s="14">
        <v>586775</v>
      </c>
      <c r="G6" s="14">
        <v>526685.56</v>
      </c>
      <c r="H6" s="14">
        <v>2671374.35</v>
      </c>
      <c r="I6" s="14">
        <v>451842</v>
      </c>
      <c r="J6" s="14">
        <v>3013065</v>
      </c>
      <c r="K6" s="14">
        <v>1000</v>
      </c>
      <c r="L6" s="14"/>
      <c r="M6" s="14">
        <v>300000</v>
      </c>
      <c r="N6" s="14">
        <v>300000</v>
      </c>
      <c r="O6" s="57">
        <f t="shared" si="0"/>
        <v>10061365.25</v>
      </c>
      <c r="P6" s="24">
        <f>O17+O18+O19</f>
        <v>10061365.25</v>
      </c>
      <c r="Q6" s="24">
        <f>O6-P6</f>
        <v>0</v>
      </c>
    </row>
    <row r="7" ht="14.4" spans="3:17">
      <c r="C7" s="13" t="s">
        <v>104</v>
      </c>
      <c r="D7" s="15">
        <v>2152088.62</v>
      </c>
      <c r="E7" s="16"/>
      <c r="F7" s="16">
        <v>367131</v>
      </c>
      <c r="G7" s="16">
        <v>567877.11</v>
      </c>
      <c r="H7" s="16">
        <v>2486505.87</v>
      </c>
      <c r="I7" s="16">
        <v>333500</v>
      </c>
      <c r="J7" s="15">
        <v>3025460</v>
      </c>
      <c r="K7" s="16"/>
      <c r="L7" s="16"/>
      <c r="M7" s="14">
        <v>300000</v>
      </c>
      <c r="N7" s="16">
        <v>404050</v>
      </c>
      <c r="O7" s="56">
        <f t="shared" si="0"/>
        <v>9636612.6</v>
      </c>
      <c r="P7" s="24">
        <f>O20+O21+O23+O25+O26+O27+O24</f>
        <v>9636612.6</v>
      </c>
      <c r="Q7" s="24">
        <f>O7-P7</f>
        <v>0</v>
      </c>
    </row>
    <row r="8" s="1" customFormat="1" ht="21.6" customHeight="1" spans="3:18">
      <c r="C8" s="17" t="s">
        <v>145</v>
      </c>
      <c r="D8" s="18">
        <f t="shared" ref="D8:N8" si="2">D5+D6-D7</f>
        <v>175797.41</v>
      </c>
      <c r="E8" s="18">
        <f t="shared" si="2"/>
        <v>39143.36</v>
      </c>
      <c r="F8" s="18">
        <f t="shared" si="2"/>
        <v>222469.99</v>
      </c>
      <c r="G8" s="18">
        <f t="shared" si="2"/>
        <v>3838.88000000012</v>
      </c>
      <c r="H8" s="18">
        <f t="shared" si="2"/>
        <v>591403.36</v>
      </c>
      <c r="I8" s="18">
        <f t="shared" si="2"/>
        <v>120149.1</v>
      </c>
      <c r="J8" s="18">
        <f t="shared" si="2"/>
        <v>140881.37</v>
      </c>
      <c r="K8" s="18">
        <f t="shared" si="2"/>
        <v>22567.11</v>
      </c>
      <c r="L8" s="18">
        <f t="shared" si="2"/>
        <v>0</v>
      </c>
      <c r="M8" s="18">
        <f t="shared" si="2"/>
        <v>0</v>
      </c>
      <c r="N8" s="58">
        <f t="shared" si="2"/>
        <v>-100</v>
      </c>
      <c r="O8" s="59">
        <f t="shared" si="0"/>
        <v>1316150.58</v>
      </c>
      <c r="Q8" s="60">
        <f>O3-O4+O6-O7</f>
        <v>1316150.58</v>
      </c>
      <c r="R8" s="60">
        <f>O8-Q8</f>
        <v>0</v>
      </c>
    </row>
    <row r="9" s="1" customFormat="1" ht="21.6" customHeight="1" spans="3:18">
      <c r="C9" s="19" t="s">
        <v>106</v>
      </c>
      <c r="D9" s="20">
        <f>D4</f>
        <v>50000</v>
      </c>
      <c r="E9" s="20">
        <f t="shared" ref="E9:J9" si="3">E4</f>
        <v>5000</v>
      </c>
      <c r="F9" s="20">
        <f t="shared" si="3"/>
        <v>5000</v>
      </c>
      <c r="G9" s="20">
        <f t="shared" si="3"/>
        <v>5000</v>
      </c>
      <c r="H9" s="20">
        <f t="shared" si="3"/>
        <v>5000</v>
      </c>
      <c r="I9" s="20">
        <f t="shared" si="3"/>
        <v>5000</v>
      </c>
      <c r="J9" s="20">
        <f t="shared" si="3"/>
        <v>50000</v>
      </c>
      <c r="K9" s="20">
        <f t="shared" ref="K9:N9" si="4">K4</f>
        <v>5000</v>
      </c>
      <c r="L9" s="20">
        <f t="shared" si="4"/>
        <v>5000</v>
      </c>
      <c r="M9" s="20">
        <f t="shared" si="4"/>
        <v>0</v>
      </c>
      <c r="N9" s="20">
        <f t="shared" si="4"/>
        <v>20000</v>
      </c>
      <c r="O9" s="20">
        <f t="shared" si="0"/>
        <v>155000</v>
      </c>
      <c r="Q9" s="60"/>
      <c r="R9" s="60"/>
    </row>
    <row r="10" s="1" customFormat="1" ht="21.6" customHeight="1" spans="3:18">
      <c r="C10" s="21" t="s">
        <v>107</v>
      </c>
      <c r="D10" s="22">
        <f t="shared" ref="D10:N10" si="5">D8+D9</f>
        <v>225797.41</v>
      </c>
      <c r="E10" s="22">
        <f t="shared" si="5"/>
        <v>44143.36</v>
      </c>
      <c r="F10" s="22">
        <f t="shared" si="5"/>
        <v>227469.99</v>
      </c>
      <c r="G10" s="22">
        <f t="shared" si="5"/>
        <v>8838.88000000012</v>
      </c>
      <c r="H10" s="22">
        <f t="shared" si="5"/>
        <v>596403.36</v>
      </c>
      <c r="I10" s="22">
        <f t="shared" si="5"/>
        <v>125149.1</v>
      </c>
      <c r="J10" s="22">
        <f t="shared" si="5"/>
        <v>190881.37</v>
      </c>
      <c r="K10" s="22">
        <f t="shared" si="5"/>
        <v>27567.11</v>
      </c>
      <c r="L10" s="22">
        <f t="shared" si="5"/>
        <v>5000</v>
      </c>
      <c r="M10" s="22">
        <f t="shared" si="5"/>
        <v>0</v>
      </c>
      <c r="N10" s="22">
        <f t="shared" si="5"/>
        <v>19900</v>
      </c>
      <c r="O10" s="22">
        <f t="shared" si="0"/>
        <v>1471150.58</v>
      </c>
      <c r="P10" s="60">
        <f>O8+O9</f>
        <v>1471150.58</v>
      </c>
      <c r="Q10" s="60">
        <f>O10-P10</f>
        <v>0</v>
      </c>
      <c r="R10" s="60"/>
    </row>
    <row r="11" ht="14.4" hidden="1" spans="4:14">
      <c r="D11" s="23">
        <f t="shared" ref="D11:L11" si="6">D8/$O$8</f>
        <v>0.133569374713948</v>
      </c>
      <c r="E11" s="23">
        <f t="shared" si="6"/>
        <v>0.0297407915133844</v>
      </c>
      <c r="F11" s="23">
        <f t="shared" si="6"/>
        <v>0.169030803451076</v>
      </c>
      <c r="G11" s="23">
        <f t="shared" si="6"/>
        <v>0.00291674832525631</v>
      </c>
      <c r="H11" s="23">
        <f t="shared" si="6"/>
        <v>0.449343235482979</v>
      </c>
      <c r="I11" s="23">
        <f t="shared" si="6"/>
        <v>0.0912882627761331</v>
      </c>
      <c r="J11" s="23">
        <f t="shared" si="6"/>
        <v>0.107040464929173</v>
      </c>
      <c r="K11" s="23">
        <f t="shared" si="6"/>
        <v>0.0171462979562718</v>
      </c>
      <c r="L11" s="23">
        <f t="shared" si="6"/>
        <v>0</v>
      </c>
      <c r="M11" s="23"/>
      <c r="N11" s="23"/>
    </row>
    <row r="12" ht="14.4" hidden="1" spans="7:10">
      <c r="G12" s="24">
        <f>G5+G4</f>
        <v>50030.43</v>
      </c>
      <c r="H12" s="24">
        <f>H5+H4</f>
        <v>411534.88</v>
      </c>
      <c r="I12" s="24">
        <f>I5+I4</f>
        <v>6807.1</v>
      </c>
      <c r="J12" s="24">
        <f>J5+J4</f>
        <v>203276.37</v>
      </c>
    </row>
    <row r="13" ht="14.4" spans="3:15">
      <c r="C13" s="25" t="s">
        <v>108</v>
      </c>
      <c r="D13" s="26">
        <v>225797.41</v>
      </c>
      <c r="E13" s="26">
        <v>44143.36</v>
      </c>
      <c r="F13" s="27">
        <v>227469.99</v>
      </c>
      <c r="G13" s="26">
        <v>8838.88</v>
      </c>
      <c r="H13" s="27">
        <v>596403.36</v>
      </c>
      <c r="I13" s="27">
        <v>125149.1</v>
      </c>
      <c r="J13" s="27">
        <v>190881.37</v>
      </c>
      <c r="K13" s="26">
        <v>27567.11</v>
      </c>
      <c r="L13" s="26">
        <v>5000</v>
      </c>
      <c r="M13" s="26"/>
      <c r="N13" s="26">
        <v>19900</v>
      </c>
      <c r="O13" s="61">
        <f>SUM(D13:N13)</f>
        <v>1471150.58</v>
      </c>
    </row>
    <row r="14" ht="14.4" spans="3:15">
      <c r="C14" s="28" t="s">
        <v>109</v>
      </c>
      <c r="D14" s="24">
        <f>D10-D13</f>
        <v>-3.20142135024071e-10</v>
      </c>
      <c r="E14" s="24">
        <f t="shared" ref="E14:O14" si="7">E10-E13</f>
        <v>0</v>
      </c>
      <c r="F14" s="24">
        <f t="shared" si="7"/>
        <v>0</v>
      </c>
      <c r="G14" s="24">
        <f t="shared" si="7"/>
        <v>1.21872290037572e-10</v>
      </c>
      <c r="H14" s="24">
        <f t="shared" si="7"/>
        <v>0</v>
      </c>
      <c r="I14" s="24">
        <f t="shared" si="7"/>
        <v>0</v>
      </c>
      <c r="J14" s="24">
        <f t="shared" si="7"/>
        <v>0</v>
      </c>
      <c r="K14" s="24">
        <f t="shared" si="7"/>
        <v>0</v>
      </c>
      <c r="L14" s="24">
        <f t="shared" si="7"/>
        <v>0</v>
      </c>
      <c r="M14" s="24">
        <f t="shared" si="7"/>
        <v>0</v>
      </c>
      <c r="N14" s="24">
        <f t="shared" si="7"/>
        <v>0</v>
      </c>
      <c r="O14" s="62">
        <f t="shared" si="7"/>
        <v>0</v>
      </c>
    </row>
    <row r="15" ht="14.4" spans="5:5">
      <c r="E15" s="24"/>
    </row>
    <row r="16" ht="14.4" spans="4:16">
      <c r="D16" s="29"/>
      <c r="E16" s="29"/>
      <c r="F16" s="29"/>
      <c r="G16" s="30"/>
      <c r="H16" s="30"/>
      <c r="I16" s="30"/>
      <c r="J16" s="29"/>
      <c r="K16" s="30"/>
      <c r="L16" s="30"/>
      <c r="M16" s="30"/>
      <c r="N16" s="30"/>
      <c r="O16" s="30"/>
      <c r="P16" s="30"/>
    </row>
    <row r="17" ht="30" customHeight="1" spans="3:17">
      <c r="C17" s="31" t="s">
        <v>110</v>
      </c>
      <c r="D17" s="32">
        <f>2188583.34-10333.34</f>
        <v>2178250</v>
      </c>
      <c r="E17" s="33"/>
      <c r="F17" s="33">
        <v>586775</v>
      </c>
      <c r="G17" s="33">
        <v>526675</v>
      </c>
      <c r="H17" s="34">
        <f>2671374.35-29.35</f>
        <v>2671345</v>
      </c>
      <c r="I17" s="33">
        <v>451842</v>
      </c>
      <c r="J17" s="32">
        <v>3013065</v>
      </c>
      <c r="K17" s="63"/>
      <c r="L17" s="64"/>
      <c r="M17" s="63">
        <v>300000</v>
      </c>
      <c r="N17" s="63"/>
      <c r="O17" s="65">
        <f>SUM(D17:N17)</f>
        <v>9727952</v>
      </c>
      <c r="P17" s="60">
        <f>O17-O25-O24</f>
        <v>8042437</v>
      </c>
      <c r="Q17" s="60">
        <f>O17+O18+O19-O20-O21-O23-O24-O25-O26-O27</f>
        <v>424752.65</v>
      </c>
    </row>
    <row r="18" ht="14.4" spans="3:20">
      <c r="C18" s="31" t="s">
        <v>6</v>
      </c>
      <c r="D18" s="33">
        <v>10333.34</v>
      </c>
      <c r="E18" s="33">
        <f>1300+150+20590</f>
        <v>22040</v>
      </c>
      <c r="F18" s="33"/>
      <c r="G18" s="33">
        <v>10.56</v>
      </c>
      <c r="H18" s="33">
        <f>29.35</f>
        <v>29.35</v>
      </c>
      <c r="I18" s="33"/>
      <c r="J18" s="33"/>
      <c r="K18" s="63">
        <v>1000</v>
      </c>
      <c r="L18" s="64"/>
      <c r="M18" s="63"/>
      <c r="N18" s="63"/>
      <c r="O18" s="65">
        <f>SUM(D18:N18)</f>
        <v>33413.25</v>
      </c>
      <c r="P18" s="45"/>
      <c r="Q18" s="45">
        <f>O17+O18-O24-O25</f>
        <v>8075850.25</v>
      </c>
      <c r="T18" s="45"/>
    </row>
    <row r="19" ht="28.8" spans="3:23">
      <c r="C19" s="35" t="s">
        <v>16</v>
      </c>
      <c r="D19" s="33"/>
      <c r="E19" s="33"/>
      <c r="F19" s="33"/>
      <c r="G19" s="33"/>
      <c r="H19" s="33"/>
      <c r="I19" s="33"/>
      <c r="J19" s="33"/>
      <c r="K19" s="64"/>
      <c r="L19" s="64"/>
      <c r="M19" s="64"/>
      <c r="N19" s="63">
        <v>300000</v>
      </c>
      <c r="O19" s="65">
        <f>SUM(D19:N19)</f>
        <v>300000</v>
      </c>
      <c r="V19" s="69" t="s">
        <v>129</v>
      </c>
      <c r="W19" s="70" t="s">
        <v>130</v>
      </c>
    </row>
    <row r="20" ht="19.5" customHeight="1" spans="3:23">
      <c r="C20" s="31" t="s">
        <v>7</v>
      </c>
      <c r="D20" s="36">
        <f>382700+554900</f>
        <v>937600</v>
      </c>
      <c r="E20" s="37"/>
      <c r="F20" s="36">
        <f>256200</f>
        <v>256200</v>
      </c>
      <c r="G20" s="37"/>
      <c r="H20" s="38">
        <f>2229500-750000</f>
        <v>1479500</v>
      </c>
      <c r="I20" s="66">
        <f>102000+231500</f>
        <v>333500</v>
      </c>
      <c r="J20" s="36">
        <f>1796000+245000+878200</f>
        <v>2919200</v>
      </c>
      <c r="K20" s="66"/>
      <c r="L20" s="66"/>
      <c r="M20" s="36">
        <v>300000</v>
      </c>
      <c r="N20" s="66">
        <v>300000</v>
      </c>
      <c r="O20" s="65">
        <f t="shared" ref="O20:O27" si="8">SUM(D20:N20)</f>
        <v>6526000</v>
      </c>
      <c r="T20" s="45"/>
      <c r="V20" s="45">
        <f>P17</f>
        <v>8042437</v>
      </c>
      <c r="W20" s="71" t="s">
        <v>131</v>
      </c>
    </row>
    <row r="21" ht="27.6" spans="3:28">
      <c r="C21" s="31" t="s">
        <v>122</v>
      </c>
      <c r="D21" s="33">
        <f>30626+4646.67+79139.14+32295+5923.46+17350.6+25000</f>
        <v>194980.87</v>
      </c>
      <c r="E21" s="33"/>
      <c r="F21" s="33">
        <f>7131</f>
        <v>7131</v>
      </c>
      <c r="G21" s="33">
        <v>2.11</v>
      </c>
      <c r="H21" s="33">
        <f>5300+2500+5.87</f>
        <v>7805.87</v>
      </c>
      <c r="I21" s="33"/>
      <c r="J21" s="33">
        <f>3360+2900</f>
        <v>6260</v>
      </c>
      <c r="K21" s="63"/>
      <c r="L21" s="64"/>
      <c r="M21" s="64"/>
      <c r="N21" s="64"/>
      <c r="O21" s="65">
        <f t="shared" si="8"/>
        <v>216179.85</v>
      </c>
      <c r="V21" s="72">
        <f>O18</f>
        <v>33413.25</v>
      </c>
      <c r="W21" t="s">
        <v>138</v>
      </c>
      <c r="AB21" s="45"/>
    </row>
    <row r="22" ht="14.4" spans="3:28">
      <c r="C22" s="39" t="s">
        <v>139</v>
      </c>
      <c r="D22" s="40"/>
      <c r="E22" s="40"/>
      <c r="F22" s="40"/>
      <c r="G22" s="40"/>
      <c r="H22" s="40"/>
      <c r="I22" s="40"/>
      <c r="J22" s="40"/>
      <c r="K22" s="40"/>
      <c r="L22" s="67"/>
      <c r="M22" s="67"/>
      <c r="N22" s="67"/>
      <c r="O22" s="68">
        <f t="shared" si="8"/>
        <v>0</v>
      </c>
      <c r="V22" s="72">
        <v>23300</v>
      </c>
      <c r="W22" t="s">
        <v>40</v>
      </c>
      <c r="AB22" s="45"/>
    </row>
    <row r="23" ht="14.4" spans="3:28">
      <c r="C23" s="31" t="s">
        <v>9</v>
      </c>
      <c r="D23" s="33">
        <f>8917.75</f>
        <v>8917.75</v>
      </c>
      <c r="E23" s="33"/>
      <c r="F23" s="33"/>
      <c r="G23" s="33"/>
      <c r="H23" s="33"/>
      <c r="I23" s="33"/>
      <c r="J23" s="33"/>
      <c r="K23" s="64"/>
      <c r="L23" s="64"/>
      <c r="M23" s="64"/>
      <c r="N23" s="64"/>
      <c r="O23" s="65">
        <f t="shared" si="8"/>
        <v>8917.75</v>
      </c>
      <c r="V23" s="45">
        <f>-10.56</f>
        <v>-10.56</v>
      </c>
      <c r="W23" t="s">
        <v>146</v>
      </c>
      <c r="AB23" s="45"/>
    </row>
    <row r="24" ht="14.4" spans="3:28">
      <c r="C24" s="41" t="s">
        <v>112</v>
      </c>
      <c r="D24" s="33"/>
      <c r="E24" s="33"/>
      <c r="F24" s="33"/>
      <c r="G24" s="33"/>
      <c r="H24" s="33"/>
      <c r="I24" s="33"/>
      <c r="J24" s="33"/>
      <c r="K24" s="64"/>
      <c r="L24" s="64"/>
      <c r="M24" s="64"/>
      <c r="N24" s="64"/>
      <c r="O24" s="65">
        <f t="shared" si="8"/>
        <v>0</v>
      </c>
      <c r="U24" t="s">
        <v>119</v>
      </c>
      <c r="V24" s="73"/>
      <c r="W24" t="s">
        <v>147</v>
      </c>
      <c r="AB24" s="45"/>
    </row>
    <row r="25" ht="14.4" spans="3:28">
      <c r="C25" s="41" t="s">
        <v>113</v>
      </c>
      <c r="D25" s="33">
        <f>50000+50000+490000+20590</f>
        <v>610590</v>
      </c>
      <c r="E25" s="33"/>
      <c r="F25" s="33"/>
      <c r="G25" s="33">
        <f>41000+101975+102700+322200</f>
        <v>567875</v>
      </c>
      <c r="H25" s="33">
        <v>403000</v>
      </c>
      <c r="I25" s="33"/>
      <c r="J25" s="33"/>
      <c r="K25" s="64"/>
      <c r="L25" s="64"/>
      <c r="M25" s="64"/>
      <c r="N25" s="64">
        <v>104050</v>
      </c>
      <c r="O25" s="65">
        <f t="shared" si="8"/>
        <v>1685515</v>
      </c>
      <c r="U25" t="s">
        <v>119</v>
      </c>
      <c r="V25" s="72">
        <f>-29.35</f>
        <v>-29.35</v>
      </c>
      <c r="W25" t="s">
        <v>148</v>
      </c>
      <c r="AB25" s="45"/>
    </row>
    <row r="26" ht="27.6" spans="3:35">
      <c r="C26" s="31" t="s">
        <v>114</v>
      </c>
      <c r="D26" s="42"/>
      <c r="E26" s="33"/>
      <c r="F26" s="42"/>
      <c r="G26" s="33"/>
      <c r="H26" s="43"/>
      <c r="I26" s="42"/>
      <c r="J26" s="33"/>
      <c r="K26" s="42"/>
      <c r="L26" s="42"/>
      <c r="M26" s="42"/>
      <c r="N26" s="42"/>
      <c r="O26" s="65">
        <f t="shared" si="8"/>
        <v>0</v>
      </c>
      <c r="V26" s="74">
        <f>SUM(V20:V25)</f>
        <v>8099110.34</v>
      </c>
      <c r="W26" t="s">
        <v>116</v>
      </c>
      <c r="AI26" s="45"/>
    </row>
    <row r="27" ht="20.25" customHeight="1" spans="3:28">
      <c r="C27" s="35" t="s">
        <v>115</v>
      </c>
      <c r="D27" s="40">
        <v>400000</v>
      </c>
      <c r="E27" s="33"/>
      <c r="F27" s="33">
        <v>103800</v>
      </c>
      <c r="G27" s="33"/>
      <c r="H27" s="33">
        <f>400000+196200</f>
        <v>596200</v>
      </c>
      <c r="I27" s="33"/>
      <c r="J27" s="33">
        <v>100000</v>
      </c>
      <c r="K27" s="64"/>
      <c r="L27" s="64"/>
      <c r="M27" s="64"/>
      <c r="N27" s="64"/>
      <c r="O27" s="65">
        <f t="shared" si="8"/>
        <v>1200000</v>
      </c>
      <c r="P27" s="24">
        <f>O17+O18-O20-O21-O23-O26-O27</f>
        <v>1810267.65</v>
      </c>
      <c r="V27" s="34">
        <v>9797703.34</v>
      </c>
      <c r="W27" t="s">
        <v>142</v>
      </c>
      <c r="AB27" s="45"/>
    </row>
    <row r="28" ht="14.4" spans="3:15">
      <c r="C28" s="44" t="s">
        <v>116</v>
      </c>
      <c r="D28" s="45">
        <f t="shared" ref="D28:O28" si="9">D17+D18+D19-D20-D21-D23-D24-D25-D26-D27</f>
        <v>36494.7199999997</v>
      </c>
      <c r="E28" s="45">
        <f t="shared" si="9"/>
        <v>22040</v>
      </c>
      <c r="F28" s="45">
        <f t="shared" si="9"/>
        <v>219644</v>
      </c>
      <c r="G28" s="45">
        <f t="shared" si="9"/>
        <v>-41191.5499999999</v>
      </c>
      <c r="H28" s="45">
        <f t="shared" si="9"/>
        <v>184868.48</v>
      </c>
      <c r="I28" s="45">
        <f t="shared" si="9"/>
        <v>118342</v>
      </c>
      <c r="J28" s="45">
        <f t="shared" si="9"/>
        <v>-12395</v>
      </c>
      <c r="K28" s="45">
        <f t="shared" si="9"/>
        <v>1000</v>
      </c>
      <c r="L28" s="45">
        <f t="shared" si="9"/>
        <v>0</v>
      </c>
      <c r="M28" s="45">
        <f t="shared" si="9"/>
        <v>0</v>
      </c>
      <c r="N28" s="45">
        <f t="shared" si="9"/>
        <v>-104050</v>
      </c>
      <c r="O28" s="45">
        <f t="shared" si="9"/>
        <v>424752.65</v>
      </c>
    </row>
    <row r="29" ht="14.4" spans="3:15">
      <c r="C29" s="46" t="s">
        <v>117</v>
      </c>
      <c r="D29" s="24">
        <f t="shared" ref="D29:O29" si="10">D3</f>
        <v>189302.69</v>
      </c>
      <c r="E29" s="24">
        <f t="shared" si="10"/>
        <v>22103.36</v>
      </c>
      <c r="F29" s="24">
        <f t="shared" si="10"/>
        <v>7825.99</v>
      </c>
      <c r="G29" s="24">
        <f t="shared" si="10"/>
        <v>50030.43</v>
      </c>
      <c r="H29" s="24">
        <f t="shared" si="10"/>
        <v>411534.88</v>
      </c>
      <c r="I29" s="24">
        <f t="shared" si="10"/>
        <v>6807.1</v>
      </c>
      <c r="J29" s="24">
        <f t="shared" si="10"/>
        <v>203276.37</v>
      </c>
      <c r="K29" s="24">
        <f t="shared" si="10"/>
        <v>26567.11</v>
      </c>
      <c r="L29" s="24">
        <f t="shared" si="10"/>
        <v>5000</v>
      </c>
      <c r="M29" s="24">
        <f t="shared" si="10"/>
        <v>0</v>
      </c>
      <c r="N29" s="24">
        <f t="shared" si="10"/>
        <v>123950</v>
      </c>
      <c r="O29" s="24">
        <f t="shared" si="10"/>
        <v>1046397.93</v>
      </c>
    </row>
    <row r="30" ht="14.4" spans="3:23">
      <c r="C30" s="46" t="s">
        <v>118</v>
      </c>
      <c r="D30" s="24">
        <f>D10</f>
        <v>225797.41</v>
      </c>
      <c r="E30" s="24">
        <f>E10</f>
        <v>44143.36</v>
      </c>
      <c r="F30" s="24">
        <f t="shared" ref="F30:O30" si="11">F10</f>
        <v>227469.99</v>
      </c>
      <c r="G30" s="24">
        <f t="shared" si="11"/>
        <v>8838.88000000012</v>
      </c>
      <c r="H30" s="24">
        <f t="shared" si="11"/>
        <v>596403.36</v>
      </c>
      <c r="I30" s="24">
        <f t="shared" si="11"/>
        <v>125149.1</v>
      </c>
      <c r="J30" s="24">
        <f t="shared" si="11"/>
        <v>190881.37</v>
      </c>
      <c r="K30" s="24">
        <f t="shared" si="11"/>
        <v>27567.11</v>
      </c>
      <c r="L30" s="24">
        <f t="shared" si="11"/>
        <v>5000</v>
      </c>
      <c r="M30" s="24">
        <f t="shared" si="11"/>
        <v>0</v>
      </c>
      <c r="N30" s="24">
        <f t="shared" si="11"/>
        <v>19900</v>
      </c>
      <c r="O30" s="24">
        <f t="shared" si="11"/>
        <v>1471150.58</v>
      </c>
      <c r="V30" s="45">
        <f>V26-V27</f>
        <v>-1698593</v>
      </c>
      <c r="W30" t="s">
        <v>119</v>
      </c>
    </row>
    <row r="31" s="2" customFormat="1" ht="14.4" spans="3:15">
      <c r="C31" s="44" t="s">
        <v>119</v>
      </c>
      <c r="D31" s="24">
        <f>D28+D29-D30</f>
        <v>0</v>
      </c>
      <c r="E31" s="24">
        <f t="shared" ref="E31:O31" si="12">E28+E29-E30</f>
        <v>0</v>
      </c>
      <c r="F31" s="24">
        <f t="shared" si="12"/>
        <v>0</v>
      </c>
      <c r="G31" s="24">
        <f t="shared" si="12"/>
        <v>-5.0931703299284e-11</v>
      </c>
      <c r="H31" s="24">
        <f t="shared" si="12"/>
        <v>0</v>
      </c>
      <c r="I31" s="24">
        <f t="shared" si="12"/>
        <v>0</v>
      </c>
      <c r="J31" s="24">
        <f t="shared" si="12"/>
        <v>0</v>
      </c>
      <c r="K31" s="24">
        <f t="shared" si="12"/>
        <v>0</v>
      </c>
      <c r="L31" s="24">
        <f t="shared" si="12"/>
        <v>0</v>
      </c>
      <c r="M31" s="24">
        <f t="shared" si="12"/>
        <v>0</v>
      </c>
      <c r="N31" s="24">
        <f t="shared" si="12"/>
        <v>0</v>
      </c>
      <c r="O31" s="24">
        <f t="shared" si="12"/>
        <v>0</v>
      </c>
    </row>
    <row r="33" ht="14.4" spans="4:15">
      <c r="D33" s="24">
        <f t="shared" ref="D33:O33" si="13">D6-SUM(D17:D19)</f>
        <v>0</v>
      </c>
      <c r="E33" s="24">
        <f t="shared" si="13"/>
        <v>0</v>
      </c>
      <c r="F33" s="24">
        <f t="shared" si="13"/>
        <v>0</v>
      </c>
      <c r="G33" s="24">
        <f t="shared" si="13"/>
        <v>0</v>
      </c>
      <c r="H33" s="24">
        <f t="shared" si="13"/>
        <v>0</v>
      </c>
      <c r="I33" s="24">
        <f t="shared" si="13"/>
        <v>0</v>
      </c>
      <c r="J33" s="24">
        <f t="shared" si="13"/>
        <v>0</v>
      </c>
      <c r="K33" s="24">
        <f t="shared" si="13"/>
        <v>0</v>
      </c>
      <c r="L33" s="24">
        <f t="shared" si="13"/>
        <v>0</v>
      </c>
      <c r="M33" s="24">
        <f t="shared" si="13"/>
        <v>0</v>
      </c>
      <c r="N33" s="24">
        <f t="shared" si="13"/>
        <v>0</v>
      </c>
      <c r="O33" s="24">
        <f t="shared" si="13"/>
        <v>0</v>
      </c>
    </row>
    <row r="34" ht="14.4" spans="4:15">
      <c r="D34" s="24">
        <f t="shared" ref="D34:O34" si="14">D7-SUM(D20:D27)</f>
        <v>0</v>
      </c>
      <c r="E34" s="24">
        <f t="shared" si="14"/>
        <v>0</v>
      </c>
      <c r="F34" s="24">
        <f t="shared" si="14"/>
        <v>0</v>
      </c>
      <c r="G34" s="24">
        <f t="shared" si="14"/>
        <v>0</v>
      </c>
      <c r="H34" s="24">
        <f t="shared" si="14"/>
        <v>0</v>
      </c>
      <c r="I34" s="24">
        <f t="shared" si="14"/>
        <v>0</v>
      </c>
      <c r="J34" s="24">
        <f t="shared" si="14"/>
        <v>0</v>
      </c>
      <c r="K34" s="24">
        <f t="shared" si="14"/>
        <v>0</v>
      </c>
      <c r="L34" s="24">
        <f t="shared" si="14"/>
        <v>0</v>
      </c>
      <c r="M34" s="24">
        <f t="shared" si="14"/>
        <v>0</v>
      </c>
      <c r="N34" s="24">
        <f t="shared" si="14"/>
        <v>0</v>
      </c>
      <c r="O34" s="24">
        <f t="shared" si="14"/>
        <v>0</v>
      </c>
    </row>
    <row r="35" ht="14.4" spans="5:7">
      <c r="E35" s="2"/>
      <c r="F35" s="47"/>
      <c r="G35" s="48"/>
    </row>
    <row r="36" ht="14.4" spans="4:7">
      <c r="D36" s="2"/>
      <c r="E36" s="2"/>
      <c r="F36" s="48"/>
      <c r="G36" s="48"/>
    </row>
    <row r="37" ht="14.4" spans="4:7">
      <c r="D37" s="49"/>
      <c r="E37" s="50"/>
      <c r="F37" s="24"/>
      <c r="G37" s="48"/>
    </row>
    <row r="38" ht="14.4" spans="4:7">
      <c r="D38" s="2"/>
      <c r="E38" s="51"/>
      <c r="F38" s="52"/>
      <c r="G38" s="48"/>
    </row>
    <row r="39" ht="14.4" spans="5:7">
      <c r="E39" s="53"/>
      <c r="G39" s="48"/>
    </row>
    <row r="40" ht="14.4" spans="7:7">
      <c r="G40" s="48"/>
    </row>
  </sheetData>
  <conditionalFormatting sqref="K17:L17">
    <cfRule type="colorScale" priority="1">
      <colorScale>
        <cfvo type="min"/>
        <cfvo type="max"/>
        <color rgb="FFF8696B"/>
        <color rgb="FFFCFCFF"/>
      </colorScale>
    </cfRule>
  </conditionalFormatting>
  <conditionalFormatting sqref="D8:O10">
    <cfRule type="cellIs" dxfId="1" priority="3" operator="lessThan">
      <formula>0</formula>
    </cfRule>
  </conditionalFormatting>
  <conditionalFormatting sqref="K18:L18 K21:N27 K19:M19">
    <cfRule type="colorScale" priority="2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paperSize="1" scale="49" orientation="landscape" horizontalDpi="120" verticalDpi="7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CF</vt:lpstr>
      <vt:lpstr>COLLECTIBLES</vt:lpstr>
      <vt:lpstr>CASH SHORT</vt:lpstr>
      <vt:lpstr>JAN 01-05 2026</vt:lpstr>
      <vt:lpstr>JAN 06-12 2026</vt:lpstr>
      <vt:lpstr>JAN 13-19 2026</vt:lpstr>
      <vt:lpstr>JAN 20-26 2026</vt:lpstr>
      <vt:lpstr>JAN 27-31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Alywin Aidan Baje</dc:creator>
  <cp:lastModifiedBy>Seven Trent</cp:lastModifiedBy>
  <dcterms:created xsi:type="dcterms:W3CDTF">2025-06-02T09:53:00Z</dcterms:created>
  <dcterms:modified xsi:type="dcterms:W3CDTF">2026-08-13T03:54:07Z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E8B9BD598D1A44079BF05564D07838E3_13</vt:lpwstr>
  </property>
  <property fmtid="{D5CDD505-2E9C-101B-9397-08002B2CF9AE}" pid="3" name="KSOProductBuildVer">
    <vt:lpwstr>1033-12.2.0.13214</vt:lpwstr>
  </property>
</Properties>
</file>