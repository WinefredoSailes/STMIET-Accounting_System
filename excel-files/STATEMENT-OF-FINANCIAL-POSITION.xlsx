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ywi\Downloads\"/>
    </mc:Choice>
  </mc:AlternateContent>
  <xr:revisionPtr revIDLastSave="0" documentId="8_{DF128D00-3106-4FEC-B0D7-EB449F034233}" xr6:coauthVersionLast="47" xr6:coauthVersionMax="47" xr10:uidLastSave="{00000000-0000-0000-0000-000000000000}"/>
  <bookViews>
    <workbookView xWindow="-108" yWindow="-108" windowWidth="23256" windowHeight="12456" xr2:uid="{8A62463B-596B-453B-A5B7-38144D6A0989}"/>
  </bookViews>
  <sheets>
    <sheet name="YEAR END" sheetId="1" r:id="rId1"/>
  </sheets>
  <definedNames>
    <definedName name="_xlnm.Print_Area" localSheetId="0">'YEAR END'!$A$1:$G$36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C16" i="1"/>
  <c r="F16" i="1"/>
  <c r="C23" i="1"/>
  <c r="C27" i="1" s="1"/>
  <c r="F23" i="1"/>
  <c r="C31" i="1"/>
  <c r="C29" i="1" l="1"/>
  <c r="C32" i="1" s="1"/>
  <c r="C34" i="1"/>
  <c r="C33" i="1"/>
  <c r="F25" i="1" l="1"/>
  <c r="F27" i="1" s="1"/>
  <c r="C36" i="1" s="1"/>
  <c r="C35" i="1" l="1"/>
  <c r="F29" i="1"/>
</calcChain>
</file>

<file path=xl/sharedStrings.xml><?xml version="1.0" encoding="utf-8"?>
<sst xmlns="http://schemas.openxmlformats.org/spreadsheetml/2006/main" count="48" uniqueCount="48">
  <si>
    <r>
      <t>Debt-to-Equity Ratio</t>
    </r>
    <r>
      <rPr>
        <sz val="8.5"/>
        <color theme="3" tint="-0.249977111117893"/>
        <rFont val="Century Gothic"/>
        <family val="1"/>
      </rPr>
      <t xml:space="preserve"> (Total Liabilities / Owner's Equity)</t>
    </r>
  </si>
  <si>
    <r>
      <t>Assets-to-Equity Ratio</t>
    </r>
    <r>
      <rPr>
        <sz val="9"/>
        <color theme="3" tint="-0.249977111117893"/>
        <rFont val="Century Gothic"/>
        <family val="1"/>
      </rPr>
      <t xml:space="preserve"> (Total Assets / Owner's Equity)</t>
    </r>
  </si>
  <si>
    <r>
      <t xml:space="preserve">Working Capital </t>
    </r>
    <r>
      <rPr>
        <sz val="9"/>
        <color theme="3" tint="-0.249977111117893"/>
        <rFont val="Century Gothic"/>
        <family val="1"/>
      </rPr>
      <t>(Current Assets - Current Liabilities)</t>
    </r>
  </si>
  <si>
    <r>
      <t xml:space="preserve">Current Ratio </t>
    </r>
    <r>
      <rPr>
        <sz val="9"/>
        <color theme="3" tint="-0.249977111117893"/>
        <rFont val="Century Gothic"/>
        <family val="1"/>
      </rPr>
      <t>(Current Assets / Current Liabilities)</t>
    </r>
  </si>
  <si>
    <r>
      <t xml:space="preserve">Debt Ratio </t>
    </r>
    <r>
      <rPr>
        <sz val="9"/>
        <color theme="3" tint="-0.249977111117893"/>
        <rFont val="Century Gothic"/>
        <family val="1"/>
      </rPr>
      <t>(Total Liabilities / Total Assets)</t>
    </r>
  </si>
  <si>
    <t>COMMON FINANCIAL RATIO</t>
  </si>
  <si>
    <t>TOTAL LIABILITIES AND OWNER'S EQUITY</t>
  </si>
  <si>
    <t>TOTAL ASSETS</t>
  </si>
  <si>
    <t>TOTAL OWNER'S EQUITY</t>
  </si>
  <si>
    <t>TOTAL NON CURRENT ASSETS</t>
  </si>
  <si>
    <t>E.Bagatua, Drawings</t>
  </si>
  <si>
    <t>E.Bagatua, Capital</t>
  </si>
  <si>
    <t>Advances to Contractors</t>
  </si>
  <si>
    <t>OWNER'S EQUITY</t>
  </si>
  <si>
    <t>OTHER NON-CURRENT ASSETS</t>
  </si>
  <si>
    <t>TOTAL NON CURRENT LIABILITIES</t>
  </si>
  <si>
    <t>TOTAL FIXED ASSETS</t>
  </si>
  <si>
    <t>Vehicles/Specialized /Heavy Equipments,Net</t>
  </si>
  <si>
    <t>Office Equipment,Net</t>
  </si>
  <si>
    <t>Other Payables - NC</t>
  </si>
  <si>
    <t>Furniture and Fixtures,Net</t>
  </si>
  <si>
    <t>Loans Payable - NC</t>
  </si>
  <si>
    <t>Building and Improvements,Net</t>
  </si>
  <si>
    <t>LONG-TERM LIABILITIES</t>
  </si>
  <si>
    <t>FIXED (LONG-TERM) ASSETS</t>
  </si>
  <si>
    <t>TOTAL CURRENT LIABILITIES</t>
  </si>
  <si>
    <t>TOTAL CURRENT ASSETS</t>
  </si>
  <si>
    <t>Inventory</t>
  </si>
  <si>
    <t>Loans Payable-Current</t>
  </si>
  <si>
    <t>Advances to Supplier</t>
  </si>
  <si>
    <t>Deferred Revenue</t>
  </si>
  <si>
    <t>Due from Related Party</t>
  </si>
  <si>
    <t>Govt. Mandatory Contribution Payable</t>
  </si>
  <si>
    <t>Employees Receivable</t>
  </si>
  <si>
    <t>Accrued  Expense</t>
  </si>
  <si>
    <t>Accounts Receivable</t>
  </si>
  <si>
    <t>Due to Contractor</t>
  </si>
  <si>
    <t>Due from Bank-EW</t>
  </si>
  <si>
    <t>Accounts Payable</t>
  </si>
  <si>
    <t>Cash</t>
  </si>
  <si>
    <t>CURRENT LIABILITIES</t>
  </si>
  <si>
    <t>CURRENT ASSETS</t>
  </si>
  <si>
    <t>LIABILITIES AND OWNER'S EQUITY</t>
  </si>
  <si>
    <t>ASSETS</t>
  </si>
  <si>
    <t>STATEMENT OF FINANCIAL POSITION</t>
  </si>
  <si>
    <t>SEVEN-TRENT MACHINERIES INDUSTRIAL EQUIPMENT TRADING</t>
  </si>
  <si>
    <t>As of  December 31, xx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</si>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</sst>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-[$₱-3409]* #,##0.00_-;\-[$₱-3409]* #,##0.00_-;_-[$₱-3409]* &quot;-&quot;??_-;_-@_-"/>
    <numFmt numFmtId="165" formatCode="_(&quot;$&quot;* #,##0.00_);_(&quot;$&quot;* \(#,##0.00\);_(&quot;$&quot;* &quot;-&quot;??_);_(@_)"/>
    <numFmt numFmtId="166" formatCode="_(* #,##0_);_(* \(#,##0\);_(* &quot;-&quot;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3" tint="-0.249977111117893"/>
      <name val="Century Gothic"/>
      <family val="1"/>
    </font>
    <font>
      <b/>
      <sz val="8.5"/>
      <color theme="3" tint="-0.249977111117893"/>
      <name val="Century Gothic"/>
      <family val="1"/>
    </font>
    <font>
      <sz val="8.5"/>
      <color theme="3" tint="-0.249977111117893"/>
      <name val="Century Gothic"/>
      <family val="1"/>
    </font>
    <font>
      <b/>
      <sz val="9"/>
      <color theme="3" tint="-0.249977111117893"/>
      <name val="Century Gothic"/>
      <family val="1"/>
    </font>
    <font>
      <sz val="9"/>
      <color theme="3" tint="-0.249977111117893"/>
      <name val="Century Gothic"/>
      <family val="1"/>
    </font>
    <font>
      <b/>
      <sz val="10"/>
      <color theme="3" tint="-0.249977111117893"/>
      <name val="Century Gothic"/>
      <family val="1"/>
    </font>
    <font>
      <b/>
      <sz val="10"/>
      <color theme="0"/>
      <name val="Century Gothic"/>
      <family val="1"/>
    </font>
    <font>
      <sz val="12"/>
      <color theme="1"/>
      <name val="Calibri"/>
      <family val="2"/>
      <scheme val="minor"/>
    </font>
    <font>
      <b/>
      <sz val="10"/>
      <color theme="3" tint="-0.249977111117893"/>
      <name val="Century Gothic Bold"/>
    </font>
    <font>
      <b/>
      <sz val="11"/>
      <color theme="3" tint="-0.249977111117893"/>
      <name val="Century Gothic"/>
      <family val="1"/>
    </font>
    <font>
      <b/>
      <sz val="10"/>
      <color indexed="9"/>
      <name val="Century Gothic"/>
      <family val="1"/>
    </font>
    <font>
      <sz val="13"/>
      <color theme="1"/>
      <name val="Calibri"/>
      <family val="2"/>
      <scheme val="minor"/>
    </font>
    <font>
      <b/>
      <sz val="12"/>
      <color theme="3" tint="-0.249977111117893"/>
      <name val="Century Gothic"/>
      <family val="1"/>
    </font>
    <font>
      <b/>
      <sz val="11"/>
      <name val="Century Gothic"/>
      <family val="2"/>
    </font>
    <font>
      <b/>
      <sz val="14"/>
      <color rgb="FF0070C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rgb="FFF7F7F7"/>
        <bgColor indexed="64"/>
      </patternFill>
    </fill>
  </fills>
  <borders count="6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8">
    <xf numFmtId="0" fontId="0" fillId="0" borderId="0" xfId="0"/>
    <xf numFmtId="0" fontId="0" fillId="2" borderId="0" xfId="0" applyFill="1"/>
    <xf numFmtId="164" fontId="3" fillId="3" borderId="1" xfId="3" applyNumberFormat="1" applyFont="1" applyFill="1" applyBorder="1" applyAlignment="1" applyProtection="1">
      <alignment vertical="center"/>
    </xf>
    <xf numFmtId="0" fontId="4" fillId="3" borderId="1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left" vertical="center" indent="1"/>
    </xf>
    <xf numFmtId="164" fontId="3" fillId="3" borderId="1" xfId="2" applyNumberFormat="1" applyFont="1" applyFill="1" applyBorder="1" applyAlignment="1" applyProtection="1">
      <alignment vertical="center"/>
    </xf>
    <xf numFmtId="0" fontId="8" fillId="4" borderId="2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 indent="1"/>
    </xf>
    <xf numFmtId="0" fontId="10" fillId="0" borderId="0" xfId="0" applyFont="1"/>
    <xf numFmtId="44" fontId="8" fillId="6" borderId="1" xfId="2" applyFont="1" applyFill="1" applyBorder="1" applyAlignment="1">
      <alignment vertical="center"/>
    </xf>
    <xf numFmtId="0" fontId="8" fillId="6" borderId="1" xfId="0" applyFont="1" applyFill="1" applyBorder="1" applyAlignment="1">
      <alignment horizontal="right" vertical="center" indent="1"/>
    </xf>
    <xf numFmtId="44" fontId="8" fillId="6" borderId="3" xfId="2" applyFont="1" applyFill="1" applyBorder="1" applyAlignment="1">
      <alignment vertical="center"/>
    </xf>
    <xf numFmtId="165" fontId="0" fillId="0" borderId="0" xfId="0" applyNumberFormat="1"/>
    <xf numFmtId="44" fontId="3" fillId="7" borderId="1" xfId="2" applyFont="1" applyFill="1" applyBorder="1" applyAlignment="1" applyProtection="1">
      <alignment vertical="center"/>
    </xf>
    <xf numFmtId="165" fontId="3" fillId="0" borderId="1" xfId="4" applyFont="1" applyFill="1" applyBorder="1" applyAlignment="1" applyProtection="1">
      <alignment vertical="center"/>
      <protection locked="0"/>
    </xf>
    <xf numFmtId="0" fontId="3" fillId="8" borderId="1" xfId="0" applyFont="1" applyFill="1" applyBorder="1" applyAlignment="1" applyProtection="1">
      <alignment horizontal="left" vertical="center" indent="2"/>
      <protection locked="0"/>
    </xf>
    <xf numFmtId="43" fontId="3" fillId="0" borderId="4" xfId="1" applyFont="1" applyFill="1" applyBorder="1" applyAlignment="1" applyProtection="1">
      <alignment vertical="center"/>
      <protection locked="0"/>
    </xf>
    <xf numFmtId="0" fontId="3" fillId="8" borderId="4" xfId="0" applyFont="1" applyFill="1" applyBorder="1" applyAlignment="1" applyProtection="1">
      <alignment horizontal="left" vertical="center" indent="2"/>
      <protection locked="0"/>
    </xf>
    <xf numFmtId="44" fontId="3" fillId="0" borderId="4" xfId="2" applyFont="1" applyFill="1" applyBorder="1" applyAlignment="1" applyProtection="1">
      <alignment vertical="center"/>
      <protection locked="0"/>
    </xf>
    <xf numFmtId="165" fontId="3" fillId="3" borderId="3" xfId="4" applyFont="1" applyFill="1" applyBorder="1" applyAlignment="1" applyProtection="1">
      <alignment vertical="center"/>
    </xf>
    <xf numFmtId="0" fontId="8" fillId="3" borderId="5" xfId="0" applyFont="1" applyFill="1" applyBorder="1" applyAlignment="1">
      <alignment horizontal="left" vertical="center" indent="1"/>
    </xf>
    <xf numFmtId="44" fontId="3" fillId="7" borderId="2" xfId="2" applyFont="1" applyFill="1" applyBorder="1" applyAlignment="1" applyProtection="1">
      <alignment vertical="center"/>
    </xf>
    <xf numFmtId="0" fontId="8" fillId="6" borderId="2" xfId="0" applyFont="1" applyFill="1" applyBorder="1" applyAlignment="1">
      <alignment horizontal="right" vertical="center" indent="1"/>
    </xf>
    <xf numFmtId="165" fontId="3" fillId="0" borderId="2" xfId="4" applyFont="1" applyFill="1" applyBorder="1" applyAlignment="1" applyProtection="1">
      <alignment vertical="center"/>
      <protection locked="0"/>
    </xf>
    <xf numFmtId="0" fontId="3" fillId="8" borderId="2" xfId="0" applyFont="1" applyFill="1" applyBorder="1" applyAlignment="1" applyProtection="1">
      <alignment horizontal="left" vertical="center" indent="2"/>
      <protection locked="0"/>
    </xf>
    <xf numFmtId="43" fontId="3" fillId="0" borderId="1" xfId="1" applyFont="1" applyFill="1" applyBorder="1" applyAlignment="1" applyProtection="1">
      <alignment vertical="center"/>
      <protection locked="0"/>
    </xf>
    <xf numFmtId="164" fontId="3" fillId="0" borderId="4" xfId="4" applyNumberFormat="1" applyFont="1" applyFill="1" applyBorder="1" applyAlignment="1" applyProtection="1">
      <alignment vertical="center"/>
      <protection locked="0"/>
    </xf>
    <xf numFmtId="43" fontId="3" fillId="0" borderId="2" xfId="1" applyFont="1" applyFill="1" applyBorder="1" applyAlignment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left" vertical="center" indent="2"/>
      <protection locked="0"/>
    </xf>
    <xf numFmtId="166" fontId="3" fillId="3" borderId="3" xfId="4" applyNumberFormat="1" applyFont="1" applyFill="1" applyBorder="1" applyAlignment="1" applyProtection="1">
      <alignment vertical="center"/>
    </xf>
    <xf numFmtId="0" fontId="11" fillId="3" borderId="5" xfId="0" applyFont="1" applyFill="1" applyBorder="1" applyAlignment="1">
      <alignment horizontal="left" vertical="center" indent="1"/>
    </xf>
    <xf numFmtId="14" fontId="12" fillId="4" borderId="2" xfId="0" applyNumberFormat="1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left" vertical="center" indent="1"/>
    </xf>
    <xf numFmtId="0" fontId="14" fillId="0" borderId="0" xfId="0" applyFont="1"/>
    <xf numFmtId="14" fontId="15" fillId="4" borderId="2" xfId="0" quotePrefix="1" applyNumberFormat="1" applyFont="1" applyFill="1" applyBorder="1" applyAlignment="1">
      <alignment horizontal="center" vertical="center"/>
    </xf>
    <xf numFmtId="0" fontId="2" fillId="2" borderId="0" xfId="0" applyFont="1" applyFill="1"/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</cellXfs>
  <cellStyles count="5">
    <cellStyle name="Comma" xfId="1" builtinId="3"/>
    <cellStyle name="Currency" xfId="2" builtinId="4"/>
    <cellStyle name="Currency 2" xfId="4" xr:uid="{D95EAAB6-D454-44D1-ABC0-804ED2F7949E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8E4F-0A34-4C58-AB84-5F645271B688}">
  <sheetPr>
    <pageSetUpPr fitToPage="1"/>
  </sheetPr>
  <dimension ref="B3:N36"/>
  <sheetViews>
    <sheetView tabSelected="1" view="pageBreakPreview" topLeftCell="A4" zoomScale="85" zoomScaleNormal="85" zoomScaleSheetLayoutView="85" workbookViewId="0">
      <selection activeCell="C30" sqref="C30"/>
    </sheetView>
  </sheetViews>
  <sheetFormatPr defaultRowHeight="14.4" x14ac:dyDescent="0.3"/>
  <cols>
    <col min="1" max="1" width="3.6640625" style="1" customWidth="1"/>
    <col min="2" max="2" width="44.6640625" style="1" customWidth="1"/>
    <col min="3" max="3" width="16.6640625" style="1" bestFit="1" customWidth="1"/>
    <col min="4" max="4" width="3.33203125" style="1" customWidth="1"/>
    <col min="5" max="5" width="39.5546875" style="1" customWidth="1"/>
    <col min="6" max="6" width="16.6640625" style="1" bestFit="1" customWidth="1"/>
    <col min="7" max="7" width="4.21875" style="1" customWidth="1"/>
    <col min="8" max="8" width="8.88671875" style="1"/>
    <col min="9" max="9" width="17.33203125" style="1" customWidth="1"/>
    <col min="10" max="14" width="8.88671875" style="1"/>
    <col min="15" max="15" width="15.5546875" style="1" bestFit="1" customWidth="1"/>
    <col min="16" max="16384" width="8.88671875" style="1"/>
  </cols>
  <sheetData>
    <row r="3" spans="2:14" ht="17.399999999999999" x14ac:dyDescent="0.3">
      <c r="B3" s="37" t="s">
        <v>45</v>
      </c>
    </row>
    <row r="4" spans="2:14" x14ac:dyDescent="0.3">
      <c r="B4" s="36" t="s">
        <v>44</v>
      </c>
    </row>
    <row r="5" spans="2:14" x14ac:dyDescent="0.3">
      <c r="B5" s="35" t="s">
        <v>46</v>
      </c>
    </row>
    <row r="6" spans="2:14" ht="17.399999999999999" x14ac:dyDescent="0.35">
      <c r="B6" s="32" t="s">
        <v>43</v>
      </c>
      <c r="C6" s="34" t="s">
        <v>47</v>
      </c>
      <c r="D6" s="33"/>
      <c r="E6" s="32" t="s">
        <v>42</v>
      </c>
      <c r="F6" s="31" t="str">
        <f>C6</f>
        <v>2025</v>
      </c>
      <c r="I6"/>
      <c r="J6"/>
      <c r="K6"/>
      <c r="L6"/>
      <c r="M6"/>
      <c r="N6"/>
    </row>
    <row r="7" spans="2:14" ht="15.6" x14ac:dyDescent="0.3">
      <c r="B7" s="20" t="s">
        <v>41</v>
      </c>
      <c r="C7" s="29"/>
      <c r="D7" s="8"/>
      <c r="E7" s="30" t="s">
        <v>40</v>
      </c>
      <c r="F7" s="29"/>
      <c r="I7"/>
      <c r="J7"/>
      <c r="K7"/>
      <c r="L7"/>
      <c r="M7"/>
      <c r="N7"/>
    </row>
    <row r="8" spans="2:14" ht="15.6" x14ac:dyDescent="0.3">
      <c r="B8" s="17" t="s">
        <v>39</v>
      </c>
      <c r="C8" s="18">
        <v>0</v>
      </c>
      <c r="D8" s="8"/>
      <c r="E8" s="17" t="s">
        <v>38</v>
      </c>
      <c r="F8" s="26">
        <v>0</v>
      </c>
      <c r="I8"/>
      <c r="J8"/>
      <c r="K8"/>
      <c r="L8"/>
      <c r="M8"/>
      <c r="N8"/>
    </row>
    <row r="9" spans="2:14" ht="15.6" x14ac:dyDescent="0.3">
      <c r="B9" s="28" t="s">
        <v>37</v>
      </c>
      <c r="C9" s="16">
        <v>0</v>
      </c>
      <c r="D9" s="8"/>
      <c r="E9" s="17" t="s">
        <v>36</v>
      </c>
      <c r="F9" s="16">
        <v>0</v>
      </c>
      <c r="I9"/>
      <c r="J9"/>
      <c r="K9"/>
      <c r="L9"/>
      <c r="M9"/>
      <c r="N9"/>
    </row>
    <row r="10" spans="2:14" ht="15.6" x14ac:dyDescent="0.3">
      <c r="B10" s="15" t="s">
        <v>35</v>
      </c>
      <c r="C10" s="25">
        <v>0</v>
      </c>
      <c r="D10" s="8"/>
      <c r="E10" s="17" t="s">
        <v>34</v>
      </c>
      <c r="F10" s="25">
        <v>0</v>
      </c>
      <c r="I10"/>
      <c r="J10"/>
      <c r="K10"/>
      <c r="L10"/>
      <c r="M10"/>
      <c r="N10"/>
    </row>
    <row r="11" spans="2:14" ht="15.6" x14ac:dyDescent="0.3">
      <c r="B11" s="24" t="s">
        <v>33</v>
      </c>
      <c r="C11" s="25">
        <v>0</v>
      </c>
      <c r="D11" s="8"/>
      <c r="E11" s="15" t="s">
        <v>32</v>
      </c>
      <c r="F11" s="25">
        <v>0</v>
      </c>
      <c r="I11"/>
      <c r="J11"/>
      <c r="K11"/>
      <c r="L11"/>
      <c r="M11"/>
      <c r="N11"/>
    </row>
    <row r="12" spans="2:14" ht="15.6" x14ac:dyDescent="0.3">
      <c r="B12" s="24" t="s">
        <v>31</v>
      </c>
      <c r="C12" s="25">
        <v>0</v>
      </c>
      <c r="D12" s="8"/>
      <c r="E12" s="15" t="s">
        <v>30</v>
      </c>
      <c r="F12" s="25">
        <v>0</v>
      </c>
      <c r="I12"/>
      <c r="J12"/>
      <c r="K12"/>
      <c r="L12"/>
      <c r="M12"/>
      <c r="N12"/>
    </row>
    <row r="13" spans="2:14" ht="15.6" x14ac:dyDescent="0.3">
      <c r="B13" s="15" t="s">
        <v>29</v>
      </c>
      <c r="C13" s="25">
        <v>0</v>
      </c>
      <c r="D13" s="8"/>
      <c r="E13" s="15" t="s">
        <v>28</v>
      </c>
      <c r="F13" s="25">
        <v>0</v>
      </c>
      <c r="I13"/>
      <c r="J13"/>
      <c r="K13"/>
      <c r="L13"/>
      <c r="M13"/>
      <c r="N13"/>
    </row>
    <row r="14" spans="2:14" ht="15.6" x14ac:dyDescent="0.3">
      <c r="B14" s="15" t="s">
        <v>27</v>
      </c>
      <c r="C14" s="27">
        <v>0</v>
      </c>
      <c r="D14" s="8"/>
      <c r="E14" s="15"/>
      <c r="F14" s="25"/>
      <c r="I14"/>
      <c r="J14"/>
      <c r="K14"/>
      <c r="L14"/>
      <c r="M14"/>
      <c r="N14"/>
    </row>
    <row r="15" spans="2:14" ht="15.6" x14ac:dyDescent="0.3">
      <c r="B15" s="15"/>
      <c r="C15" s="27"/>
      <c r="D15" s="8"/>
      <c r="E15" s="15"/>
      <c r="F15" s="25"/>
      <c r="I15"/>
      <c r="J15"/>
      <c r="K15"/>
      <c r="L15"/>
      <c r="M15"/>
      <c r="N15"/>
    </row>
    <row r="16" spans="2:14" ht="15.6" x14ac:dyDescent="0.3">
      <c r="B16" s="22" t="s">
        <v>26</v>
      </c>
      <c r="C16" s="21">
        <f>SUM(C8:C15)</f>
        <v>0</v>
      </c>
      <c r="D16" s="8"/>
      <c r="E16" s="22" t="s">
        <v>25</v>
      </c>
      <c r="F16" s="21">
        <f>SUM(F8:F15)</f>
        <v>0</v>
      </c>
      <c r="I16"/>
      <c r="J16"/>
      <c r="K16"/>
      <c r="L16"/>
      <c r="M16"/>
      <c r="N16"/>
    </row>
    <row r="17" spans="2:14" ht="15.6" x14ac:dyDescent="0.3">
      <c r="B17" s="20" t="s">
        <v>24</v>
      </c>
      <c r="C17" s="19"/>
      <c r="D17" s="8"/>
      <c r="E17" s="20" t="s">
        <v>23</v>
      </c>
      <c r="F17" s="19"/>
      <c r="I17"/>
      <c r="J17"/>
      <c r="K17"/>
      <c r="L17"/>
      <c r="M17"/>
      <c r="N17"/>
    </row>
    <row r="18" spans="2:14" ht="15.6" x14ac:dyDescent="0.3">
      <c r="B18" s="17" t="s">
        <v>22</v>
      </c>
      <c r="C18" s="26">
        <v>0</v>
      </c>
      <c r="D18" s="8"/>
      <c r="E18" s="17" t="s">
        <v>21</v>
      </c>
      <c r="F18" s="18">
        <v>0</v>
      </c>
      <c r="I18"/>
      <c r="J18"/>
      <c r="K18"/>
      <c r="L18"/>
      <c r="M18"/>
      <c r="N18"/>
    </row>
    <row r="19" spans="2:14" ht="15.6" x14ac:dyDescent="0.3">
      <c r="B19" s="15" t="s">
        <v>20</v>
      </c>
      <c r="C19" s="25">
        <v>0</v>
      </c>
      <c r="D19" s="8"/>
      <c r="E19" s="15" t="s">
        <v>19</v>
      </c>
      <c r="F19" s="25">
        <v>0</v>
      </c>
      <c r="J19"/>
      <c r="K19"/>
      <c r="L19"/>
      <c r="M19"/>
      <c r="N19"/>
    </row>
    <row r="20" spans="2:14" ht="15.6" x14ac:dyDescent="0.3">
      <c r="B20" s="15" t="s">
        <v>18</v>
      </c>
      <c r="C20" s="25">
        <v>0</v>
      </c>
      <c r="D20" s="8"/>
      <c r="E20" s="15"/>
      <c r="F20" s="14"/>
      <c r="J20"/>
      <c r="K20"/>
      <c r="L20"/>
      <c r="M20"/>
      <c r="N20"/>
    </row>
    <row r="21" spans="2:14" ht="15.6" x14ac:dyDescent="0.3">
      <c r="B21" s="15" t="s">
        <v>17</v>
      </c>
      <c r="C21" s="25">
        <v>0</v>
      </c>
      <c r="D21" s="8"/>
      <c r="E21" s="15"/>
      <c r="F21" s="14"/>
      <c r="J21"/>
      <c r="K21"/>
      <c r="L21"/>
      <c r="M21"/>
      <c r="N21"/>
    </row>
    <row r="22" spans="2:14" ht="15.6" x14ac:dyDescent="0.3">
      <c r="B22" s="24"/>
      <c r="C22" s="23"/>
      <c r="D22" s="8"/>
      <c r="E22" s="24"/>
      <c r="F22" s="23"/>
      <c r="J22"/>
      <c r="K22"/>
      <c r="L22"/>
      <c r="M22"/>
      <c r="N22"/>
    </row>
    <row r="23" spans="2:14" ht="15.6" x14ac:dyDescent="0.3">
      <c r="B23" s="22" t="s">
        <v>16</v>
      </c>
      <c r="C23" s="21">
        <f>SUM(C18:C21)</f>
        <v>0</v>
      </c>
      <c r="D23" s="8"/>
      <c r="E23" s="22" t="s">
        <v>15</v>
      </c>
      <c r="F23" s="21">
        <f>SUM(F18:F21)</f>
        <v>0</v>
      </c>
    </row>
    <row r="24" spans="2:14" ht="15.6" x14ac:dyDescent="0.3">
      <c r="B24" s="20" t="s">
        <v>14</v>
      </c>
      <c r="C24" s="19"/>
      <c r="D24" s="8"/>
      <c r="E24" s="20" t="s">
        <v>13</v>
      </c>
      <c r="F24" s="19"/>
    </row>
    <row r="25" spans="2:14" ht="15.6" x14ac:dyDescent="0.3">
      <c r="B25" s="17" t="s">
        <v>12</v>
      </c>
      <c r="C25" s="18">
        <v>0</v>
      </c>
      <c r="D25" s="8"/>
      <c r="E25" s="17" t="s">
        <v>11</v>
      </c>
      <c r="F25" s="16">
        <f>C29-F16-F23</f>
        <v>0</v>
      </c>
    </row>
    <row r="26" spans="2:14" ht="15.6" x14ac:dyDescent="0.3">
      <c r="B26" s="15"/>
      <c r="C26" s="14"/>
      <c r="D26" s="8"/>
      <c r="E26" s="15" t="s">
        <v>10</v>
      </c>
      <c r="F26" s="14"/>
    </row>
    <row r="27" spans="2:14" ht="15.6" x14ac:dyDescent="0.3">
      <c r="B27" s="10" t="s">
        <v>9</v>
      </c>
      <c r="C27" s="13">
        <f>C25+C23</f>
        <v>0</v>
      </c>
      <c r="D27" s="8"/>
      <c r="E27" s="10" t="s">
        <v>8</v>
      </c>
      <c r="F27" s="13">
        <f>SUM(F25:F26)</f>
        <v>0</v>
      </c>
    </row>
    <row r="28" spans="2:14" ht="15.6" x14ac:dyDescent="0.3">
      <c r="B28"/>
      <c r="C28" s="12"/>
      <c r="D28" s="8"/>
    </row>
    <row r="29" spans="2:14" ht="15.6" x14ac:dyDescent="0.3">
      <c r="B29" s="10" t="s">
        <v>7</v>
      </c>
      <c r="C29" s="11">
        <f>C27+C16</f>
        <v>0</v>
      </c>
      <c r="D29" s="8"/>
      <c r="E29" s="10" t="s">
        <v>6</v>
      </c>
      <c r="F29" s="9">
        <f>F16+F23+F27</f>
        <v>0</v>
      </c>
    </row>
    <row r="30" spans="2:14" ht="15.6" x14ac:dyDescent="0.3">
      <c r="B30"/>
      <c r="C30"/>
      <c r="D30" s="8"/>
    </row>
    <row r="31" spans="2:14" x14ac:dyDescent="0.3">
      <c r="B31" s="7" t="s">
        <v>5</v>
      </c>
      <c r="C31" s="6" t="str">
        <f>C6</f>
        <v>2025</v>
      </c>
      <c r="D31"/>
      <c r="E31"/>
      <c r="F31"/>
    </row>
    <row r="32" spans="2:14" x14ac:dyDescent="0.3">
      <c r="B32" s="4" t="s">
        <v>4</v>
      </c>
      <c r="C32" s="2" t="str">
        <f>IF(C29=0,"",(F16+F23)/C29)</f>
        <v/>
      </c>
      <c r="D32"/>
      <c r="E32"/>
      <c r="F32"/>
    </row>
    <row r="33" spans="2:6" x14ac:dyDescent="0.3">
      <c r="B33" s="4" t="s">
        <v>3</v>
      </c>
      <c r="C33" s="2" t="str">
        <f>IF(F16=0,"",C16/F16)</f>
        <v/>
      </c>
      <c r="D33"/>
      <c r="E33"/>
      <c r="F33"/>
    </row>
    <row r="34" spans="2:6" x14ac:dyDescent="0.3">
      <c r="B34" s="4" t="s">
        <v>2</v>
      </c>
      <c r="C34" s="5">
        <f>C16-F16</f>
        <v>0</v>
      </c>
      <c r="D34"/>
      <c r="E34"/>
      <c r="F34"/>
    </row>
    <row r="35" spans="2:6" x14ac:dyDescent="0.3">
      <c r="B35" s="4" t="s">
        <v>1</v>
      </c>
      <c r="C35" s="2" t="str">
        <f>IF(F27=0,"",C29/F27)</f>
        <v/>
      </c>
      <c r="D35"/>
      <c r="E35"/>
      <c r="F35"/>
    </row>
    <row r="36" spans="2:6" x14ac:dyDescent="0.3">
      <c r="B36" s="3" t="s">
        <v>0</v>
      </c>
      <c r="C36" s="2" t="str">
        <f>IF(F27=0,"",(F16+F23)/F27)</f>
        <v/>
      </c>
      <c r="D36"/>
      <c r="E36"/>
      <c r="F36"/>
    </row>
  </sheetData>
  <pageMargins left="1.23" right="0.7" top="0.19" bottom="0.75" header="0.19" footer="0.3"/>
  <pageSetup paperSize="14" scale="9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YEAR END</vt:lpstr>
      <vt:lpstr>'YEAR END'!Print_Area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Alywin Aidan Baje</dc:creator>
  <cp:lastModifiedBy>Alywin Aidan Baje</cp:lastModifiedBy>
  <dcterms:created xsi:type="dcterms:W3CDTF">2026-07-18T00:58:26Z</dcterms:created>
  <dcterms:modified xsi:type="dcterms:W3CDTF">2026-07-18T01:00:10Z</dcterms:modified>
</cp:coreProperties>
</file>