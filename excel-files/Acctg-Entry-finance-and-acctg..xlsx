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a92760d46d7c6af/ST-FS/ACCOUNTING POLICY/STMIET/"/>
    </mc:Choice>
  </mc:AlternateContent>
  <xr:revisionPtr revIDLastSave="778" documentId="11_0B70F3F58E40EEC04A4AF34A625FACB45283FE68" xr6:coauthVersionLast="47" xr6:coauthVersionMax="47" xr10:uidLastSave="{7F97828F-A1FD-4A49-89E7-67E43734CB47}"/>
  <bookViews>
    <workbookView xWindow="-108" yWindow="-108" windowWidth="23256" windowHeight="12456" firstSheet="4" activeTab="6" xr2:uid="{00000000-000D-0000-FFFF-FFFF00000000}"/>
  </bookViews>
  <sheets>
    <sheet name="MACHINERY" sheetId="5" state="hidden" r:id="rId1"/>
    <sheet name="ACCRUAL ENTRIES" sheetId="16" state="hidden" r:id="rId2"/>
    <sheet name="BULILIT STATION(CONTRACTOR)" sheetId="10" r:id="rId3"/>
    <sheet name="BULILIT STATION AS SUPPLIER " sheetId="18" r:id="rId4"/>
    <sheet name="CONSIGNMENT SALES" sheetId="7" r:id="rId5"/>
    <sheet name="DIST. AND HAUL OF PETROLEUM PRO" sheetId="13" r:id="rId6"/>
    <sheet name="GOVT CONTRIBUTION" sheetId="15" r:id="rId7"/>
    <sheet name="INSTALLMENT SALES" sheetId="6" r:id="rId8"/>
    <sheet name="JOB ORDERS" sheetId="14" r:id="rId9"/>
    <sheet name="LOAN_FINANCING- ORIX" sheetId="12" r:id="rId10"/>
    <sheet name="LOANS PAYABLE-OFFICERS" sheetId="11" r:id="rId11"/>
    <sheet name="MACHINERIES" sheetId="8" r:id="rId12"/>
    <sheet name="INVENTORIES " sheetId="17" r:id="rId13"/>
    <sheet name="Salaries and Wages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8" l="1"/>
  <c r="J13" i="18"/>
  <c r="J28" i="18"/>
  <c r="J19" i="18"/>
  <c r="J6" i="18"/>
  <c r="L64" i="13"/>
  <c r="L63" i="13"/>
  <c r="I47" i="17"/>
  <c r="H46" i="17"/>
  <c r="I39" i="17"/>
  <c r="H38" i="17"/>
  <c r="I34" i="17"/>
  <c r="F11" i="9"/>
  <c r="E6" i="9"/>
  <c r="E5" i="9"/>
  <c r="H33" i="17" l="1"/>
  <c r="E39" i="15" l="1"/>
  <c r="H29" i="8"/>
  <c r="I30" i="8" s="1"/>
  <c r="I11" i="8"/>
  <c r="I20" i="10"/>
  <c r="I16" i="10"/>
  <c r="S23" i="10"/>
  <c r="E44" i="15"/>
  <c r="E43" i="15"/>
  <c r="E42" i="15"/>
  <c r="E41" i="15"/>
  <c r="E40" i="15"/>
  <c r="F45" i="15"/>
  <c r="D49" i="15" s="1"/>
  <c r="F50" i="15" s="1"/>
  <c r="F27" i="15"/>
  <c r="E26" i="15"/>
  <c r="E25" i="15"/>
  <c r="E24" i="15"/>
  <c r="F10" i="15"/>
  <c r="E16" i="9"/>
  <c r="E7" i="7"/>
  <c r="N22" i="6"/>
  <c r="M21" i="6"/>
  <c r="N19" i="6"/>
  <c r="P16" i="6"/>
  <c r="O16" i="6"/>
  <c r="P15" i="6"/>
  <c r="O15" i="6"/>
  <c r="P14" i="6"/>
  <c r="P13" i="6"/>
  <c r="O13" i="6"/>
  <c r="P12" i="6"/>
  <c r="O12" i="6"/>
  <c r="O11" i="6"/>
  <c r="I34" i="8"/>
  <c r="H5" i="8"/>
  <c r="S27" i="10"/>
  <c r="S17" i="10"/>
  <c r="I10" i="10"/>
  <c r="S9" i="10"/>
  <c r="I40" i="5"/>
  <c r="H39" i="5"/>
  <c r="M33" i="5"/>
  <c r="I32" i="5"/>
  <c r="M31" i="5"/>
  <c r="H31" i="5"/>
  <c r="V28" i="5"/>
  <c r="H27" i="5"/>
  <c r="Y25" i="5"/>
  <c r="V25" i="5"/>
  <c r="V24" i="5"/>
  <c r="I24" i="5"/>
  <c r="V23" i="5"/>
  <c r="U21" i="5"/>
  <c r="Y14" i="5"/>
  <c r="Y13" i="5"/>
  <c r="Y12" i="5"/>
  <c r="V8" i="5"/>
  <c r="U6" i="5"/>
  <c r="L6" i="5"/>
  <c r="H5" i="5"/>
  <c r="H46" i="8" l="1"/>
  <c r="I48" i="8" s="1"/>
  <c r="H38" i="8"/>
  <c r="I41" i="8" s="1"/>
  <c r="I16" i="8"/>
  <c r="H15" i="8"/>
  <c r="F17" i="9"/>
  <c r="D21" i="9" s="1"/>
  <c r="F22" i="9" s="1"/>
  <c r="I40" i="8" l="1"/>
  <c r="H39" i="8"/>
</calcChain>
</file>

<file path=xl/sharedStrings.xml><?xml version="1.0" encoding="utf-8"?>
<sst xmlns="http://schemas.openxmlformats.org/spreadsheetml/2006/main" count="516" uniqueCount="279">
  <si>
    <t>Accounting Entries:</t>
  </si>
  <si>
    <t>Upon Purchase of Machine</t>
  </si>
  <si>
    <t>Dr. Purchase - TSRO (Cost)</t>
  </si>
  <si>
    <t>Dr. Purchases - Machine Equipment (Cost)</t>
  </si>
  <si>
    <t>Dr. Input Vat</t>
  </si>
  <si>
    <t>Cr. Cash/COCI</t>
  </si>
  <si>
    <t>#</t>
  </si>
  <si>
    <t>Upon deposit by client</t>
  </si>
  <si>
    <t>Dr. Cash</t>
  </si>
  <si>
    <t>Cr. Customer's Deposit - Anne Robledo</t>
  </si>
  <si>
    <t>Upon Full payment</t>
  </si>
  <si>
    <t>Cr. Customer's Deposit -Anne Robledo</t>
  </si>
  <si>
    <t>Upon Delivery of Machine to Client</t>
  </si>
  <si>
    <t>Upon delivery of machine to client</t>
  </si>
  <si>
    <t>Dr. Sales Receivable</t>
  </si>
  <si>
    <t>Dr. Customer's Deposit</t>
  </si>
  <si>
    <t>Cr. Output Vat Payable</t>
  </si>
  <si>
    <t>Cr. Purchase -Machine (TSRO)</t>
  </si>
  <si>
    <t>Cr. Sales Revenue</t>
  </si>
  <si>
    <t>Cr. Sales Receivable</t>
  </si>
  <si>
    <t>Beginning</t>
  </si>
  <si>
    <t>Dr. Cost of Sales</t>
  </si>
  <si>
    <t>Purchase</t>
  </si>
  <si>
    <t>Cr. Machine (TSRO)</t>
  </si>
  <si>
    <t>Ending Invty</t>
  </si>
  <si>
    <t>COS</t>
  </si>
  <si>
    <t>Compound Entry:</t>
  </si>
  <si>
    <t>Market Price  (STMIET w/ Client)</t>
  </si>
  <si>
    <t>XX</t>
  </si>
  <si>
    <t>Less :  Contract Price (STMIET w/ Contractor)</t>
  </si>
  <si>
    <t>(XX)</t>
  </si>
  <si>
    <t>Total: Markup : Recognize as Income Upon Full Payment</t>
  </si>
  <si>
    <t>Upon Receipt (Full Payment) from Clients</t>
  </si>
  <si>
    <t>Upon Receipt from Clients (Down Payment)</t>
  </si>
  <si>
    <t>Dr. Cash in Bank- DMIE</t>
  </si>
  <si>
    <t>Dr. Cash in Bank -DMIE</t>
  </si>
  <si>
    <t>Cr. Payable to Leitouros - DMIE</t>
  </si>
  <si>
    <t>Cr. Other Income - DMIE</t>
  </si>
  <si>
    <t>Upon Remittance of Payment to Contractor (RFP)</t>
  </si>
  <si>
    <t>Dr. Payable to Leitouros - DMIE</t>
  </si>
  <si>
    <t>Cr. AP -Other Current - DMIE</t>
  </si>
  <si>
    <t>Upon Remittance of Payment to Contractor (Check Voucher)</t>
  </si>
  <si>
    <t>Dr. AP -Other Current -DMIE</t>
  </si>
  <si>
    <t>Cr. Cash in Bank - EW</t>
  </si>
  <si>
    <t>Upon Remittance of Payment to Contractor ( for RFP)</t>
  </si>
  <si>
    <t>Accounting Entries: Construction of  Bulilit Station of STMIET as a supplier of Equipments / Construction Materials</t>
  </si>
  <si>
    <t>As of May 06, 2025</t>
  </si>
  <si>
    <t>Dr. Cash in Bank</t>
  </si>
  <si>
    <t>xx</t>
  </si>
  <si>
    <t>Cr. Unearned Income</t>
  </si>
  <si>
    <t>Upon Payment of Supplies / Equipments to 3rd Party ( Creation of RFP)</t>
  </si>
  <si>
    <t>Dr. Advances to Suppliers</t>
  </si>
  <si>
    <t>Cr. A/Payables - Current</t>
  </si>
  <si>
    <t>Upon Payment of Supplies / Equipments to 3rd Party ( Issuance of Check Voucher / Checks)</t>
  </si>
  <si>
    <t>Dr. A/Payables - Current</t>
  </si>
  <si>
    <t>Cr. Cash in Bank</t>
  </si>
  <si>
    <t>Upon Receipt of Supplies / Equipment from 3rd Party</t>
  </si>
  <si>
    <t>Dr. Inventory</t>
  </si>
  <si>
    <t>Cr. Advances to Supplier</t>
  </si>
  <si>
    <t>Upon Release or Delivery of Supplies/ Equipments to Clients</t>
  </si>
  <si>
    <t>Dr. Unearned Income</t>
  </si>
  <si>
    <t xml:space="preserve">Cr. Inventory </t>
  </si>
  <si>
    <t>Upon Release or Delivery of Supplies/ Equipments to Clients ( Full Completion)</t>
  </si>
  <si>
    <t>Cr. Service Income</t>
  </si>
  <si>
    <t>1. Set Up for Consignment (Preparation of SOA)</t>
  </si>
  <si>
    <t>Dr.Cash in Bank-OPS</t>
  </si>
  <si>
    <t>Dr. AR- Consignment- OPS</t>
  </si>
  <si>
    <t>Dr. Cost of Sales- OPS</t>
  </si>
  <si>
    <t>Cr. Inventory - OPS</t>
  </si>
  <si>
    <t>Cr. Sales -OPS</t>
  </si>
  <si>
    <t>2. Upon Payment by Consignee</t>
  </si>
  <si>
    <t>Dr. Cash in Bank- OPS</t>
  </si>
  <si>
    <t>Cr. AR-Consignment -OPS</t>
  </si>
  <si>
    <t>FUEL TRANSACTIONS</t>
  </si>
  <si>
    <t># Rule: Recognized Sales Upon Delivery</t>
  </si>
  <si>
    <t>1. Upon Ordering to Depot</t>
  </si>
  <si>
    <t>Advances to Suppliers -DHPP</t>
  </si>
  <si>
    <t>Cash in Bank -DHPP</t>
  </si>
  <si>
    <t># Recognition of  Payment to Depot</t>
  </si>
  <si>
    <t>2. Upon Pick up to Depot with already payment / without payment</t>
  </si>
  <si>
    <t>Fuel Inventory</t>
  </si>
  <si>
    <t># Recognize inventory for fuel already paid</t>
  </si>
  <si>
    <t>Accounts Payable Current - DHPP</t>
  </si>
  <si>
    <t># Recognize inventory for fuel not yet paid</t>
  </si>
  <si>
    <t>3. Upon Payment by Clients</t>
  </si>
  <si>
    <t>If Partial Payment / Full Payment</t>
  </si>
  <si>
    <t>Cash in Bank - DHPP</t>
  </si>
  <si>
    <t>Unearned Income -DHPP</t>
  </si>
  <si>
    <t># Recognition of Amount paid subject for delivery</t>
  </si>
  <si>
    <t>Cash in Bank  - PNB</t>
  </si>
  <si>
    <t>Payment of orders with Previous Balance(s)</t>
  </si>
  <si>
    <t>Unearned Income</t>
  </si>
  <si>
    <t>A/Receivables</t>
  </si>
  <si>
    <t>A/Receivables- Fuel Clients</t>
  </si>
  <si>
    <t># Recognition of Amount paid subject for delivery and derecogniton of previous balance(s)</t>
  </si>
  <si>
    <t>Payment of  Balance(s)</t>
  </si>
  <si>
    <t># Derecognition of A/R for unpaid orders</t>
  </si>
  <si>
    <t>4. Upon Delivery of Fuel for Consumption for Tankers</t>
  </si>
  <si>
    <t>Fuel Inventory - Office / Dohinob</t>
  </si>
  <si>
    <t># Transfer of fuel stocks purchased from depot to substation (i.e office )  for consumption</t>
  </si>
  <si>
    <t>COGS-Gasoline Expenses</t>
  </si>
  <si>
    <t># Recognition of expense for fuel consume by tankers</t>
  </si>
  <si>
    <t>5. Upon Delivery of Orders to Clients</t>
  </si>
  <si>
    <t>Cost of Fuel Purchase -DHPP</t>
  </si>
  <si>
    <t># Recognition of Cost of Goods Sold Upon delivery to clients</t>
  </si>
  <si>
    <t>Uearned Income</t>
  </si>
  <si>
    <t>Sales -Fuel Hauling</t>
  </si>
  <si>
    <t># Recognition of Sales upon delivery</t>
  </si>
  <si>
    <t>Sales</t>
  </si>
  <si>
    <t>5. Upon Delivery of Orders to Clients w/out Payment</t>
  </si>
  <si>
    <t># Recognition of Cost of Goods Sold upon delivery to clients</t>
  </si>
  <si>
    <t>A/Receivables - Fuel Clients</t>
  </si>
  <si>
    <t># Recognition of Sales upon delivery but w/out payment</t>
  </si>
  <si>
    <t>1. Upon Recognition of Expense (with EE shares)</t>
  </si>
  <si>
    <t>Salaries and Benefits</t>
  </si>
  <si>
    <t>SSS Payable</t>
  </si>
  <si>
    <t>HDMF Payable</t>
  </si>
  <si>
    <t>PHIC Payable</t>
  </si>
  <si>
    <t>Withholding Tax</t>
  </si>
  <si>
    <t>Accrued Salaries Payable</t>
  </si>
  <si>
    <r>
      <t>2. Recognition of Contribution (ER shares) -</t>
    </r>
    <r>
      <rPr>
        <b/>
        <sz val="11"/>
        <color rgb="FFFF0000"/>
        <rFont val="Calibri"/>
        <family val="2"/>
        <scheme val="minor"/>
      </rPr>
      <t>ACCRUAL BASIS</t>
    </r>
  </si>
  <si>
    <t>Government Remittances</t>
  </si>
  <si>
    <t>ER SSS Payable</t>
  </si>
  <si>
    <t>ER HDMF Payable</t>
  </si>
  <si>
    <t>ER PHIC Payable</t>
  </si>
  <si>
    <t># employer share</t>
  </si>
  <si>
    <t xml:space="preserve">3. Recognition of Actual ER Shares </t>
  </si>
  <si>
    <t># reversal of accrual entry</t>
  </si>
  <si>
    <t># recognize actual govt remittance ER Share</t>
  </si>
  <si>
    <t>3.  Upon Creation of RFP</t>
  </si>
  <si>
    <t>AP-Others Current</t>
  </si>
  <si>
    <t>4. Remittance to the Preparation of Check Voucher</t>
  </si>
  <si>
    <t>Cash in Bank</t>
  </si>
  <si>
    <t>August 24, 2024</t>
  </si>
  <si>
    <t>Upon receipt of freebies</t>
  </si>
  <si>
    <t>Cr. Gain on Freebies</t>
  </si>
  <si>
    <t>Upon Sold ( Downpayment )</t>
  </si>
  <si>
    <t>Trial Balance</t>
  </si>
  <si>
    <t>Dr.</t>
  </si>
  <si>
    <t>Cr.</t>
  </si>
  <si>
    <t>Dr. AR- Installment Sales</t>
  </si>
  <si>
    <t>Cash</t>
  </si>
  <si>
    <t>Cr. Inventory</t>
  </si>
  <si>
    <t>AR-Installment</t>
  </si>
  <si>
    <t>Gain on Freebies</t>
  </si>
  <si>
    <t>Dr. Reversal of Gain on Freebies</t>
  </si>
  <si>
    <t>Other Income</t>
  </si>
  <si>
    <t>Cr. Other Income</t>
  </si>
  <si>
    <t>Inventory</t>
  </si>
  <si>
    <t>2. Upon Payment of Installments  (reversal of gain on freebies )</t>
  </si>
  <si>
    <t>Cr. AR- Installment Sales</t>
  </si>
  <si>
    <t>Cr. AR-Installment Sales</t>
  </si>
  <si>
    <t>Dr. Gain on Freebies</t>
  </si>
  <si>
    <t>Journal Entry : JOB ORDER</t>
  </si>
  <si>
    <t>1. Upon Receipt of Prepayment / Services not rendered</t>
  </si>
  <si>
    <t>Dr. Cash in Bank-OPS</t>
  </si>
  <si>
    <t>Cr. Unearned Income -OPS</t>
  </si>
  <si>
    <t>2. Upon rendering of services</t>
  </si>
  <si>
    <t>Dr. Unearned Income -OPS</t>
  </si>
  <si>
    <t>Cr. Job Orders- OPS</t>
  </si>
  <si>
    <t>3. Upon Receipt of Payment for services already rendered (recognized income immediately)</t>
  </si>
  <si>
    <t>Cr. Job Orders - OPS</t>
  </si>
  <si>
    <t>Journal Entry : LOAN FOR JAR 7137</t>
  </si>
  <si>
    <t xml:space="preserve">Journal Entry : BOOM TRUCK </t>
  </si>
  <si>
    <t>1. Reservation of payments</t>
  </si>
  <si>
    <t>Dr. Tanker Cab and Chassis</t>
  </si>
  <si>
    <t>Dr. Boom Truck</t>
  </si>
  <si>
    <t>Cr. Cash in Bank / AP</t>
  </si>
  <si>
    <t>2. Upon Downpayment</t>
  </si>
  <si>
    <t>3. Recognition of Loans (see schedule)</t>
  </si>
  <si>
    <t>3. Recognition of Loans and Receipt of Cash (see schedule)</t>
  </si>
  <si>
    <t xml:space="preserve">Dr. Cash </t>
  </si>
  <si>
    <t>Cr. Loans Payable</t>
  </si>
  <si>
    <t>Dr. Notarial Fees</t>
  </si>
  <si>
    <t>Cr. Interest on Loans Payable</t>
  </si>
  <si>
    <t>Dr. Doc. Stamp Tax</t>
  </si>
  <si>
    <t>4. Recognition of Chattel Mortgage Fees</t>
  </si>
  <si>
    <t>Dr. AR - Orix</t>
  </si>
  <si>
    <t>Loans Payable</t>
  </si>
  <si>
    <t>Dr. Documentary Stamp Tax</t>
  </si>
  <si>
    <t>Interest on Loans Payable</t>
  </si>
  <si>
    <t>5.  Issuance of Cheques for Insurance</t>
  </si>
  <si>
    <t>4. Issuance of Cheques for Insurance</t>
  </si>
  <si>
    <t>Dr. Prepaid Insurance</t>
  </si>
  <si>
    <t>6. Clearing of Checks for Insurance / Recognition of Expense</t>
  </si>
  <si>
    <t xml:space="preserve">Dr. Accounts Payable </t>
  </si>
  <si>
    <t>Dr. Insurance Expense</t>
  </si>
  <si>
    <t>Cr. Prepaid Expense</t>
  </si>
  <si>
    <t>7. Upon clearing of Checks for Payment of Loan (Principal + interest)</t>
  </si>
  <si>
    <t>Dr. Interest Expense</t>
  </si>
  <si>
    <t>Dr. Loans Payable</t>
  </si>
  <si>
    <t>Expedito C. Rebollos</t>
  </si>
  <si>
    <t>E.Rulona</t>
  </si>
  <si>
    <t>1. Upon Receipt of Contribution (w/ unpaid Subscription)</t>
  </si>
  <si>
    <t>1. Upon Receipt of Loans</t>
  </si>
  <si>
    <t>Cash in Bank-DHPP</t>
  </si>
  <si>
    <t>Cash in Bank- DHPP</t>
  </si>
  <si>
    <t>Unearned Income-DHPP</t>
  </si>
  <si>
    <t>Interest Expense - DHPP</t>
  </si>
  <si>
    <t>Loans Payable -DHPP</t>
  </si>
  <si>
    <t>Interest Payable - DHPP</t>
  </si>
  <si>
    <t>2. Upon Delivery of Products</t>
  </si>
  <si>
    <t>Advances to Employees -DHPP</t>
  </si>
  <si>
    <t>2. Upon Clearing of Issued PDC Checks (See amortization table)</t>
  </si>
  <si>
    <t>Sales-DHPP</t>
  </si>
  <si>
    <t>3. Upon RFP (Request for Payment)</t>
  </si>
  <si>
    <t>Interest Payable / Loans Payable- DHPP</t>
  </si>
  <si>
    <t>Miscellaneuous Expense-DHPP</t>
  </si>
  <si>
    <t>Advances to Employees-DHPP</t>
  </si>
  <si>
    <t>AP-Others-DHPP</t>
  </si>
  <si>
    <t>4. Upon issuance of CV</t>
  </si>
  <si>
    <t>AP-Others - DHPP</t>
  </si>
  <si>
    <t>1.A</t>
  </si>
  <si>
    <t>Upon Purchase and Receipt of Machine (RFP)</t>
  </si>
  <si>
    <t>Dr. Advances to Suppliers - DMIE</t>
  </si>
  <si>
    <t>Cr. AP-Current - DMIE</t>
  </si>
  <si>
    <t>1.B</t>
  </si>
  <si>
    <t>Upon Payment (Check Voucher</t>
  </si>
  <si>
    <t>Dr. AP-Current - DMIE</t>
  </si>
  <si>
    <t>Cr. Cash in Bank  - DMIE</t>
  </si>
  <si>
    <t>1.C</t>
  </si>
  <si>
    <t>Upon Receipt of items from Supplier (For Inventory /Warehouse Receiving)</t>
  </si>
  <si>
    <t>Dr. Fuel Dispenser/Inventory (TSRO)</t>
  </si>
  <si>
    <t>Cr. Advances to Suppliers - DMIE</t>
  </si>
  <si>
    <t>2.A</t>
  </si>
  <si>
    <t>Upon Payment (Downpayment by client)</t>
  </si>
  <si>
    <t>Cr. Unearned Income - DMIE</t>
  </si>
  <si>
    <t>2.B</t>
  </si>
  <si>
    <t>Upon Full payment of Machine ( Full Price 550,000)</t>
  </si>
  <si>
    <t>2.C</t>
  </si>
  <si>
    <t>Upon Payment of Shipment</t>
  </si>
  <si>
    <t>2.D</t>
  </si>
  <si>
    <t>Dr. Unearned Income -DMIE</t>
  </si>
  <si>
    <t>Cr. Fuel Dispenser/Inventory (TSRO)</t>
  </si>
  <si>
    <t>Cr. Sales-DMIE</t>
  </si>
  <si>
    <t>Upon Delivery of Machine to Client (NOT FULLY PAID)</t>
  </si>
  <si>
    <t>Dr. Accounts Receivable-DMIE</t>
  </si>
  <si>
    <t>Cr. Inventory/ Machine TSRO</t>
  </si>
  <si>
    <t>Upon Collection of Accounts Receivable</t>
  </si>
  <si>
    <t>Cr. Accounts Receivable -DMIE</t>
  </si>
  <si>
    <t>Journal Entry:</t>
  </si>
  <si>
    <t>Journal Entry of Installment SALES of EUNICE</t>
  </si>
  <si>
    <t>A/R</t>
  </si>
  <si>
    <t>COGS</t>
  </si>
  <si>
    <t>AR</t>
  </si>
  <si>
    <t>Upon Collections</t>
  </si>
  <si>
    <t>FINANCE AND ACCOUNTING</t>
  </si>
  <si>
    <t>Dr. Advances to Suppliers - DMIE/OPS</t>
  </si>
  <si>
    <t>Cr. AP-Current - DMIE / OPS</t>
  </si>
  <si>
    <t>Upon Payment (Check Voucher)</t>
  </si>
  <si>
    <t>Dr. AP-Current - DMIE /OPS</t>
  </si>
  <si>
    <t>Cr. Cash in Bank  - DMIE / OPS</t>
  </si>
  <si>
    <t>Upon Payment by Clients</t>
  </si>
  <si>
    <t>Dr. Cash in Bank- DMIE /OPS</t>
  </si>
  <si>
    <t>Cr. Unearned Income - DMIE/OPS</t>
  </si>
  <si>
    <t>1.D</t>
  </si>
  <si>
    <r>
      <t xml:space="preserve">Recognition of Sales when items are delivered  ( </t>
    </r>
    <r>
      <rPr>
        <sz val="11"/>
        <color rgb="FFFF0000"/>
        <rFont val="Calibri"/>
        <family val="2"/>
        <scheme val="minor"/>
      </rPr>
      <t>for paid items</t>
    </r>
    <r>
      <rPr>
        <sz val="11"/>
        <color theme="1"/>
        <rFont val="Calibri"/>
        <family val="2"/>
        <scheme val="minor"/>
      </rPr>
      <t xml:space="preserve"> )</t>
    </r>
  </si>
  <si>
    <t>Dr. Unearned Income - DMIE/OPS</t>
  </si>
  <si>
    <t>Cr. Sales  - DMIE/OPS</t>
  </si>
  <si>
    <r>
      <t xml:space="preserve">Recognition of Sales when items are delivered  ( </t>
    </r>
    <r>
      <rPr>
        <sz val="11"/>
        <color rgb="FFFF0000"/>
        <rFont val="Calibri"/>
        <family val="2"/>
        <scheme val="minor"/>
      </rPr>
      <t xml:space="preserve">for unpaid items </t>
    </r>
    <r>
      <rPr>
        <sz val="11"/>
        <color theme="1"/>
        <rFont val="Calibri"/>
        <family val="2"/>
        <scheme val="minor"/>
      </rPr>
      <t>)</t>
    </r>
  </si>
  <si>
    <t>Dr. Accounts Receivable -DMIE / OPS</t>
  </si>
  <si>
    <t>INVENTORY OR WAREHOUSE CLERK (REFER TO CHART OF ACCCOUNTS 2025)</t>
  </si>
  <si>
    <t>SIR ADRIAN</t>
  </si>
  <si>
    <t>Dr. Inventory -DMIE / OPS</t>
  </si>
  <si>
    <t>Cr. Advances to Suppliers - DMIE /OPS</t>
  </si>
  <si>
    <t>Upon withdrawal of items to inventory</t>
  </si>
  <si>
    <t>Dr. COGS / Expense Account - DMIE / OPS</t>
  </si>
  <si>
    <t>Cr. Inventory -DMIE /OPS</t>
  </si>
  <si>
    <t>INVENTORY OR WAREHOUSE CLERK  - HAULING OF PETROLEUM</t>
  </si>
  <si>
    <t>Upon Receipt of products from Tanker Drivers</t>
  </si>
  <si>
    <t>Dr. Fuel Inventory - Office / Dohinob / Others</t>
  </si>
  <si>
    <t>Cr. Fuel Inventory</t>
  </si>
  <si>
    <t>Upon withdrawal of products to be sold</t>
  </si>
  <si>
    <t>Dr. COGS - Fuel Purchase</t>
  </si>
  <si>
    <t>3.C</t>
  </si>
  <si>
    <t>Upon withdrawal of products to for consumption</t>
  </si>
  <si>
    <t>Dr. Gasoline Expense - DHPP/DMIE/OPS</t>
  </si>
  <si>
    <t>COGS- Labor Wages / Staff</t>
  </si>
  <si>
    <t>AP-Others Current/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</si>
</sst>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6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vertical="top"/>
    </xf>
    <xf numFmtId="0" fontId="4" fillId="0" borderId="0" xfId="0" applyFont="1"/>
    <xf numFmtId="0" fontId="0" fillId="2" borderId="0" xfId="0" applyFill="1"/>
    <xf numFmtId="164" fontId="0" fillId="2" borderId="0" xfId="1" applyFont="1" applyFill="1"/>
    <xf numFmtId="164" fontId="0" fillId="0" borderId="0" xfId="1" applyFont="1"/>
    <xf numFmtId="0" fontId="0" fillId="4" borderId="0" xfId="0" applyFill="1" applyAlignment="1">
      <alignment vertical="top"/>
    </xf>
    <xf numFmtId="0" fontId="0" fillId="4" borderId="0" xfId="0" applyFill="1"/>
    <xf numFmtId="164" fontId="0" fillId="4" borderId="0" xfId="1" applyFont="1" applyFill="1"/>
    <xf numFmtId="164" fontId="0" fillId="0" borderId="0" xfId="1" applyFont="1" applyAlignment="1">
      <alignment vertical="top"/>
    </xf>
    <xf numFmtId="0" fontId="0" fillId="5" borderId="0" xfId="0" applyFill="1"/>
    <xf numFmtId="0" fontId="0" fillId="5" borderId="0" xfId="0" applyFill="1" applyAlignment="1">
      <alignment horizontal="center"/>
    </xf>
    <xf numFmtId="43" fontId="0" fillId="5" borderId="0" xfId="0" applyNumberFormat="1" applyFill="1"/>
    <xf numFmtId="3" fontId="0" fillId="0" borderId="0" xfId="0" applyNumberFormat="1"/>
    <xf numFmtId="43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164" fontId="0" fillId="0" borderId="0" xfId="1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6" borderId="0" xfId="0" applyFill="1"/>
    <xf numFmtId="0" fontId="5" fillId="0" borderId="0" xfId="0" applyFont="1"/>
    <xf numFmtId="0" fontId="0" fillId="0" borderId="0" xfId="0" applyAlignment="1">
      <alignment horizontal="right"/>
    </xf>
    <xf numFmtId="164" fontId="0" fillId="0" borderId="1" xfId="1" applyFont="1" applyBorder="1" applyAlignment="1">
      <alignment horizontal="center"/>
    </xf>
    <xf numFmtId="164" fontId="4" fillId="0" borderId="0" xfId="1" applyFont="1" applyAlignment="1">
      <alignment horizontal="center"/>
    </xf>
    <xf numFmtId="164" fontId="0" fillId="2" borderId="0" xfId="1" applyFont="1" applyFill="1" applyAlignment="1">
      <alignment horizontal="center"/>
    </xf>
    <xf numFmtId="0" fontId="7" fillId="0" borderId="0" xfId="0" applyFont="1"/>
    <xf numFmtId="164" fontId="8" fillId="0" borderId="0" xfId="1" applyFont="1"/>
    <xf numFmtId="164" fontId="9" fillId="0" borderId="0" xfId="0" applyNumberFormat="1" applyFont="1"/>
    <xf numFmtId="43" fontId="0" fillId="0" borderId="1" xfId="0" applyNumberFormat="1" applyBorder="1"/>
    <xf numFmtId="0" fontId="4" fillId="0" borderId="0" xfId="0" applyFont="1" applyAlignment="1">
      <alignment horizontal="center"/>
    </xf>
    <xf numFmtId="0" fontId="12" fillId="0" borderId="0" xfId="0" applyFont="1"/>
    <xf numFmtId="0" fontId="0" fillId="0" borderId="3" xfId="0" applyBorder="1"/>
    <xf numFmtId="164" fontId="0" fillId="0" borderId="3" xfId="1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164" fontId="0" fillId="0" borderId="0" xfId="1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4" fillId="0" borderId="2" xfId="0" applyFont="1" applyBorder="1" applyAlignment="1">
      <alignment horizontal="left"/>
    </xf>
    <xf numFmtId="164" fontId="0" fillId="0" borderId="6" xfId="1" applyFont="1" applyBorder="1"/>
    <xf numFmtId="164" fontId="0" fillId="0" borderId="1" xfId="1" applyFont="1" applyBorder="1"/>
    <xf numFmtId="164" fontId="0" fillId="0" borderId="8" xfId="0" applyNumberFormat="1" applyBorder="1"/>
    <xf numFmtId="164" fontId="0" fillId="0" borderId="0" xfId="1" applyFont="1" applyBorder="1"/>
    <xf numFmtId="0" fontId="0" fillId="0" borderId="2" xfId="0" applyBorder="1" applyAlignment="1">
      <alignment horizontal="center"/>
    </xf>
    <xf numFmtId="0" fontId="5" fillId="0" borderId="3" xfId="0" applyFont="1" applyBorder="1"/>
    <xf numFmtId="0" fontId="4" fillId="0" borderId="1" xfId="0" applyFont="1" applyBorder="1"/>
    <xf numFmtId="0" fontId="4" fillId="0" borderId="5" xfId="0" applyFont="1" applyBorder="1" applyAlignment="1">
      <alignment horizontal="left"/>
    </xf>
    <xf numFmtId="0" fontId="10" fillId="0" borderId="0" xfId="0" applyFont="1"/>
    <xf numFmtId="164" fontId="0" fillId="2" borderId="0" xfId="0" applyNumberFormat="1" applyFill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left"/>
    </xf>
    <xf numFmtId="0" fontId="12" fillId="5" borderId="0" xfId="0" applyFont="1" applyFill="1"/>
    <xf numFmtId="0" fontId="12" fillId="3" borderId="0" xfId="0" applyFont="1" applyFill="1"/>
    <xf numFmtId="0" fontId="3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5" fillId="0" borderId="0" xfId="0" applyFont="1"/>
    <xf numFmtId="164" fontId="15" fillId="0" borderId="0" xfId="1" applyFont="1" applyBorder="1" applyAlignment="1">
      <alignment horizontal="center"/>
    </xf>
    <xf numFmtId="164" fontId="12" fillId="0" borderId="0" xfId="1" applyFont="1" applyBorder="1" applyAlignment="1">
      <alignment horizontal="center"/>
    </xf>
    <xf numFmtId="164" fontId="16" fillId="0" borderId="0" xfId="1" applyFont="1" applyBorder="1" applyAlignment="1">
      <alignment horizontal="center"/>
    </xf>
    <xf numFmtId="0" fontId="17" fillId="4" borderId="0" xfId="0" applyFont="1" applyFill="1"/>
    <xf numFmtId="0" fontId="18" fillId="4" borderId="0" xfId="0" applyFont="1" applyFill="1"/>
    <xf numFmtId="164" fontId="18" fillId="4" borderId="0" xfId="1" applyFont="1" applyFill="1"/>
    <xf numFmtId="0" fontId="18" fillId="0" borderId="0" xfId="0" applyFont="1" applyAlignment="1">
      <alignment vertical="top"/>
    </xf>
    <xf numFmtId="0" fontId="17" fillId="2" borderId="0" xfId="0" applyFont="1" applyFill="1"/>
    <xf numFmtId="0" fontId="18" fillId="2" borderId="0" xfId="0" applyFont="1" applyFill="1"/>
    <xf numFmtId="164" fontId="18" fillId="2" borderId="0" xfId="1" applyFont="1" applyFill="1"/>
    <xf numFmtId="0" fontId="2" fillId="0" borderId="0" xfId="0" applyFont="1"/>
    <xf numFmtId="0" fontId="2" fillId="2" borderId="0" xfId="0" applyFont="1" applyFill="1"/>
    <xf numFmtId="164" fontId="2" fillId="0" borderId="0" xfId="1" applyFont="1" applyAlignment="1">
      <alignment horizontal="center"/>
    </xf>
    <xf numFmtId="164" fontId="2" fillId="0" borderId="0" xfId="1" applyFont="1"/>
    <xf numFmtId="164" fontId="12" fillId="3" borderId="0" xfId="1" applyFont="1" applyFill="1"/>
    <xf numFmtId="0" fontId="2" fillId="4" borderId="0" xfId="0" applyFont="1" applyFill="1"/>
    <xf numFmtId="0" fontId="2" fillId="5" borderId="0" xfId="0" applyFont="1" applyFill="1"/>
    <xf numFmtId="43" fontId="12" fillId="5" borderId="0" xfId="0" applyNumberFormat="1" applyFont="1" applyFill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/>
    <xf numFmtId="164" fontId="2" fillId="0" borderId="0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opLeftCell="A18" workbookViewId="0">
      <selection activeCell="H27" sqref="I23 I24 H27"/>
    </sheetView>
  </sheetViews>
  <sheetFormatPr defaultColWidth="9" defaultRowHeight="14.4"/>
  <cols>
    <col min="1" max="1" width="2.33203125" style="15" customWidth="1"/>
    <col min="2" max="2" width="4.21875" customWidth="1"/>
    <col min="3" max="3" width="6" customWidth="1"/>
    <col min="8" max="9" width="11.6640625" style="17" customWidth="1"/>
    <col min="10" max="13" width="11.6640625" customWidth="1"/>
    <col min="21" max="21" width="11.21875" customWidth="1"/>
    <col min="22" max="22" width="16.109375" customWidth="1"/>
    <col min="25" max="25" width="13.6640625" customWidth="1"/>
  </cols>
  <sheetData>
    <row r="1" spans="1:25">
      <c r="A1" s="18" t="s">
        <v>0</v>
      </c>
    </row>
    <row r="3" spans="1:25">
      <c r="A3" s="15">
        <v>1</v>
      </c>
      <c r="B3" t="s">
        <v>1</v>
      </c>
      <c r="N3" s="15">
        <v>1</v>
      </c>
      <c r="O3" t="s">
        <v>1</v>
      </c>
      <c r="U3" s="17"/>
      <c r="V3" s="17"/>
    </row>
    <row r="4" spans="1:25">
      <c r="N4" s="15"/>
      <c r="U4" s="17"/>
      <c r="V4" s="17"/>
    </row>
    <row r="5" spans="1:25">
      <c r="C5" t="s">
        <v>2</v>
      </c>
      <c r="H5" s="17">
        <f>I7-H6</f>
        <v>379464.29</v>
      </c>
      <c r="N5" s="15"/>
      <c r="P5" t="s">
        <v>3</v>
      </c>
      <c r="U5" s="17">
        <v>425000</v>
      </c>
      <c r="V5" s="17"/>
    </row>
    <row r="6" spans="1:25">
      <c r="C6" t="s">
        <v>4</v>
      </c>
      <c r="H6" s="17">
        <v>45535.71</v>
      </c>
      <c r="L6">
        <f>425000/1.12*12%</f>
        <v>45535.714285714297</v>
      </c>
      <c r="N6" s="15"/>
      <c r="P6" t="s">
        <v>4</v>
      </c>
      <c r="U6" s="17">
        <f>U5*12%</f>
        <v>51000</v>
      </c>
      <c r="V6" s="17"/>
    </row>
    <row r="7" spans="1:25">
      <c r="D7" t="s">
        <v>5</v>
      </c>
      <c r="I7" s="17">
        <v>425000</v>
      </c>
      <c r="N7" s="15"/>
      <c r="U7" s="17"/>
      <c r="V7" s="17"/>
    </row>
    <row r="8" spans="1:25">
      <c r="N8" s="15"/>
      <c r="Q8" t="s">
        <v>5</v>
      </c>
      <c r="U8" s="17"/>
      <c r="V8" s="17">
        <f>U6+U5</f>
        <v>476000</v>
      </c>
    </row>
    <row r="9" spans="1:25">
      <c r="E9" s="15" t="s">
        <v>6</v>
      </c>
      <c r="N9" s="15"/>
      <c r="R9" s="15" t="s">
        <v>6</v>
      </c>
      <c r="U9" s="17"/>
      <c r="V9" s="17"/>
    </row>
    <row r="10" spans="1:25">
      <c r="N10" s="15"/>
      <c r="U10" s="17"/>
      <c r="V10" s="17"/>
    </row>
    <row r="11" spans="1:25">
      <c r="A11" s="15">
        <v>2</v>
      </c>
      <c r="B11" t="s">
        <v>7</v>
      </c>
      <c r="N11" s="15">
        <v>2</v>
      </c>
      <c r="O11" t="s">
        <v>7</v>
      </c>
      <c r="U11" s="17"/>
      <c r="V11" s="17"/>
    </row>
    <row r="12" spans="1:25">
      <c r="C12" t="s">
        <v>8</v>
      </c>
      <c r="H12" s="17">
        <v>200000</v>
      </c>
      <c r="L12" s="19"/>
      <c r="N12" s="15"/>
      <c r="P12" t="s">
        <v>8</v>
      </c>
      <c r="U12" s="17">
        <v>200000</v>
      </c>
      <c r="V12" s="17"/>
      <c r="Y12" s="19">
        <f>V24</f>
        <v>66000</v>
      </c>
    </row>
    <row r="13" spans="1:25">
      <c r="D13" t="s">
        <v>9</v>
      </c>
      <c r="I13" s="17">
        <v>200000</v>
      </c>
      <c r="L13" s="19"/>
      <c r="N13" s="15"/>
      <c r="Q13" t="s">
        <v>9</v>
      </c>
      <c r="U13" s="17"/>
      <c r="V13" s="17">
        <v>200000</v>
      </c>
      <c r="Y13" s="19">
        <f>U6</f>
        <v>51000</v>
      </c>
    </row>
    <row r="14" spans="1:25">
      <c r="E14" s="15" t="s">
        <v>6</v>
      </c>
      <c r="L14" s="19"/>
      <c r="N14" s="15"/>
      <c r="R14" s="15" t="s">
        <v>6</v>
      </c>
      <c r="U14" s="17"/>
      <c r="V14" s="17"/>
      <c r="Y14" s="19">
        <f>Y12-Y13</f>
        <v>15000</v>
      </c>
    </row>
    <row r="15" spans="1:25">
      <c r="E15" s="15"/>
      <c r="L15" s="19"/>
      <c r="N15" s="15"/>
      <c r="R15" s="15"/>
      <c r="U15" s="17"/>
      <c r="V15" s="17"/>
      <c r="Y15" s="19"/>
    </row>
    <row r="16" spans="1:25">
      <c r="A16" s="15">
        <v>3</v>
      </c>
      <c r="B16" t="s">
        <v>10</v>
      </c>
      <c r="E16" s="15"/>
      <c r="L16" s="19"/>
      <c r="N16" s="15"/>
      <c r="R16" s="15"/>
      <c r="U16" s="17"/>
      <c r="V16" s="17"/>
      <c r="Y16" s="19"/>
    </row>
    <row r="17" spans="1:25">
      <c r="C17" t="s">
        <v>8</v>
      </c>
      <c r="E17" s="15"/>
      <c r="H17" s="17">
        <v>350000</v>
      </c>
      <c r="L17" s="19"/>
      <c r="N17" s="15"/>
      <c r="R17" s="15"/>
      <c r="U17" s="17"/>
      <c r="V17" s="17"/>
      <c r="Y17" s="19"/>
    </row>
    <row r="18" spans="1:25">
      <c r="D18" t="s">
        <v>11</v>
      </c>
      <c r="E18" s="15"/>
      <c r="I18" s="17">
        <v>350000</v>
      </c>
      <c r="L18" s="19"/>
      <c r="N18" s="15"/>
      <c r="R18" s="15"/>
      <c r="U18" s="17"/>
      <c r="V18" s="17"/>
      <c r="Y18" s="19"/>
    </row>
    <row r="19" spans="1:25">
      <c r="N19" s="15"/>
      <c r="U19" s="17"/>
      <c r="V19" s="17"/>
    </row>
    <row r="20" spans="1:25">
      <c r="A20" s="15">
        <v>3</v>
      </c>
      <c r="B20" s="21" t="s">
        <v>12</v>
      </c>
      <c r="N20" s="15">
        <v>3</v>
      </c>
      <c r="O20" t="s">
        <v>13</v>
      </c>
      <c r="U20" s="17"/>
      <c r="V20" s="17"/>
    </row>
    <row r="21" spans="1:25">
      <c r="N21" s="15"/>
      <c r="P21" t="s">
        <v>14</v>
      </c>
      <c r="U21" s="17">
        <f>616000-200000</f>
        <v>416000</v>
      </c>
      <c r="V21" s="17"/>
    </row>
    <row r="22" spans="1:25">
      <c r="C22" t="s">
        <v>14</v>
      </c>
      <c r="H22" s="17">
        <v>550000</v>
      </c>
      <c r="J22" s="5"/>
      <c r="N22" s="15"/>
      <c r="P22" t="s">
        <v>15</v>
      </c>
      <c r="U22" s="17">
        <v>200000</v>
      </c>
      <c r="V22" s="17"/>
    </row>
    <row r="23" spans="1:25">
      <c r="D23" t="s">
        <v>16</v>
      </c>
      <c r="I23" s="17">
        <v>58928.57</v>
      </c>
      <c r="J23" s="19"/>
      <c r="N23" s="15"/>
      <c r="Q23" t="s">
        <v>17</v>
      </c>
      <c r="U23" s="17"/>
      <c r="V23" s="17">
        <f>U5</f>
        <v>425000</v>
      </c>
    </row>
    <row r="24" spans="1:25">
      <c r="D24" t="s">
        <v>18</v>
      </c>
      <c r="I24" s="5">
        <f>H22-I23</f>
        <v>491071.43</v>
      </c>
      <c r="K24" s="5"/>
      <c r="N24" s="15"/>
      <c r="Q24" t="s">
        <v>16</v>
      </c>
      <c r="U24" s="17"/>
      <c r="V24" s="17">
        <f>550000*12%</f>
        <v>66000</v>
      </c>
    </row>
    <row r="25" spans="1:25">
      <c r="K25" s="17"/>
      <c r="L25" s="19"/>
      <c r="N25" s="15"/>
      <c r="Q25" t="s">
        <v>18</v>
      </c>
      <c r="U25" s="17"/>
      <c r="V25" s="17">
        <f>U21+U22-V23-V24</f>
        <v>125000</v>
      </c>
      <c r="Y25" s="19">
        <f>V25-I24</f>
        <v>-366071.43</v>
      </c>
    </row>
    <row r="27" spans="1:25">
      <c r="C27" t="s">
        <v>15</v>
      </c>
      <c r="H27" s="17">
        <f>I18+I13</f>
        <v>550000</v>
      </c>
      <c r="P27" t="s">
        <v>8</v>
      </c>
      <c r="U27" s="17">
        <v>416000</v>
      </c>
      <c r="V27" s="17"/>
    </row>
    <row r="28" spans="1:25">
      <c r="D28" t="s">
        <v>19</v>
      </c>
      <c r="I28" s="25">
        <v>550000</v>
      </c>
      <c r="Q28" t="s">
        <v>19</v>
      </c>
      <c r="U28" s="17"/>
      <c r="V28" s="17">
        <f>U27</f>
        <v>416000</v>
      </c>
    </row>
    <row r="30" spans="1:25">
      <c r="L30" s="26" t="s">
        <v>20</v>
      </c>
      <c r="M30" s="27">
        <v>0</v>
      </c>
    </row>
    <row r="31" spans="1:25">
      <c r="C31" t="s">
        <v>21</v>
      </c>
      <c r="H31" s="25">
        <f>H5</f>
        <v>379464.29</v>
      </c>
      <c r="L31" s="26" t="s">
        <v>22</v>
      </c>
      <c r="M31" s="28">
        <f>H5</f>
        <v>379464.29</v>
      </c>
    </row>
    <row r="32" spans="1:25">
      <c r="D32" t="s">
        <v>23</v>
      </c>
      <c r="I32" s="17">
        <f>H5</f>
        <v>379464.29</v>
      </c>
      <c r="L32" s="26" t="s">
        <v>24</v>
      </c>
      <c r="M32" s="29">
        <v>0</v>
      </c>
    </row>
    <row r="33" spans="2:13">
      <c r="L33" s="30" t="s">
        <v>25</v>
      </c>
      <c r="M33" s="19">
        <f>SUM(M30:M32)</f>
        <v>379464.29</v>
      </c>
    </row>
    <row r="34" spans="2:13">
      <c r="B34" s="22" t="s">
        <v>26</v>
      </c>
      <c r="C34" t="s">
        <v>8</v>
      </c>
      <c r="F34" s="2"/>
      <c r="G34" s="2"/>
      <c r="H34" s="17">
        <v>350000</v>
      </c>
    </row>
    <row r="35" spans="2:13">
      <c r="C35" t="s">
        <v>15</v>
      </c>
      <c r="F35" s="2"/>
      <c r="G35" s="2"/>
      <c r="H35" s="17">
        <v>200000</v>
      </c>
    </row>
    <row r="36" spans="2:13">
      <c r="D36" t="s">
        <v>16</v>
      </c>
      <c r="F36" s="2"/>
      <c r="G36" s="2"/>
      <c r="I36" s="17">
        <v>58928.57</v>
      </c>
    </row>
    <row r="37" spans="2:13">
      <c r="D37" t="s">
        <v>18</v>
      </c>
      <c r="F37" s="2"/>
      <c r="G37" s="2"/>
      <c r="I37" s="5">
        <v>491071.43</v>
      </c>
    </row>
    <row r="39" spans="2:13">
      <c r="C39" t="s">
        <v>21</v>
      </c>
      <c r="H39" s="25">
        <f>H5</f>
        <v>379464.29</v>
      </c>
    </row>
    <row r="40" spans="2:13">
      <c r="D40" t="s">
        <v>23</v>
      </c>
      <c r="I40" s="17">
        <f>H39</f>
        <v>379464.29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C70D-5BCB-4C95-B363-3D242B214363}">
  <sheetPr>
    <tabColor rgb="FF92D050"/>
  </sheetPr>
  <dimension ref="A2:A4"/>
  <sheetViews>
    <sheetView workbookViewId="0">
      <selection activeCell="G18" sqref="G18"/>
    </sheetView>
  </sheetViews>
  <sheetFormatPr defaultRowHeight="14.4"/>
  <sheetData>
    <row r="2" spans="1:1">
      <c r="A2" s="69"/>
    </row>
    <row r="4" spans="1:1">
      <c r="A4" s="6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S46"/>
  <sheetViews>
    <sheetView topLeftCell="A4" workbookViewId="0">
      <selection activeCell="S10" sqref="S10"/>
    </sheetView>
  </sheetViews>
  <sheetFormatPr defaultColWidth="9" defaultRowHeight="14.4"/>
  <cols>
    <col min="1" max="1" width="2.33203125" style="15" customWidth="1"/>
    <col min="2" max="2" width="4.21875" customWidth="1"/>
    <col min="3" max="3" width="6" customWidth="1"/>
    <col min="8" max="9" width="11.6640625" style="17" customWidth="1"/>
    <col min="10" max="10" width="11.6640625" customWidth="1"/>
    <col min="18" max="19" width="11.33203125" customWidth="1"/>
  </cols>
  <sheetData>
    <row r="1" spans="1:19">
      <c r="A1" s="18" t="s">
        <v>0</v>
      </c>
    </row>
    <row r="2" spans="1:19">
      <c r="C2" t="s">
        <v>27</v>
      </c>
      <c r="I2" s="17" t="s">
        <v>28</v>
      </c>
    </row>
    <row r="3" spans="1:19">
      <c r="C3" t="s">
        <v>29</v>
      </c>
      <c r="I3" s="23" t="s">
        <v>30</v>
      </c>
    </row>
    <row r="4" spans="1:19">
      <c r="C4" t="s">
        <v>31</v>
      </c>
      <c r="I4" s="24" t="s">
        <v>28</v>
      </c>
    </row>
    <row r="6" spans="1:19">
      <c r="A6" s="15">
        <v>1</v>
      </c>
      <c r="B6" s="69" t="s">
        <v>32</v>
      </c>
      <c r="K6" s="15">
        <v>1</v>
      </c>
      <c r="L6" s="69" t="s">
        <v>33</v>
      </c>
    </row>
    <row r="8" spans="1:19">
      <c r="B8" s="3"/>
      <c r="C8" s="70" t="s">
        <v>34</v>
      </c>
      <c r="D8" s="3"/>
      <c r="E8" s="3"/>
      <c r="F8" s="3"/>
      <c r="G8" s="3"/>
      <c r="H8" s="25">
        <v>500000</v>
      </c>
      <c r="I8" s="25"/>
      <c r="M8" s="69" t="s">
        <v>35</v>
      </c>
      <c r="R8" s="17">
        <v>400000</v>
      </c>
      <c r="S8" s="17"/>
    </row>
    <row r="9" spans="1:19">
      <c r="B9" s="3"/>
      <c r="C9" s="3"/>
      <c r="D9" s="70" t="s">
        <v>36</v>
      </c>
      <c r="E9" s="3"/>
      <c r="F9" s="3"/>
      <c r="G9" s="3"/>
      <c r="H9" s="25"/>
      <c r="I9" s="25">
        <v>450000</v>
      </c>
      <c r="N9" t="s">
        <v>36</v>
      </c>
      <c r="R9" s="17"/>
      <c r="S9" s="17">
        <f>R8</f>
        <v>400000</v>
      </c>
    </row>
    <row r="10" spans="1:19">
      <c r="B10" s="3"/>
      <c r="C10" s="3"/>
      <c r="D10" s="70" t="s">
        <v>37</v>
      </c>
      <c r="E10" s="3"/>
      <c r="F10" s="3"/>
      <c r="G10" s="3"/>
      <c r="H10" s="25"/>
      <c r="I10" s="25">
        <f>H8-I9</f>
        <v>50000</v>
      </c>
      <c r="R10" s="17"/>
      <c r="S10" s="17"/>
    </row>
    <row r="11" spans="1:19">
      <c r="E11" t="s">
        <v>6</v>
      </c>
      <c r="O11" t="s">
        <v>6</v>
      </c>
      <c r="R11" s="17"/>
      <c r="S11" s="17"/>
    </row>
    <row r="13" spans="1:19">
      <c r="A13" s="15">
        <v>2</v>
      </c>
      <c r="B13" s="69" t="s">
        <v>38</v>
      </c>
      <c r="H13"/>
      <c r="I13"/>
      <c r="K13" s="15">
        <v>2</v>
      </c>
      <c r="L13" s="69" t="s">
        <v>32</v>
      </c>
    </row>
    <row r="14" spans="1:19">
      <c r="A14"/>
      <c r="H14"/>
      <c r="I14"/>
      <c r="K14" s="15"/>
    </row>
    <row r="15" spans="1:19">
      <c r="A15"/>
      <c r="C15" s="69" t="s">
        <v>39</v>
      </c>
      <c r="H15" s="17">
        <v>450000</v>
      </c>
      <c r="M15" s="69" t="s">
        <v>35</v>
      </c>
      <c r="R15" s="17">
        <v>100000</v>
      </c>
      <c r="S15" s="17"/>
    </row>
    <row r="16" spans="1:19">
      <c r="A16"/>
      <c r="D16" s="69" t="s">
        <v>40</v>
      </c>
      <c r="H16"/>
      <c r="I16" s="19">
        <f>H15</f>
        <v>450000</v>
      </c>
      <c r="N16" t="s">
        <v>36</v>
      </c>
      <c r="R16" s="17"/>
      <c r="S16" s="17">
        <v>50000</v>
      </c>
    </row>
    <row r="17" spans="1:19">
      <c r="A17"/>
      <c r="H17"/>
      <c r="I17"/>
      <c r="N17" s="69" t="s">
        <v>37</v>
      </c>
      <c r="R17" s="17"/>
      <c r="S17" s="17">
        <f>R15-S16</f>
        <v>50000</v>
      </c>
    </row>
    <row r="18" spans="1:19">
      <c r="A18" s="15">
        <v>3</v>
      </c>
      <c r="B18" s="69" t="s">
        <v>41</v>
      </c>
      <c r="H18"/>
      <c r="I18"/>
      <c r="K18" s="15"/>
      <c r="O18" t="s">
        <v>6</v>
      </c>
    </row>
    <row r="19" spans="1:19">
      <c r="A19"/>
      <c r="C19" s="69" t="s">
        <v>42</v>
      </c>
      <c r="H19" s="5">
        <v>450000</v>
      </c>
      <c r="I19"/>
    </row>
    <row r="20" spans="1:19">
      <c r="A20"/>
      <c r="D20" t="s">
        <v>43</v>
      </c>
      <c r="I20" s="17">
        <f>H15</f>
        <v>450000</v>
      </c>
      <c r="K20" s="15">
        <v>3</v>
      </c>
      <c r="L20" s="69" t="s">
        <v>44</v>
      </c>
    </row>
    <row r="21" spans="1:19">
      <c r="A21"/>
      <c r="H21"/>
      <c r="I21"/>
    </row>
    <row r="22" spans="1:19">
      <c r="M22" t="s">
        <v>36</v>
      </c>
      <c r="R22" s="17">
        <v>450000</v>
      </c>
      <c r="S22" s="17"/>
    </row>
    <row r="23" spans="1:19">
      <c r="N23" s="69" t="s">
        <v>40</v>
      </c>
      <c r="S23" s="19">
        <f>R22</f>
        <v>450000</v>
      </c>
    </row>
    <row r="24" spans="1:19">
      <c r="E24" s="15"/>
    </row>
    <row r="25" spans="1:19">
      <c r="E25" s="15"/>
      <c r="K25" s="15">
        <v>4</v>
      </c>
      <c r="L25" s="69" t="s">
        <v>41</v>
      </c>
    </row>
    <row r="26" spans="1:19">
      <c r="M26" s="69" t="s">
        <v>42</v>
      </c>
      <c r="R26" s="5">
        <v>450000</v>
      </c>
    </row>
    <row r="27" spans="1:19">
      <c r="B27" s="21"/>
      <c r="N27" t="s">
        <v>43</v>
      </c>
      <c r="R27" s="17"/>
      <c r="S27" s="17">
        <f>R22</f>
        <v>450000</v>
      </c>
    </row>
    <row r="31" spans="1:19">
      <c r="J31" s="5"/>
    </row>
    <row r="32" spans="1:19">
      <c r="I32" s="5"/>
      <c r="J32" s="19"/>
    </row>
    <row r="43" spans="2:6">
      <c r="B43" s="22"/>
      <c r="F43" s="2"/>
    </row>
    <row r="44" spans="2:6">
      <c r="F44" s="2"/>
    </row>
    <row r="45" spans="2:6">
      <c r="F45" s="2"/>
    </row>
    <row r="46" spans="2:6">
      <c r="F46" s="2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F00C-ABE9-45BA-AA13-6D9A13555272}">
  <sheetPr>
    <tabColor rgb="FF92D050"/>
    <pageSetUpPr fitToPage="1"/>
  </sheetPr>
  <dimension ref="A1:J40"/>
  <sheetViews>
    <sheetView topLeftCell="A35" workbookViewId="0">
      <selection activeCell="I59" sqref="I59"/>
    </sheetView>
  </sheetViews>
  <sheetFormatPr defaultColWidth="9" defaultRowHeight="14.4"/>
  <cols>
    <col min="1" max="1" width="2.33203125" style="15" customWidth="1"/>
    <col min="4" max="4" width="6" customWidth="1"/>
    <col min="9" max="10" width="11.33203125" customWidth="1"/>
  </cols>
  <sheetData>
    <row r="1" spans="1:10">
      <c r="A1" s="53" t="s">
        <v>45</v>
      </c>
    </row>
    <row r="2" spans="1:10">
      <c r="B2" s="52" t="s">
        <v>46</v>
      </c>
    </row>
    <row r="3" spans="1:10">
      <c r="B3" s="15">
        <v>1</v>
      </c>
      <c r="C3" s="69" t="s">
        <v>33</v>
      </c>
    </row>
    <row r="5" spans="1:10">
      <c r="D5" s="69" t="s">
        <v>47</v>
      </c>
      <c r="I5" s="71" t="s">
        <v>48</v>
      </c>
      <c r="J5" s="17"/>
    </row>
    <row r="6" spans="1:10">
      <c r="E6" t="s">
        <v>49</v>
      </c>
      <c r="I6" s="17"/>
      <c r="J6" s="17" t="str">
        <f>I5</f>
        <v>xx</v>
      </c>
    </row>
    <row r="7" spans="1:10">
      <c r="E7" s="15" t="s">
        <v>6</v>
      </c>
      <c r="I7" s="17"/>
      <c r="J7" s="17"/>
    </row>
    <row r="8" spans="1:10">
      <c r="I8" s="17"/>
      <c r="J8" s="17"/>
    </row>
    <row r="10" spans="1:10">
      <c r="B10" s="15">
        <v>2</v>
      </c>
      <c r="C10" s="69" t="s">
        <v>32</v>
      </c>
    </row>
    <row r="11" spans="1:10">
      <c r="A11"/>
      <c r="B11" s="15"/>
    </row>
    <row r="12" spans="1:10">
      <c r="A12"/>
      <c r="D12" s="69" t="s">
        <v>47</v>
      </c>
      <c r="I12" s="71" t="s">
        <v>48</v>
      </c>
      <c r="J12" s="17"/>
    </row>
    <row r="13" spans="1:10">
      <c r="A13"/>
      <c r="E13" t="s">
        <v>49</v>
      </c>
      <c r="I13" s="17"/>
      <c r="J13" s="17" t="str">
        <f>I12</f>
        <v>xx</v>
      </c>
    </row>
    <row r="14" spans="1:10">
      <c r="A14"/>
      <c r="E14" s="15" t="s">
        <v>6</v>
      </c>
      <c r="I14" s="17"/>
      <c r="J14" s="17"/>
    </row>
    <row r="15" spans="1:10" ht="16.2" customHeight="1">
      <c r="B15" s="15"/>
    </row>
    <row r="16" spans="1:10">
      <c r="A16"/>
      <c r="B16" s="15">
        <v>3</v>
      </c>
      <c r="C16" s="69" t="s">
        <v>50</v>
      </c>
    </row>
    <row r="17" spans="1:10">
      <c r="A17"/>
    </row>
    <row r="18" spans="1:10">
      <c r="D18" s="69" t="s">
        <v>51</v>
      </c>
      <c r="I18" s="71" t="s">
        <v>48</v>
      </c>
      <c r="J18" s="17"/>
    </row>
    <row r="19" spans="1:10">
      <c r="E19" s="69" t="s">
        <v>52</v>
      </c>
      <c r="J19" s="19" t="str">
        <f>I18</f>
        <v>xx</v>
      </c>
    </row>
    <row r="20" spans="1:10">
      <c r="E20" s="69"/>
      <c r="J20" s="19"/>
    </row>
    <row r="21" spans="1:10">
      <c r="A21"/>
      <c r="B21" s="15">
        <v>4</v>
      </c>
      <c r="C21" s="26" t="s">
        <v>53</v>
      </c>
    </row>
    <row r="22" spans="1:10">
      <c r="A22"/>
    </row>
    <row r="23" spans="1:10">
      <c r="D23" s="69" t="s">
        <v>54</v>
      </c>
      <c r="I23" s="71" t="s">
        <v>48</v>
      </c>
      <c r="J23" s="17"/>
    </row>
    <row r="24" spans="1:10">
      <c r="E24" s="69" t="s">
        <v>55</v>
      </c>
      <c r="J24" s="19" t="str">
        <f>I23</f>
        <v>xx</v>
      </c>
    </row>
    <row r="26" spans="1:10">
      <c r="B26" s="15">
        <v>5</v>
      </c>
      <c r="C26" s="69" t="s">
        <v>56</v>
      </c>
    </row>
    <row r="27" spans="1:10">
      <c r="D27" s="69" t="s">
        <v>57</v>
      </c>
      <c r="I27" s="72" t="s">
        <v>48</v>
      </c>
    </row>
    <row r="28" spans="1:10">
      <c r="E28" s="69" t="s">
        <v>58</v>
      </c>
      <c r="I28" s="17"/>
      <c r="J28" s="17" t="str">
        <f>I18</f>
        <v>xx</v>
      </c>
    </row>
    <row r="30" spans="1:10">
      <c r="B30" s="30">
        <v>6</v>
      </c>
      <c r="C30" s="2" t="s">
        <v>59</v>
      </c>
      <c r="D30" s="2"/>
      <c r="E30" s="2"/>
      <c r="F30" s="2"/>
      <c r="G30" s="2"/>
      <c r="H30" s="2"/>
      <c r="I30" s="2"/>
      <c r="J30" s="2"/>
    </row>
    <row r="31" spans="1:10"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B32" s="2"/>
      <c r="C32" s="2"/>
      <c r="D32" s="2" t="s">
        <v>60</v>
      </c>
      <c r="E32" s="2"/>
      <c r="F32" s="2"/>
      <c r="G32" s="2"/>
      <c r="H32" s="2"/>
      <c r="I32" s="30" t="s">
        <v>48</v>
      </c>
      <c r="J32" s="2"/>
    </row>
    <row r="33" spans="2:10">
      <c r="B33" s="2"/>
      <c r="C33" s="2"/>
      <c r="D33" s="2"/>
      <c r="E33" s="2" t="s">
        <v>61</v>
      </c>
      <c r="F33" s="2"/>
      <c r="G33" s="2"/>
      <c r="H33" s="2"/>
      <c r="I33" s="2"/>
      <c r="J33" s="30" t="s">
        <v>48</v>
      </c>
    </row>
    <row r="34" spans="2:10">
      <c r="B34" s="2"/>
      <c r="C34" s="2"/>
      <c r="D34" s="2"/>
      <c r="E34" s="2"/>
      <c r="F34" s="2"/>
      <c r="G34" s="2"/>
      <c r="H34" s="2"/>
      <c r="I34" s="2"/>
      <c r="J34" s="30" t="s">
        <v>48</v>
      </c>
    </row>
    <row r="36" spans="2:10">
      <c r="B36" s="30">
        <v>7</v>
      </c>
      <c r="C36" s="50" t="s">
        <v>62</v>
      </c>
      <c r="D36" s="2"/>
      <c r="E36" s="2"/>
      <c r="F36" s="2"/>
      <c r="G36" s="2"/>
      <c r="H36" s="2"/>
      <c r="I36" s="2"/>
      <c r="J36" s="2"/>
    </row>
    <row r="37" spans="2:10">
      <c r="B37" s="2"/>
      <c r="C37" s="2"/>
      <c r="D37" s="2"/>
      <c r="E37" s="2"/>
      <c r="F37" s="2"/>
      <c r="G37" s="2"/>
      <c r="H37" s="2"/>
      <c r="I37" s="2"/>
      <c r="J37" s="2"/>
    </row>
    <row r="38" spans="2:10">
      <c r="B38" s="2"/>
      <c r="C38" s="2"/>
      <c r="D38" s="2" t="s">
        <v>60</v>
      </c>
      <c r="E38" s="2"/>
      <c r="F38" s="2"/>
      <c r="G38" s="2"/>
      <c r="H38" s="2"/>
      <c r="I38" s="30" t="s">
        <v>48</v>
      </c>
      <c r="J38" s="2"/>
    </row>
    <row r="39" spans="2:10">
      <c r="B39" s="2"/>
      <c r="C39" s="2"/>
      <c r="D39" s="2"/>
      <c r="E39" s="2" t="s">
        <v>61</v>
      </c>
      <c r="F39" s="2"/>
      <c r="G39" s="2"/>
      <c r="H39" s="2"/>
      <c r="I39" s="2"/>
      <c r="J39" s="30" t="s">
        <v>48</v>
      </c>
    </row>
    <row r="40" spans="2:10">
      <c r="B40" s="2"/>
      <c r="C40" s="2"/>
      <c r="D40" s="2"/>
      <c r="E40" s="2" t="s">
        <v>63</v>
      </c>
      <c r="F40" s="2"/>
      <c r="G40" s="2"/>
      <c r="H40" s="2"/>
      <c r="I40" s="2"/>
      <c r="J40" s="30" t="s">
        <v>48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I14"/>
  <sheetViews>
    <sheetView workbookViewId="0">
      <selection activeCell="E7" sqref="E7"/>
    </sheetView>
  </sheetViews>
  <sheetFormatPr defaultColWidth="9" defaultRowHeight="14.4"/>
  <cols>
    <col min="1" max="1" width="7.6640625" customWidth="1"/>
    <col min="2" max="2" width="7.21875" customWidth="1"/>
    <col min="3" max="3" width="7.77734375" customWidth="1"/>
    <col min="4" max="4" width="5.33203125" customWidth="1"/>
    <col min="5" max="5" width="11.33203125" customWidth="1"/>
    <col min="6" max="6" width="10.6640625" customWidth="1"/>
  </cols>
  <sheetData>
    <row r="1" spans="1:9">
      <c r="A1" s="16" t="s">
        <v>0</v>
      </c>
      <c r="H1" s="17"/>
      <c r="I1" s="17"/>
    </row>
    <row r="4" spans="1:9">
      <c r="A4" s="69" t="s">
        <v>64</v>
      </c>
    </row>
    <row r="6" spans="1:9">
      <c r="B6" s="69" t="s">
        <v>65</v>
      </c>
      <c r="E6" s="5">
        <v>5000</v>
      </c>
    </row>
    <row r="7" spans="1:9">
      <c r="B7" s="69" t="s">
        <v>66</v>
      </c>
      <c r="E7" s="14">
        <f>F9-E6</f>
        <v>15000</v>
      </c>
    </row>
    <row r="8" spans="1:9">
      <c r="B8" s="69" t="s">
        <v>67</v>
      </c>
      <c r="E8" s="14">
        <v>20000</v>
      </c>
    </row>
    <row r="9" spans="1:9">
      <c r="C9" s="69" t="s">
        <v>68</v>
      </c>
      <c r="F9" s="5">
        <v>20000</v>
      </c>
    </row>
    <row r="10" spans="1:9">
      <c r="C10" s="69" t="s">
        <v>69</v>
      </c>
      <c r="F10" s="5">
        <v>20000</v>
      </c>
    </row>
    <row r="12" spans="1:9">
      <c r="A12" t="s">
        <v>70</v>
      </c>
    </row>
    <row r="13" spans="1:9">
      <c r="B13" s="69" t="s">
        <v>71</v>
      </c>
      <c r="E13" s="5">
        <v>15000</v>
      </c>
      <c r="F13" s="5"/>
    </row>
    <row r="14" spans="1:9">
      <c r="C14" s="69" t="s">
        <v>72</v>
      </c>
      <c r="E14" s="5"/>
      <c r="F14" s="5">
        <v>15000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M77"/>
  <sheetViews>
    <sheetView topLeftCell="A78" zoomScale="180" zoomScaleNormal="180" workbookViewId="0">
      <selection activeCell="B91" sqref="B91"/>
    </sheetView>
  </sheetViews>
  <sheetFormatPr defaultColWidth="9" defaultRowHeight="14.4"/>
  <cols>
    <col min="1" max="1" width="11.6640625" customWidth="1"/>
    <col min="2" max="2" width="5.21875" customWidth="1"/>
    <col min="3" max="3" width="11.33203125" customWidth="1"/>
    <col min="5" max="6" width="9.6640625" customWidth="1"/>
    <col min="7" max="7" width="11.109375" customWidth="1"/>
    <col min="8" max="8" width="1.33203125" customWidth="1"/>
    <col min="11" max="11" width="11.21875" customWidth="1"/>
    <col min="12" max="12" width="13.109375" customWidth="1"/>
    <col min="13" max="13" width="11.44140625" customWidth="1"/>
  </cols>
  <sheetData>
    <row r="1" spans="1:9" ht="18">
      <c r="A1" s="84" t="s">
        <v>73</v>
      </c>
      <c r="B1" s="84"/>
      <c r="C1" s="84"/>
      <c r="D1" s="84"/>
      <c r="E1" s="84"/>
      <c r="F1" s="84"/>
      <c r="G1" s="84"/>
      <c r="I1" s="56"/>
    </row>
    <row r="2" spans="1:9">
      <c r="A2" s="2" t="s">
        <v>74</v>
      </c>
    </row>
    <row r="3" spans="1:9" ht="5.25" customHeight="1"/>
    <row r="4" spans="1:9">
      <c r="A4" s="3"/>
      <c r="B4" s="3"/>
      <c r="C4" s="3"/>
      <c r="D4" s="3"/>
      <c r="E4" s="3"/>
      <c r="F4" s="3"/>
      <c r="G4" s="3"/>
    </row>
    <row r="5" spans="1:9">
      <c r="A5" s="3" t="s">
        <v>75</v>
      </c>
      <c r="B5" s="3"/>
      <c r="C5" s="3"/>
      <c r="D5" s="3"/>
      <c r="E5" s="3"/>
      <c r="F5" s="3"/>
      <c r="G5" s="3"/>
    </row>
    <row r="6" spans="1:9">
      <c r="A6" s="3"/>
      <c r="B6" s="3"/>
      <c r="C6" s="3"/>
      <c r="D6" s="3"/>
      <c r="E6" s="3"/>
      <c r="F6" s="3"/>
      <c r="G6" s="3"/>
    </row>
    <row r="7" spans="1:9">
      <c r="A7" s="3"/>
      <c r="B7" s="66" t="s">
        <v>76</v>
      </c>
      <c r="C7" s="67"/>
      <c r="D7" s="67"/>
      <c r="E7" s="67"/>
      <c r="F7" s="67"/>
      <c r="G7" s="3"/>
    </row>
    <row r="8" spans="1:9">
      <c r="A8" s="3"/>
      <c r="B8" s="67"/>
      <c r="C8" s="66" t="s">
        <v>77</v>
      </c>
      <c r="D8" s="67"/>
      <c r="E8" s="68"/>
      <c r="F8" s="68"/>
      <c r="G8" s="3"/>
    </row>
    <row r="9" spans="1:9">
      <c r="A9" s="3"/>
      <c r="B9" s="67"/>
      <c r="C9" s="67" t="s">
        <v>78</v>
      </c>
      <c r="D9" s="67"/>
      <c r="E9" s="68"/>
      <c r="F9" s="68"/>
      <c r="G9" s="3"/>
    </row>
    <row r="10" spans="1:9">
      <c r="A10" s="3"/>
      <c r="B10" s="3"/>
      <c r="C10" s="3"/>
      <c r="D10" s="3"/>
      <c r="E10" s="4"/>
      <c r="F10" s="4"/>
      <c r="G10" s="3"/>
    </row>
    <row r="11" spans="1:9">
      <c r="A11" s="70" t="s">
        <v>79</v>
      </c>
      <c r="B11" s="3"/>
      <c r="C11" s="3"/>
      <c r="D11" s="3"/>
      <c r="E11" s="4"/>
      <c r="F11" s="4"/>
      <c r="G11" s="3"/>
    </row>
    <row r="12" spans="1:9">
      <c r="A12" s="3"/>
      <c r="B12" s="3"/>
      <c r="C12" s="3"/>
      <c r="D12" s="3"/>
      <c r="E12" s="4"/>
      <c r="F12" s="4"/>
      <c r="G12" s="3"/>
    </row>
    <row r="13" spans="1:9">
      <c r="A13" s="3"/>
      <c r="B13" s="67" t="s">
        <v>80</v>
      </c>
      <c r="C13" s="67"/>
      <c r="D13" s="67"/>
      <c r="E13" s="68"/>
      <c r="F13" s="68"/>
      <c r="G13" s="3"/>
    </row>
    <row r="14" spans="1:9">
      <c r="A14" s="3"/>
      <c r="B14" s="67"/>
      <c r="C14" s="66" t="s">
        <v>76</v>
      </c>
      <c r="D14" s="67"/>
      <c r="E14" s="68"/>
      <c r="F14" s="68"/>
      <c r="G14" s="3"/>
    </row>
    <row r="15" spans="1:9">
      <c r="A15" s="3"/>
      <c r="B15" s="67"/>
      <c r="C15" s="66" t="s">
        <v>81</v>
      </c>
      <c r="D15" s="67"/>
      <c r="E15" s="68"/>
      <c r="F15" s="68"/>
      <c r="G15" s="3"/>
    </row>
    <row r="16" spans="1:9">
      <c r="A16" s="3"/>
      <c r="B16" s="3"/>
      <c r="C16" s="3"/>
      <c r="D16" s="3"/>
      <c r="E16" s="4"/>
      <c r="F16" s="4"/>
      <c r="G16" s="3"/>
    </row>
    <row r="17" spans="1:13">
      <c r="A17" s="3"/>
      <c r="B17" s="67" t="s">
        <v>80</v>
      </c>
      <c r="C17" s="67"/>
      <c r="D17" s="67"/>
      <c r="E17" s="68"/>
      <c r="F17" s="68"/>
      <c r="G17" s="3"/>
    </row>
    <row r="18" spans="1:13">
      <c r="A18" s="3"/>
      <c r="B18" s="67"/>
      <c r="C18" s="66" t="s">
        <v>82</v>
      </c>
      <c r="D18" s="67"/>
      <c r="E18" s="68"/>
      <c r="F18" s="68"/>
      <c r="G18" s="3"/>
    </row>
    <row r="19" spans="1:13">
      <c r="A19" s="3"/>
      <c r="B19" s="67"/>
      <c r="C19" s="66" t="s">
        <v>83</v>
      </c>
      <c r="D19" s="67"/>
      <c r="E19" s="68"/>
      <c r="F19" s="68"/>
      <c r="G19" s="3"/>
    </row>
    <row r="20" spans="1:13">
      <c r="E20" s="5"/>
      <c r="F20" s="5"/>
    </row>
    <row r="21" spans="1:13">
      <c r="A21" s="55" t="s">
        <v>84</v>
      </c>
      <c r="B21" s="55"/>
      <c r="C21" s="55"/>
      <c r="D21" s="55"/>
      <c r="E21" s="73"/>
      <c r="F21" s="73"/>
      <c r="G21" s="55"/>
    </row>
    <row r="22" spans="1:13">
      <c r="A22" s="55"/>
      <c r="B22" s="55"/>
      <c r="C22" s="55"/>
      <c r="D22" s="55"/>
      <c r="E22" s="73"/>
      <c r="F22" s="73"/>
      <c r="G22" s="55"/>
    </row>
    <row r="23" spans="1:13">
      <c r="A23" s="55" t="s">
        <v>85</v>
      </c>
      <c r="B23" s="55"/>
      <c r="C23" s="55"/>
      <c r="D23" s="55"/>
      <c r="E23" s="73"/>
      <c r="F23" s="73"/>
      <c r="G23" s="55"/>
    </row>
    <row r="24" spans="1:13">
      <c r="A24" s="55"/>
      <c r="B24" s="55"/>
      <c r="C24" s="55"/>
      <c r="D24" s="55"/>
      <c r="E24" s="73"/>
      <c r="F24" s="73"/>
      <c r="G24" s="55"/>
    </row>
    <row r="25" spans="1:13">
      <c r="A25" s="55"/>
      <c r="B25" s="55" t="s">
        <v>86</v>
      </c>
      <c r="C25" s="55"/>
      <c r="D25" s="55"/>
      <c r="E25" s="73"/>
      <c r="F25" s="73"/>
      <c r="G25" s="55"/>
    </row>
    <row r="26" spans="1:13">
      <c r="A26" s="55"/>
      <c r="B26" s="55"/>
      <c r="C26" s="55" t="s">
        <v>87</v>
      </c>
      <c r="D26" s="55"/>
      <c r="E26" s="73"/>
      <c r="F26" s="73"/>
      <c r="G26" s="55"/>
    </row>
    <row r="27" spans="1:13">
      <c r="A27" s="55"/>
      <c r="B27" s="55"/>
      <c r="C27" s="55" t="s">
        <v>88</v>
      </c>
      <c r="D27" s="55"/>
      <c r="E27" s="73"/>
      <c r="F27" s="73"/>
      <c r="G27" s="55"/>
    </row>
    <row r="28" spans="1:13">
      <c r="A28" s="55"/>
      <c r="B28" s="55"/>
      <c r="C28" s="55"/>
      <c r="D28" s="55"/>
      <c r="E28" s="73"/>
      <c r="F28" s="73"/>
      <c r="G28" s="55"/>
      <c r="J28" t="s">
        <v>89</v>
      </c>
      <c r="L28" s="19">
        <v>76000</v>
      </c>
    </row>
    <row r="29" spans="1:13">
      <c r="A29" s="55" t="s">
        <v>90</v>
      </c>
      <c r="B29" s="55"/>
      <c r="C29" s="55"/>
      <c r="D29" s="55"/>
      <c r="E29" s="73"/>
      <c r="F29" s="73"/>
      <c r="G29" s="55"/>
      <c r="K29" s="3" t="s">
        <v>91</v>
      </c>
      <c r="L29" s="3"/>
      <c r="M29" s="51">
        <v>49700</v>
      </c>
    </row>
    <row r="30" spans="1:13">
      <c r="A30" s="55"/>
      <c r="B30" s="55"/>
      <c r="C30" s="55"/>
      <c r="D30" s="55"/>
      <c r="E30" s="73"/>
      <c r="F30" s="73"/>
      <c r="G30" s="55"/>
      <c r="K30" s="3" t="s">
        <v>91</v>
      </c>
      <c r="L30" s="3"/>
      <c r="M30" s="51">
        <v>23725</v>
      </c>
    </row>
    <row r="31" spans="1:13">
      <c r="A31" s="55"/>
      <c r="B31" s="55" t="s">
        <v>86</v>
      </c>
      <c r="C31" s="55"/>
      <c r="D31" s="55"/>
      <c r="E31" s="73"/>
      <c r="F31" s="73"/>
      <c r="G31" s="55"/>
      <c r="K31" t="s">
        <v>92</v>
      </c>
      <c r="M31" s="19">
        <v>2575</v>
      </c>
    </row>
    <row r="32" spans="1:13">
      <c r="A32" s="55"/>
      <c r="B32" s="55"/>
      <c r="C32" s="55" t="s">
        <v>87</v>
      </c>
      <c r="D32" s="55"/>
      <c r="E32" s="73"/>
      <c r="F32" s="73"/>
      <c r="G32" s="55"/>
    </row>
    <row r="33" spans="1:10">
      <c r="A33" s="55"/>
      <c r="B33" s="55"/>
      <c r="C33" s="55" t="s">
        <v>93</v>
      </c>
      <c r="D33" s="55"/>
      <c r="E33" s="73"/>
      <c r="F33" s="73"/>
      <c r="G33" s="55"/>
    </row>
    <row r="34" spans="1:10">
      <c r="A34" s="55"/>
      <c r="B34" s="55"/>
      <c r="C34" s="55" t="s">
        <v>94</v>
      </c>
      <c r="D34" s="55"/>
      <c r="E34" s="73"/>
      <c r="F34" s="73"/>
      <c r="G34" s="55"/>
    </row>
    <row r="35" spans="1:10">
      <c r="A35" s="55"/>
      <c r="B35" s="55"/>
      <c r="C35" s="55"/>
      <c r="D35" s="55"/>
      <c r="E35" s="73"/>
      <c r="F35" s="73"/>
      <c r="G35" s="55"/>
    </row>
    <row r="36" spans="1:10">
      <c r="A36" s="55" t="s">
        <v>95</v>
      </c>
      <c r="B36" s="55"/>
      <c r="C36" s="55"/>
      <c r="D36" s="55"/>
      <c r="E36" s="73"/>
      <c r="F36" s="73"/>
      <c r="G36" s="55"/>
    </row>
    <row r="37" spans="1:10">
      <c r="A37" s="55"/>
      <c r="B37" s="55" t="s">
        <v>86</v>
      </c>
      <c r="C37" s="55"/>
      <c r="D37" s="55"/>
      <c r="E37" s="73"/>
      <c r="F37" s="73"/>
      <c r="G37" s="55"/>
    </row>
    <row r="38" spans="1:10">
      <c r="A38" s="55"/>
      <c r="B38" s="55"/>
      <c r="C38" s="55" t="s">
        <v>93</v>
      </c>
      <c r="D38" s="55"/>
      <c r="E38" s="73"/>
      <c r="F38" s="73"/>
      <c r="G38" s="55"/>
    </row>
    <row r="39" spans="1:10">
      <c r="A39" s="55"/>
      <c r="B39" s="55"/>
      <c r="C39" s="55" t="s">
        <v>96</v>
      </c>
      <c r="D39" s="55"/>
      <c r="E39" s="73"/>
      <c r="F39" s="73"/>
      <c r="G39" s="55"/>
    </row>
    <row r="40" spans="1:10" s="1" customFormat="1">
      <c r="B40"/>
      <c r="C40"/>
      <c r="D40"/>
      <c r="E40" s="5"/>
      <c r="F40" s="5"/>
      <c r="G40"/>
    </row>
    <row r="41" spans="1:10" s="1" customFormat="1">
      <c r="B41"/>
      <c r="C41"/>
      <c r="D41"/>
      <c r="E41" s="5"/>
      <c r="F41" s="5"/>
      <c r="G41"/>
    </row>
    <row r="42" spans="1:10" s="1" customFormat="1">
      <c r="A42" s="6" t="s">
        <v>97</v>
      </c>
      <c r="B42" s="7"/>
      <c r="C42" s="7"/>
      <c r="D42" s="7"/>
      <c r="E42" s="8"/>
      <c r="F42" s="8"/>
      <c r="G42" s="7"/>
    </row>
    <row r="43" spans="1:10" s="1" customFormat="1">
      <c r="A43" s="6"/>
      <c r="B43" s="7"/>
      <c r="C43" s="7"/>
      <c r="D43" s="7"/>
      <c r="E43" s="8"/>
      <c r="F43" s="8"/>
      <c r="G43" s="7"/>
    </row>
    <row r="44" spans="1:10" s="1" customFormat="1">
      <c r="A44" s="6"/>
      <c r="B44" s="62" t="s">
        <v>98</v>
      </c>
      <c r="C44" s="63"/>
      <c r="D44" s="63"/>
      <c r="E44" s="64"/>
      <c r="F44" s="64"/>
      <c r="G44" s="63"/>
      <c r="H44" s="65"/>
      <c r="I44" s="65"/>
      <c r="J44" s="65"/>
    </row>
    <row r="45" spans="1:10" s="1" customFormat="1">
      <c r="A45" s="6"/>
      <c r="B45" s="63"/>
      <c r="C45" s="63" t="s">
        <v>80</v>
      </c>
      <c r="D45" s="63"/>
      <c r="E45" s="64"/>
      <c r="F45" s="64"/>
      <c r="G45" s="63"/>
      <c r="H45" s="65"/>
      <c r="I45" s="65"/>
      <c r="J45" s="65"/>
    </row>
    <row r="46" spans="1:10" s="1" customFormat="1">
      <c r="A46" s="6"/>
      <c r="B46" s="63"/>
      <c r="C46" s="63" t="s">
        <v>99</v>
      </c>
      <c r="D46" s="63"/>
      <c r="E46" s="64"/>
      <c r="F46" s="64"/>
      <c r="G46" s="63"/>
      <c r="H46" s="65"/>
      <c r="I46" s="65"/>
      <c r="J46" s="65"/>
    </row>
    <row r="47" spans="1:10" s="1" customFormat="1">
      <c r="A47" s="6"/>
      <c r="B47" s="7"/>
      <c r="C47" s="7"/>
      <c r="D47" s="7"/>
      <c r="E47" s="8"/>
      <c r="F47" s="8"/>
      <c r="G47" s="7"/>
    </row>
    <row r="48" spans="1:10" s="1" customFormat="1">
      <c r="A48" s="6"/>
      <c r="B48" s="74" t="s">
        <v>100</v>
      </c>
      <c r="C48" s="7"/>
      <c r="D48" s="7"/>
      <c r="E48" s="8"/>
      <c r="F48" s="8"/>
      <c r="G48" s="7"/>
    </row>
    <row r="49" spans="1:12" s="1" customFormat="1">
      <c r="A49" s="6"/>
      <c r="B49" s="7"/>
      <c r="C49" s="74" t="s">
        <v>98</v>
      </c>
      <c r="D49" s="7"/>
      <c r="E49" s="8"/>
      <c r="F49" s="8"/>
      <c r="G49" s="7"/>
    </row>
    <row r="50" spans="1:12" s="1" customFormat="1">
      <c r="A50" s="6"/>
      <c r="B50" s="7"/>
      <c r="C50" s="7" t="s">
        <v>101</v>
      </c>
      <c r="D50" s="7"/>
      <c r="E50" s="8"/>
      <c r="F50" s="8"/>
      <c r="G50" s="7"/>
    </row>
    <row r="51" spans="1:12" s="1" customFormat="1">
      <c r="B51"/>
      <c r="C51"/>
      <c r="D51"/>
      <c r="E51" s="5"/>
      <c r="F51" s="5"/>
      <c r="G51"/>
    </row>
    <row r="52" spans="1:12" s="1" customFormat="1">
      <c r="B52"/>
      <c r="C52"/>
      <c r="D52"/>
      <c r="E52" s="5"/>
      <c r="F52" s="5"/>
      <c r="G52"/>
    </row>
    <row r="53" spans="1:12" s="1" customFormat="1">
      <c r="B53"/>
      <c r="C53"/>
      <c r="D53"/>
      <c r="E53" s="5"/>
      <c r="F53" s="5"/>
      <c r="G53"/>
    </row>
    <row r="54" spans="1:12" s="1" customFormat="1">
      <c r="E54" s="9"/>
      <c r="F54" s="9"/>
    </row>
    <row r="55" spans="1:12">
      <c r="A55" s="10" t="s">
        <v>102</v>
      </c>
      <c r="B55" s="10"/>
      <c r="C55" s="10"/>
      <c r="D55" s="10"/>
      <c r="E55" s="10"/>
      <c r="F55" s="10"/>
      <c r="G55" s="10"/>
    </row>
    <row r="56" spans="1:12">
      <c r="A56" s="10"/>
      <c r="B56" s="10"/>
      <c r="C56" s="10"/>
      <c r="D56" s="10"/>
      <c r="E56" s="10"/>
      <c r="F56" s="10"/>
      <c r="G56" s="10"/>
    </row>
    <row r="57" spans="1:12">
      <c r="A57" s="10"/>
      <c r="B57" s="75" t="s">
        <v>103</v>
      </c>
      <c r="C57" s="10"/>
      <c r="D57" s="10"/>
      <c r="E57" s="11" t="s">
        <v>48</v>
      </c>
      <c r="F57" s="10"/>
      <c r="G57" s="10"/>
    </row>
    <row r="58" spans="1:12">
      <c r="A58" s="10"/>
      <c r="B58" s="10"/>
      <c r="C58" s="10" t="s">
        <v>80</v>
      </c>
      <c r="D58" s="10"/>
      <c r="E58" s="10"/>
      <c r="F58" s="11" t="s">
        <v>48</v>
      </c>
      <c r="G58" s="10"/>
    </row>
    <row r="59" spans="1:12">
      <c r="A59" s="10"/>
      <c r="B59" s="10"/>
      <c r="C59" s="75" t="s">
        <v>104</v>
      </c>
      <c r="D59" s="10"/>
      <c r="E59" s="10"/>
      <c r="F59" s="10"/>
      <c r="G59" s="10"/>
    </row>
    <row r="60" spans="1:12">
      <c r="A60" s="10"/>
      <c r="B60" s="10"/>
      <c r="C60" s="10"/>
      <c r="D60" s="10"/>
      <c r="E60" s="12"/>
      <c r="F60" s="10"/>
      <c r="G60" s="10"/>
    </row>
    <row r="61" spans="1:12">
      <c r="A61" s="10"/>
      <c r="B61" s="54" t="s">
        <v>87</v>
      </c>
      <c r="C61" s="54"/>
      <c r="D61" s="54"/>
      <c r="E61" s="76"/>
      <c r="F61" s="54"/>
      <c r="G61" s="54"/>
      <c r="J61" t="s">
        <v>105</v>
      </c>
      <c r="K61" s="19">
        <v>49700</v>
      </c>
    </row>
    <row r="62" spans="1:12">
      <c r="A62" s="10"/>
      <c r="B62" s="54"/>
      <c r="C62" s="54" t="s">
        <v>106</v>
      </c>
      <c r="D62" s="54"/>
      <c r="E62" s="76"/>
      <c r="F62" s="54"/>
      <c r="G62" s="54"/>
      <c r="J62" t="s">
        <v>105</v>
      </c>
      <c r="K62" s="19">
        <v>23725</v>
      </c>
    </row>
    <row r="63" spans="1:12">
      <c r="A63" s="10"/>
      <c r="B63" s="54"/>
      <c r="C63" s="54" t="s">
        <v>107</v>
      </c>
      <c r="D63" s="54"/>
      <c r="E63" s="54"/>
      <c r="F63" s="76"/>
      <c r="G63" s="54"/>
      <c r="K63" t="s">
        <v>108</v>
      </c>
      <c r="L63" s="19">
        <f>K61</f>
        <v>49700</v>
      </c>
    </row>
    <row r="64" spans="1:12">
      <c r="A64" s="10"/>
      <c r="B64" s="10"/>
      <c r="C64" s="10"/>
      <c r="D64" s="10"/>
      <c r="E64" s="10"/>
      <c r="F64" s="10"/>
      <c r="G64" s="10"/>
      <c r="K64" t="s">
        <v>108</v>
      </c>
      <c r="L64" s="19">
        <f>K62</f>
        <v>23725</v>
      </c>
    </row>
    <row r="67" spans="1:12">
      <c r="A67" s="10" t="s">
        <v>109</v>
      </c>
      <c r="B67" s="10"/>
      <c r="C67" s="10"/>
      <c r="D67" s="10"/>
      <c r="E67" s="10"/>
      <c r="F67" s="10"/>
      <c r="G67" s="10"/>
    </row>
    <row r="68" spans="1:12">
      <c r="A68" s="10"/>
      <c r="B68" s="10"/>
      <c r="C68" s="10"/>
      <c r="D68" s="10"/>
      <c r="E68" s="10"/>
      <c r="F68" s="10"/>
      <c r="G68" s="10"/>
    </row>
    <row r="69" spans="1:12">
      <c r="A69" s="10"/>
      <c r="B69" s="75" t="s">
        <v>103</v>
      </c>
      <c r="C69" s="10"/>
      <c r="D69" s="10"/>
      <c r="E69" s="11" t="s">
        <v>48</v>
      </c>
      <c r="F69" s="10"/>
      <c r="G69" s="10"/>
    </row>
    <row r="70" spans="1:12">
      <c r="A70" s="10"/>
      <c r="B70" s="10"/>
      <c r="C70" s="10" t="s">
        <v>80</v>
      </c>
      <c r="D70" s="10"/>
      <c r="E70" s="10"/>
      <c r="F70" s="11" t="s">
        <v>48</v>
      </c>
      <c r="G70" s="10"/>
    </row>
    <row r="71" spans="1:12">
      <c r="A71" s="10"/>
      <c r="B71" s="10"/>
      <c r="C71" s="10" t="s">
        <v>110</v>
      </c>
      <c r="D71" s="10"/>
      <c r="E71" s="10"/>
      <c r="F71" s="10"/>
      <c r="G71" s="10"/>
    </row>
    <row r="72" spans="1:12">
      <c r="A72" s="10"/>
      <c r="B72" s="10"/>
      <c r="C72" s="10"/>
      <c r="D72" s="10"/>
      <c r="E72" s="12"/>
      <c r="F72" s="10"/>
      <c r="G72" s="10"/>
    </row>
    <row r="73" spans="1:12">
      <c r="A73" s="10"/>
      <c r="B73" s="54" t="s">
        <v>111</v>
      </c>
      <c r="C73" s="54"/>
      <c r="D73" s="54"/>
      <c r="E73" s="76"/>
      <c r="F73" s="54"/>
      <c r="G73" s="54"/>
      <c r="J73" t="s">
        <v>92</v>
      </c>
      <c r="K73">
        <v>50000</v>
      </c>
    </row>
    <row r="74" spans="1:12">
      <c r="A74" s="10"/>
      <c r="B74" s="54"/>
      <c r="C74" s="54" t="s">
        <v>106</v>
      </c>
      <c r="D74" s="54"/>
      <c r="E74" s="76"/>
      <c r="F74" s="54"/>
      <c r="G74" s="54"/>
      <c r="K74" t="s">
        <v>108</v>
      </c>
      <c r="L74">
        <v>50000</v>
      </c>
    </row>
    <row r="75" spans="1:12">
      <c r="A75" s="10"/>
      <c r="B75" s="54"/>
      <c r="C75" s="54" t="s">
        <v>112</v>
      </c>
      <c r="D75" s="54"/>
      <c r="E75" s="54"/>
      <c r="F75" s="76"/>
      <c r="G75" s="54"/>
    </row>
    <row r="76" spans="1:12">
      <c r="A76" s="10"/>
      <c r="B76" s="10"/>
      <c r="C76" s="10"/>
      <c r="D76" s="10"/>
      <c r="E76" s="10"/>
      <c r="F76" s="12"/>
      <c r="G76" s="10"/>
    </row>
    <row r="77" spans="1:12">
      <c r="A77" s="10"/>
      <c r="B77" s="10"/>
      <c r="C77" s="10"/>
      <c r="D77" s="10"/>
      <c r="E77" s="10"/>
      <c r="F77" s="10"/>
      <c r="G77" s="10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488E-B8D7-4545-B593-3CBAB401C790}">
  <sheetPr>
    <tabColor rgb="FF92D050"/>
  </sheetPr>
  <dimension ref="A3:F56"/>
  <sheetViews>
    <sheetView tabSelected="1" workbookViewId="0">
      <selection activeCell="B17" sqref="B17"/>
    </sheetView>
  </sheetViews>
  <sheetFormatPr defaultColWidth="9" defaultRowHeight="14.4"/>
  <cols>
    <col min="5" max="6" width="9.6640625" customWidth="1"/>
  </cols>
  <sheetData>
    <row r="3" spans="1:6">
      <c r="A3" t="s">
        <v>113</v>
      </c>
    </row>
    <row r="5" spans="1:6">
      <c r="B5" t="s">
        <v>114</v>
      </c>
      <c r="E5" s="5">
        <v>7500</v>
      </c>
      <c r="F5" s="5"/>
    </row>
    <row r="6" spans="1:6">
      <c r="C6" s="69" t="s">
        <v>115</v>
      </c>
      <c r="E6" s="5"/>
      <c r="F6" s="5">
        <v>450</v>
      </c>
    </row>
    <row r="7" spans="1:6">
      <c r="C7" s="69" t="s">
        <v>116</v>
      </c>
      <c r="E7" s="5"/>
      <c r="F7" s="5">
        <v>200</v>
      </c>
    </row>
    <row r="8" spans="1:6">
      <c r="C8" s="69" t="s">
        <v>117</v>
      </c>
      <c r="E8" s="5"/>
      <c r="F8" s="5">
        <v>250</v>
      </c>
    </row>
    <row r="9" spans="1:6">
      <c r="C9" t="s">
        <v>118</v>
      </c>
      <c r="E9" s="5"/>
      <c r="F9" s="5">
        <v>0</v>
      </c>
    </row>
    <row r="10" spans="1:6">
      <c r="C10" s="69" t="s">
        <v>119</v>
      </c>
      <c r="E10" s="5"/>
      <c r="F10" s="5">
        <f>E5-SUM(F6:F9)</f>
        <v>6600</v>
      </c>
    </row>
    <row r="11" spans="1:6">
      <c r="C11" t="s">
        <v>6</v>
      </c>
    </row>
    <row r="14" spans="1:6">
      <c r="A14" s="31" t="s">
        <v>120</v>
      </c>
    </row>
    <row r="16" spans="1:6">
      <c r="B16" t="s">
        <v>121</v>
      </c>
      <c r="E16" s="5">
        <v>1400</v>
      </c>
      <c r="F16" s="5"/>
    </row>
    <row r="17" spans="1:6">
      <c r="C17" s="69" t="s">
        <v>122</v>
      </c>
      <c r="E17" s="5"/>
      <c r="F17" s="5">
        <v>1000</v>
      </c>
    </row>
    <row r="18" spans="1:6">
      <c r="C18" s="69" t="s">
        <v>123</v>
      </c>
      <c r="E18" s="5"/>
      <c r="F18" s="5">
        <v>200</v>
      </c>
    </row>
    <row r="19" spans="1:6">
      <c r="C19" s="69" t="s">
        <v>124</v>
      </c>
      <c r="E19" s="5"/>
      <c r="F19" s="5">
        <v>300</v>
      </c>
    </row>
    <row r="20" spans="1:6">
      <c r="C20" t="s">
        <v>125</v>
      </c>
      <c r="E20" s="5"/>
      <c r="F20" s="5"/>
    </row>
    <row r="21" spans="1:6">
      <c r="E21" s="5"/>
      <c r="F21" s="5"/>
    </row>
    <row r="22" spans="1:6">
      <c r="A22" s="69" t="s">
        <v>126</v>
      </c>
      <c r="E22" s="5"/>
      <c r="F22" s="5"/>
    </row>
    <row r="23" spans="1:6">
      <c r="A23" s="69"/>
      <c r="E23" s="5"/>
      <c r="F23" s="5"/>
    </row>
    <row r="24" spans="1:6">
      <c r="A24" s="69"/>
      <c r="B24" s="69" t="s">
        <v>122</v>
      </c>
      <c r="D24" s="5"/>
      <c r="E24" s="5">
        <f>F17</f>
        <v>1000</v>
      </c>
      <c r="F24" s="5"/>
    </row>
    <row r="25" spans="1:6">
      <c r="A25" s="69"/>
      <c r="B25" s="69" t="s">
        <v>123</v>
      </c>
      <c r="D25" s="5"/>
      <c r="E25" s="5">
        <f>F18</f>
        <v>200</v>
      </c>
      <c r="F25" s="5"/>
    </row>
    <row r="26" spans="1:6">
      <c r="A26" s="69"/>
      <c r="B26" s="69" t="s">
        <v>124</v>
      </c>
      <c r="D26" s="5"/>
      <c r="E26" s="5">
        <f>F19</f>
        <v>300</v>
      </c>
      <c r="F26" s="5"/>
    </row>
    <row r="27" spans="1:6">
      <c r="C27" t="s">
        <v>121</v>
      </c>
      <c r="E27" s="5"/>
      <c r="F27" s="5">
        <f>E16</f>
        <v>1400</v>
      </c>
    </row>
    <row r="28" spans="1:6">
      <c r="C28" s="69" t="s">
        <v>127</v>
      </c>
      <c r="E28" s="5"/>
      <c r="F28" s="5"/>
    </row>
    <row r="29" spans="1:6">
      <c r="C29" s="69"/>
      <c r="E29" s="5"/>
      <c r="F29" s="5"/>
    </row>
    <row r="30" spans="1:6">
      <c r="C30" s="69"/>
      <c r="E30" s="5"/>
      <c r="F30" s="5"/>
    </row>
    <row r="31" spans="1:6">
      <c r="B31" t="s">
        <v>121</v>
      </c>
      <c r="C31" s="69"/>
      <c r="E31" s="5">
        <v>1400</v>
      </c>
      <c r="F31" s="5"/>
    </row>
    <row r="32" spans="1:6">
      <c r="C32" s="69" t="s">
        <v>122</v>
      </c>
      <c r="E32" s="5"/>
      <c r="F32" s="5">
        <v>900</v>
      </c>
    </row>
    <row r="33" spans="1:6">
      <c r="C33" s="69" t="s">
        <v>123</v>
      </c>
      <c r="E33" s="5"/>
      <c r="F33" s="5">
        <v>200</v>
      </c>
    </row>
    <row r="34" spans="1:6">
      <c r="C34" s="69" t="s">
        <v>124</v>
      </c>
      <c r="E34" s="5"/>
      <c r="F34" s="5">
        <v>300</v>
      </c>
    </row>
    <row r="35" spans="1:6" ht="13.95" customHeight="1">
      <c r="C35" s="69" t="s">
        <v>128</v>
      </c>
      <c r="E35" s="5"/>
      <c r="F35" s="5"/>
    </row>
    <row r="36" spans="1:6" ht="13.95" customHeight="1">
      <c r="C36" s="69"/>
      <c r="E36" s="5"/>
      <c r="F36" s="5"/>
    </row>
    <row r="37" spans="1:6" ht="13.95" customHeight="1">
      <c r="C37" s="69"/>
      <c r="E37" s="5"/>
      <c r="F37" s="5"/>
    </row>
    <row r="38" spans="1:6">
      <c r="A38" s="2" t="s">
        <v>129</v>
      </c>
      <c r="E38" s="5"/>
      <c r="F38" s="5"/>
    </row>
    <row r="39" spans="1:6">
      <c r="A39" s="69"/>
      <c r="B39" s="69" t="s">
        <v>115</v>
      </c>
      <c r="E39" s="14">
        <f>F6</f>
        <v>450</v>
      </c>
      <c r="F39" s="5"/>
    </row>
    <row r="40" spans="1:6">
      <c r="A40" s="69"/>
      <c r="B40" s="69" t="s">
        <v>116</v>
      </c>
      <c r="E40" s="14">
        <f>F7</f>
        <v>200</v>
      </c>
      <c r="F40" s="5"/>
    </row>
    <row r="41" spans="1:6">
      <c r="A41" s="69"/>
      <c r="B41" s="69" t="s">
        <v>117</v>
      </c>
      <c r="E41" s="14">
        <f>F8</f>
        <v>250</v>
      </c>
      <c r="F41" s="5"/>
    </row>
    <row r="42" spans="1:6">
      <c r="A42" s="69"/>
      <c r="B42" s="69" t="s">
        <v>122</v>
      </c>
      <c r="E42" s="19">
        <f>F32</f>
        <v>900</v>
      </c>
      <c r="F42" s="5"/>
    </row>
    <row r="43" spans="1:6">
      <c r="A43" s="69"/>
      <c r="B43" s="69" t="s">
        <v>123</v>
      </c>
      <c r="E43" s="19">
        <f>F33</f>
        <v>200</v>
      </c>
      <c r="F43" s="5"/>
    </row>
    <row r="44" spans="1:6">
      <c r="A44" s="69"/>
      <c r="B44" s="69" t="s">
        <v>124</v>
      </c>
      <c r="E44" s="19">
        <f>F34</f>
        <v>300</v>
      </c>
      <c r="F44" s="5"/>
    </row>
    <row r="45" spans="1:6">
      <c r="C45" s="69" t="s">
        <v>130</v>
      </c>
      <c r="E45" s="5"/>
      <c r="F45" s="5">
        <f>SUM(E39:E44)</f>
        <v>2300</v>
      </c>
    </row>
    <row r="46" spans="1:6">
      <c r="E46" s="5"/>
      <c r="F46" s="5"/>
    </row>
    <row r="48" spans="1:6">
      <c r="A48" s="2" t="s">
        <v>131</v>
      </c>
    </row>
    <row r="49" spans="1:6">
      <c r="B49" s="69" t="s">
        <v>130</v>
      </c>
      <c r="D49" s="19">
        <f>F45</f>
        <v>2300</v>
      </c>
    </row>
    <row r="50" spans="1:6">
      <c r="C50" t="s">
        <v>132</v>
      </c>
      <c r="F50" s="14">
        <f>D49</f>
        <v>2300</v>
      </c>
    </row>
    <row r="51" spans="1:6">
      <c r="F51" s="14"/>
    </row>
    <row r="53" spans="1:6">
      <c r="A53" s="69"/>
    </row>
    <row r="55" spans="1:6">
      <c r="B55" s="69"/>
      <c r="E55" s="5"/>
      <c r="F55" s="5"/>
    </row>
    <row r="56" spans="1:6">
      <c r="C56" s="69"/>
      <c r="E56" s="5"/>
      <c r="F56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R24"/>
  <sheetViews>
    <sheetView topLeftCell="W1" workbookViewId="0">
      <selection activeCell="C14" sqref="C14"/>
    </sheetView>
  </sheetViews>
  <sheetFormatPr defaultColWidth="9" defaultRowHeight="14.4"/>
  <cols>
    <col min="1" max="1" width="2.33203125" style="15" customWidth="1"/>
    <col min="2" max="2" width="4.21875" customWidth="1"/>
    <col min="3" max="3" width="6" customWidth="1"/>
    <col min="5" max="5" width="10.6640625" customWidth="1"/>
    <col min="6" max="6" width="10.77734375" customWidth="1"/>
    <col min="7" max="7" width="9.6640625" customWidth="1"/>
    <col min="8" max="9" width="11.6640625" style="17" customWidth="1"/>
    <col min="10" max="10" width="11.6640625" customWidth="1"/>
    <col min="12" max="12" width="9.77734375" customWidth="1"/>
    <col min="13" max="13" width="10.6640625" customWidth="1"/>
    <col min="14" max="14" width="11.33203125" customWidth="1"/>
    <col min="15" max="15" width="11.6640625" customWidth="1"/>
    <col min="16" max="16" width="12.6640625" customWidth="1"/>
    <col min="17" max="17" width="12.109375" customWidth="1"/>
    <col min="18" max="18" width="20" customWidth="1"/>
  </cols>
  <sheetData>
    <row r="1" spans="1:18">
      <c r="A1" s="18" t="s">
        <v>0</v>
      </c>
      <c r="F1" t="s">
        <v>133</v>
      </c>
    </row>
    <row r="4" spans="1:18">
      <c r="A4" s="15">
        <v>1</v>
      </c>
      <c r="B4" t="s">
        <v>134</v>
      </c>
    </row>
    <row r="5" spans="1:18">
      <c r="B5" t="s">
        <v>57</v>
      </c>
      <c r="E5" s="5">
        <v>36000</v>
      </c>
      <c r="F5" s="5"/>
    </row>
    <row r="6" spans="1:18">
      <c r="C6" t="s">
        <v>135</v>
      </c>
      <c r="E6" s="5"/>
      <c r="F6" s="5">
        <v>36000</v>
      </c>
    </row>
    <row r="8" spans="1:18">
      <c r="A8" s="15">
        <v>1</v>
      </c>
      <c r="B8" t="s">
        <v>136</v>
      </c>
    </row>
    <row r="9" spans="1:18" ht="15.6">
      <c r="M9" s="85" t="s">
        <v>137</v>
      </c>
      <c r="N9" s="85"/>
      <c r="O9" s="85"/>
      <c r="P9" s="85"/>
    </row>
    <row r="10" spans="1:18">
      <c r="C10" t="s">
        <v>8</v>
      </c>
      <c r="H10" s="17">
        <v>5000</v>
      </c>
      <c r="O10" t="s">
        <v>138</v>
      </c>
      <c r="P10" t="s">
        <v>139</v>
      </c>
      <c r="Q10" s="17"/>
      <c r="R10" s="17"/>
    </row>
    <row r="11" spans="1:18">
      <c r="C11" t="s">
        <v>140</v>
      </c>
      <c r="H11" s="17">
        <v>31000</v>
      </c>
      <c r="M11" t="s">
        <v>141</v>
      </c>
      <c r="O11" s="19">
        <f>H10+H18</f>
        <v>36000</v>
      </c>
      <c r="Q11" s="17"/>
      <c r="R11" s="17"/>
    </row>
    <row r="12" spans="1:18">
      <c r="D12" t="s">
        <v>142</v>
      </c>
      <c r="I12" s="17">
        <v>36000</v>
      </c>
      <c r="M12" t="s">
        <v>143</v>
      </c>
      <c r="O12" s="19">
        <f>H11</f>
        <v>31000</v>
      </c>
      <c r="P12" s="19">
        <f>I19</f>
        <v>31000</v>
      </c>
      <c r="Q12" s="17"/>
      <c r="R12" s="17"/>
    </row>
    <row r="13" spans="1:18">
      <c r="M13" t="s">
        <v>144</v>
      </c>
      <c r="O13" s="19">
        <f>H21+F14</f>
        <v>36000</v>
      </c>
      <c r="P13" s="19">
        <f>F6</f>
        <v>36000</v>
      </c>
      <c r="Q13" s="17"/>
      <c r="R13" s="17"/>
    </row>
    <row r="14" spans="1:18">
      <c r="C14" s="69" t="s">
        <v>145</v>
      </c>
      <c r="F14" s="5">
        <v>5000</v>
      </c>
      <c r="G14" s="5"/>
      <c r="M14" t="s">
        <v>146</v>
      </c>
      <c r="P14" s="19">
        <f>I22+G15</f>
        <v>36000</v>
      </c>
      <c r="Q14" s="17"/>
      <c r="R14" s="17"/>
    </row>
    <row r="15" spans="1:18">
      <c r="D15" t="s">
        <v>147</v>
      </c>
      <c r="F15" s="5"/>
      <c r="G15" s="5">
        <v>5000</v>
      </c>
      <c r="M15" t="s">
        <v>148</v>
      </c>
      <c r="O15" s="19">
        <f>E5</f>
        <v>36000</v>
      </c>
      <c r="P15" s="19">
        <f>I12</f>
        <v>36000</v>
      </c>
      <c r="Q15" s="17"/>
      <c r="R15" s="17"/>
    </row>
    <row r="16" spans="1:18">
      <c r="O16" s="19">
        <f>SUM(O11:O15)</f>
        <v>139000</v>
      </c>
      <c r="P16" s="19">
        <f>SUM(P11:P15)</f>
        <v>139000</v>
      </c>
      <c r="Q16" s="17"/>
      <c r="R16" s="17"/>
    </row>
    <row r="17" spans="1:14">
      <c r="A17" s="18" t="s">
        <v>149</v>
      </c>
    </row>
    <row r="18" spans="1:14">
      <c r="C18" t="s">
        <v>8</v>
      </c>
      <c r="H18" s="17">
        <v>31000</v>
      </c>
      <c r="K18" t="s">
        <v>8</v>
      </c>
      <c r="M18" s="5">
        <v>2584</v>
      </c>
    </row>
    <row r="19" spans="1:14">
      <c r="D19" t="s">
        <v>150</v>
      </c>
      <c r="I19" s="17">
        <v>31000</v>
      </c>
      <c r="L19" t="s">
        <v>151</v>
      </c>
      <c r="N19" s="19">
        <f>M18</f>
        <v>2584</v>
      </c>
    </row>
    <row r="21" spans="1:14">
      <c r="C21" t="s">
        <v>145</v>
      </c>
      <c r="H21" s="17">
        <v>31000</v>
      </c>
      <c r="K21" t="s">
        <v>152</v>
      </c>
      <c r="M21" s="19">
        <f>M18</f>
        <v>2584</v>
      </c>
    </row>
    <row r="22" spans="1:14">
      <c r="D22" t="s">
        <v>147</v>
      </c>
      <c r="I22" s="17">
        <v>31000</v>
      </c>
      <c r="L22" t="s">
        <v>147</v>
      </c>
      <c r="N22" s="19">
        <f>N19</f>
        <v>2584</v>
      </c>
    </row>
    <row r="24" spans="1:14">
      <c r="E24" s="15"/>
    </row>
  </sheetData>
  <mergeCells count="1">
    <mergeCell ref="M9:P9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N37"/>
  <sheetViews>
    <sheetView workbookViewId="0">
      <selection activeCell="B5" sqref="B5"/>
    </sheetView>
  </sheetViews>
  <sheetFormatPr defaultColWidth="9" defaultRowHeight="14.4"/>
  <cols>
    <col min="2" max="2" width="5.33203125" customWidth="1"/>
  </cols>
  <sheetData>
    <row r="1" spans="1:8">
      <c r="A1" s="2" t="s">
        <v>153</v>
      </c>
      <c r="H1" s="2"/>
    </row>
    <row r="3" spans="1:8">
      <c r="A3" s="69" t="s">
        <v>154</v>
      </c>
    </row>
    <row r="5" spans="1:8">
      <c r="B5" s="69" t="s">
        <v>155</v>
      </c>
    </row>
    <row r="6" spans="1:8">
      <c r="B6" s="69"/>
      <c r="C6" s="69" t="s">
        <v>156</v>
      </c>
    </row>
    <row r="8" spans="1:8">
      <c r="A8" s="69" t="s">
        <v>157</v>
      </c>
    </row>
    <row r="10" spans="1:8">
      <c r="B10" s="69" t="s">
        <v>158</v>
      </c>
    </row>
    <row r="11" spans="1:8">
      <c r="C11" s="69" t="s">
        <v>159</v>
      </c>
    </row>
    <row r="13" spans="1:8">
      <c r="A13" s="69" t="s">
        <v>160</v>
      </c>
    </row>
    <row r="15" spans="1:8">
      <c r="B15" s="69" t="s">
        <v>71</v>
      </c>
    </row>
    <row r="16" spans="1:8">
      <c r="C16" s="69" t="s">
        <v>161</v>
      </c>
    </row>
    <row r="26" spans="1:14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14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3" spans="1:14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N36"/>
  <sheetViews>
    <sheetView workbookViewId="0">
      <selection activeCell="B35" sqref="B35"/>
    </sheetView>
  </sheetViews>
  <sheetFormatPr defaultColWidth="9" defaultRowHeight="14.4"/>
  <sheetData>
    <row r="1" spans="1:13">
      <c r="A1" s="2" t="s">
        <v>162</v>
      </c>
      <c r="H1" s="2" t="s">
        <v>163</v>
      </c>
    </row>
    <row r="3" spans="1:13">
      <c r="A3" t="s">
        <v>164</v>
      </c>
      <c r="H3" t="s">
        <v>164</v>
      </c>
    </row>
    <row r="4" spans="1:13">
      <c r="B4" t="s">
        <v>165</v>
      </c>
      <c r="E4" t="s">
        <v>48</v>
      </c>
      <c r="I4" t="s">
        <v>166</v>
      </c>
      <c r="L4" t="s">
        <v>48</v>
      </c>
    </row>
    <row r="5" spans="1:13">
      <c r="C5" t="s">
        <v>167</v>
      </c>
      <c r="F5" t="s">
        <v>48</v>
      </c>
      <c r="J5" t="s">
        <v>167</v>
      </c>
      <c r="M5" t="s">
        <v>48</v>
      </c>
    </row>
    <row r="7" spans="1:13">
      <c r="A7" t="s">
        <v>168</v>
      </c>
      <c r="H7" t="s">
        <v>168</v>
      </c>
    </row>
    <row r="8" spans="1:13">
      <c r="B8" t="s">
        <v>165</v>
      </c>
      <c r="E8" t="s">
        <v>48</v>
      </c>
      <c r="I8" t="s">
        <v>166</v>
      </c>
      <c r="L8" t="s">
        <v>48</v>
      </c>
    </row>
    <row r="9" spans="1:13">
      <c r="C9" t="s">
        <v>167</v>
      </c>
      <c r="F9" t="s">
        <v>48</v>
      </c>
      <c r="J9" t="s">
        <v>167</v>
      </c>
      <c r="M9" t="s">
        <v>48</v>
      </c>
    </row>
    <row r="11" spans="1:13">
      <c r="A11" t="s">
        <v>169</v>
      </c>
      <c r="H11" t="s">
        <v>170</v>
      </c>
    </row>
    <row r="12" spans="1:13">
      <c r="B12" t="s">
        <v>165</v>
      </c>
      <c r="E12" t="s">
        <v>48</v>
      </c>
      <c r="I12" t="s">
        <v>171</v>
      </c>
      <c r="L12" t="s">
        <v>48</v>
      </c>
    </row>
    <row r="13" spans="1:13">
      <c r="C13" t="s">
        <v>172</v>
      </c>
      <c r="F13" t="s">
        <v>48</v>
      </c>
      <c r="I13" t="s">
        <v>173</v>
      </c>
      <c r="L13" t="s">
        <v>48</v>
      </c>
    </row>
    <row r="14" spans="1:13">
      <c r="C14" t="s">
        <v>174</v>
      </c>
      <c r="F14" t="s">
        <v>48</v>
      </c>
      <c r="I14" t="s">
        <v>175</v>
      </c>
      <c r="L14" t="s">
        <v>48</v>
      </c>
    </row>
    <row r="15" spans="1:13">
      <c r="I15" t="s">
        <v>173</v>
      </c>
      <c r="L15" t="s">
        <v>48</v>
      </c>
    </row>
    <row r="16" spans="1:13">
      <c r="A16" t="s">
        <v>176</v>
      </c>
      <c r="I16" t="s">
        <v>177</v>
      </c>
      <c r="L16" t="s">
        <v>48</v>
      </c>
    </row>
    <row r="17" spans="1:14">
      <c r="B17" t="s">
        <v>173</v>
      </c>
      <c r="E17" t="s">
        <v>48</v>
      </c>
      <c r="J17" t="s">
        <v>178</v>
      </c>
      <c r="M17" t="s">
        <v>48</v>
      </c>
    </row>
    <row r="18" spans="1:14">
      <c r="B18" t="s">
        <v>179</v>
      </c>
      <c r="E18" t="s">
        <v>48</v>
      </c>
      <c r="J18" t="s">
        <v>180</v>
      </c>
      <c r="M18" t="s">
        <v>48</v>
      </c>
    </row>
    <row r="19" spans="1:14">
      <c r="C19" t="s">
        <v>167</v>
      </c>
      <c r="F19" t="s">
        <v>48</v>
      </c>
    </row>
    <row r="21" spans="1:14">
      <c r="A21" t="s">
        <v>181</v>
      </c>
      <c r="H21" t="s">
        <v>182</v>
      </c>
    </row>
    <row r="22" spans="1:14">
      <c r="B22" t="s">
        <v>183</v>
      </c>
      <c r="E22" t="s">
        <v>48</v>
      </c>
      <c r="I22" t="s">
        <v>183</v>
      </c>
      <c r="L22" t="s">
        <v>48</v>
      </c>
    </row>
    <row r="23" spans="1:14">
      <c r="C23" t="s">
        <v>167</v>
      </c>
      <c r="F23" t="s">
        <v>48</v>
      </c>
      <c r="J23" t="s">
        <v>167</v>
      </c>
      <c r="M23" t="s">
        <v>48</v>
      </c>
    </row>
    <row r="25" spans="1:14">
      <c r="A25" s="20" t="s">
        <v>184</v>
      </c>
      <c r="B25" s="20"/>
      <c r="C25" s="20"/>
      <c r="D25" s="20"/>
      <c r="E25" s="20"/>
      <c r="F25" s="20"/>
      <c r="G25" s="20"/>
      <c r="H25" s="20" t="s">
        <v>184</v>
      </c>
      <c r="I25" s="20"/>
      <c r="J25" s="20"/>
      <c r="K25" s="20"/>
      <c r="L25" s="20"/>
      <c r="M25" s="20"/>
      <c r="N25" s="20"/>
    </row>
    <row r="26" spans="1:14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>
      <c r="A27" s="20"/>
      <c r="B27" s="20" t="s">
        <v>185</v>
      </c>
      <c r="C27" s="20"/>
      <c r="D27" s="20"/>
      <c r="E27" s="20"/>
      <c r="F27" s="20"/>
      <c r="G27" s="20"/>
      <c r="H27" s="20"/>
      <c r="I27" s="20" t="s">
        <v>185</v>
      </c>
      <c r="J27" s="20"/>
      <c r="K27" s="20"/>
      <c r="L27" s="20"/>
      <c r="M27" s="20"/>
      <c r="N27" s="20"/>
    </row>
    <row r="28" spans="1:14">
      <c r="A28" s="20"/>
      <c r="B28" s="20" t="s">
        <v>186</v>
      </c>
      <c r="C28" s="20"/>
      <c r="D28" s="20"/>
      <c r="E28" s="20"/>
      <c r="F28" s="20"/>
      <c r="G28" s="20"/>
      <c r="H28" s="20"/>
      <c r="I28" s="20" t="s">
        <v>186</v>
      </c>
      <c r="J28" s="20"/>
      <c r="K28" s="20"/>
      <c r="L28" s="20"/>
      <c r="M28" s="20"/>
      <c r="N28" s="20"/>
    </row>
    <row r="29" spans="1:14">
      <c r="A29" s="20"/>
      <c r="B29" s="20"/>
      <c r="C29" s="20" t="s">
        <v>55</v>
      </c>
      <c r="D29" s="20"/>
      <c r="E29" s="20"/>
      <c r="F29" s="20"/>
      <c r="G29" s="20"/>
      <c r="H29" s="20"/>
      <c r="I29" s="20"/>
      <c r="J29" s="20" t="s">
        <v>55</v>
      </c>
      <c r="K29" s="20"/>
      <c r="L29" s="20"/>
      <c r="M29" s="20"/>
      <c r="N29" s="20"/>
    </row>
    <row r="30" spans="1:14">
      <c r="A30" s="20"/>
      <c r="B30" s="20"/>
      <c r="C30" s="20" t="s">
        <v>187</v>
      </c>
      <c r="D30" s="20"/>
      <c r="E30" s="20"/>
      <c r="F30" s="20"/>
      <c r="G30" s="20"/>
      <c r="H30" s="20"/>
      <c r="I30" s="20"/>
      <c r="J30" s="20" t="s">
        <v>187</v>
      </c>
      <c r="K30" s="20"/>
      <c r="L30" s="20"/>
      <c r="M30" s="20"/>
      <c r="N30" s="20"/>
    </row>
    <row r="32" spans="1:14">
      <c r="A32" s="20" t="s">
        <v>188</v>
      </c>
      <c r="B32" s="20"/>
      <c r="C32" s="20"/>
      <c r="D32" s="20"/>
      <c r="E32" s="20"/>
      <c r="F32" s="20"/>
      <c r="G32" s="20"/>
      <c r="H32" s="20" t="s">
        <v>188</v>
      </c>
      <c r="I32" s="20"/>
      <c r="J32" s="20"/>
      <c r="K32" s="20"/>
      <c r="L32" s="20"/>
      <c r="M32" s="20"/>
      <c r="N32" s="20"/>
    </row>
    <row r="33" spans="1:14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>
      <c r="A34" s="20"/>
      <c r="B34" s="20" t="s">
        <v>189</v>
      </c>
      <c r="C34" s="20"/>
      <c r="D34" s="20"/>
      <c r="E34" s="20"/>
      <c r="F34" s="20"/>
      <c r="G34" s="20"/>
      <c r="H34" s="20"/>
      <c r="I34" s="20" t="s">
        <v>189</v>
      </c>
      <c r="J34" s="20"/>
      <c r="K34" s="20"/>
      <c r="L34" s="20"/>
      <c r="M34" s="20"/>
      <c r="N34" s="20"/>
    </row>
    <row r="35" spans="1:14">
      <c r="A35" s="20"/>
      <c r="B35" s="20" t="s">
        <v>190</v>
      </c>
      <c r="C35" s="20"/>
      <c r="D35" s="20"/>
      <c r="E35" s="20"/>
      <c r="F35" s="20"/>
      <c r="G35" s="20"/>
      <c r="H35" s="20"/>
      <c r="I35" s="20" t="s">
        <v>190</v>
      </c>
      <c r="J35" s="20"/>
      <c r="K35" s="20"/>
      <c r="L35" s="20"/>
      <c r="M35" s="20"/>
      <c r="N35" s="20"/>
    </row>
    <row r="36" spans="1:14">
      <c r="A36" s="20"/>
      <c r="B36" s="20"/>
      <c r="C36" s="20" t="s">
        <v>55</v>
      </c>
      <c r="D36" s="20"/>
      <c r="E36" s="20"/>
      <c r="F36" s="20"/>
      <c r="G36" s="20"/>
      <c r="H36" s="20"/>
      <c r="I36" s="20"/>
      <c r="J36" s="20" t="s">
        <v>55</v>
      </c>
      <c r="K36" s="20"/>
      <c r="L36" s="20"/>
      <c r="M36" s="20"/>
      <c r="N36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M29"/>
  <sheetViews>
    <sheetView workbookViewId="0">
      <selection activeCell="J15" sqref="J15"/>
    </sheetView>
  </sheetViews>
  <sheetFormatPr defaultColWidth="9" defaultRowHeight="14.4"/>
  <cols>
    <col min="5" max="5" width="13.33203125" customWidth="1"/>
    <col min="6" max="6" width="12.33203125" customWidth="1"/>
  </cols>
  <sheetData>
    <row r="1" spans="1:13">
      <c r="A1" s="2" t="s">
        <v>191</v>
      </c>
      <c r="H1" s="2" t="s">
        <v>192</v>
      </c>
    </row>
    <row r="3" spans="1:13">
      <c r="A3" s="69" t="s">
        <v>193</v>
      </c>
      <c r="H3" s="69" t="s">
        <v>194</v>
      </c>
    </row>
    <row r="5" spans="1:13">
      <c r="B5" s="69" t="s">
        <v>195</v>
      </c>
      <c r="E5" s="5">
        <v>100000</v>
      </c>
      <c r="F5" s="5"/>
      <c r="I5" s="69" t="s">
        <v>196</v>
      </c>
      <c r="L5" s="69" t="s">
        <v>48</v>
      </c>
    </row>
    <row r="6" spans="1:13">
      <c r="B6" s="69"/>
      <c r="C6" s="69" t="s">
        <v>197</v>
      </c>
      <c r="E6" s="5"/>
      <c r="F6" s="5">
        <v>100000</v>
      </c>
      <c r="I6" s="69" t="s">
        <v>198</v>
      </c>
      <c r="J6" s="69"/>
      <c r="L6" s="69" t="s">
        <v>48</v>
      </c>
    </row>
    <row r="7" spans="1:13">
      <c r="C7" t="s">
        <v>6</v>
      </c>
      <c r="E7" s="5"/>
      <c r="F7" s="5"/>
      <c r="J7" s="69" t="s">
        <v>199</v>
      </c>
      <c r="M7" s="69" t="s">
        <v>48</v>
      </c>
    </row>
    <row r="8" spans="1:13">
      <c r="E8" s="5"/>
      <c r="F8" s="5"/>
      <c r="J8" s="69" t="s">
        <v>200</v>
      </c>
      <c r="M8" s="69" t="s">
        <v>48</v>
      </c>
    </row>
    <row r="9" spans="1:13">
      <c r="A9" s="69" t="s">
        <v>201</v>
      </c>
      <c r="E9" s="5"/>
      <c r="F9" s="5"/>
      <c r="J9" s="69" t="s">
        <v>6</v>
      </c>
    </row>
    <row r="10" spans="1:13">
      <c r="B10" s="69" t="s">
        <v>197</v>
      </c>
      <c r="E10" s="5">
        <v>100000</v>
      </c>
      <c r="F10" s="5"/>
    </row>
    <row r="11" spans="1:13">
      <c r="B11" s="69" t="s">
        <v>202</v>
      </c>
      <c r="E11" s="5"/>
      <c r="F11" s="5">
        <v>75300</v>
      </c>
      <c r="H11" s="69" t="s">
        <v>203</v>
      </c>
    </row>
    <row r="12" spans="1:13">
      <c r="B12" s="69"/>
      <c r="C12" s="69" t="s">
        <v>204</v>
      </c>
      <c r="E12" s="15"/>
      <c r="F12" s="5">
        <v>175300</v>
      </c>
    </row>
    <row r="13" spans="1:13">
      <c r="C13" s="69"/>
      <c r="F13" s="15"/>
    </row>
    <row r="14" spans="1:13">
      <c r="A14" s="69" t="s">
        <v>205</v>
      </c>
      <c r="C14" s="69"/>
      <c r="F14" s="15"/>
      <c r="I14" s="69" t="s">
        <v>206</v>
      </c>
      <c r="L14" s="69" t="s">
        <v>48</v>
      </c>
    </row>
    <row r="15" spans="1:13">
      <c r="H15" s="13"/>
      <c r="J15" s="69" t="s">
        <v>196</v>
      </c>
      <c r="M15" s="69" t="s">
        <v>48</v>
      </c>
    </row>
    <row r="16" spans="1:13">
      <c r="A16" s="69"/>
      <c r="B16" s="69" t="s">
        <v>207</v>
      </c>
      <c r="E16" s="71" t="s">
        <v>48</v>
      </c>
      <c r="F16" s="17"/>
    </row>
    <row r="17" spans="1:6">
      <c r="C17" s="69" t="s">
        <v>208</v>
      </c>
      <c r="E17" s="17"/>
      <c r="F17" s="77" t="s">
        <v>48</v>
      </c>
    </row>
    <row r="18" spans="1:6">
      <c r="B18" s="69"/>
      <c r="C18" s="69" t="s">
        <v>209</v>
      </c>
      <c r="E18" s="15"/>
      <c r="F18" s="77" t="s">
        <v>48</v>
      </c>
    </row>
    <row r="19" spans="1:6">
      <c r="C19" s="69"/>
    </row>
    <row r="20" spans="1:6">
      <c r="E20" s="5"/>
      <c r="F20" s="5"/>
    </row>
    <row r="21" spans="1:6">
      <c r="A21" s="69" t="s">
        <v>210</v>
      </c>
      <c r="E21" s="5"/>
      <c r="F21" s="5"/>
    </row>
    <row r="22" spans="1:6">
      <c r="E22" s="5"/>
      <c r="F22" s="5"/>
    </row>
    <row r="23" spans="1:6">
      <c r="B23" s="69" t="s">
        <v>211</v>
      </c>
      <c r="E23" s="71" t="s">
        <v>48</v>
      </c>
      <c r="F23" s="17"/>
    </row>
    <row r="24" spans="1:6">
      <c r="C24" s="69" t="s">
        <v>86</v>
      </c>
      <c r="E24" s="15"/>
      <c r="F24" s="77" t="s">
        <v>48</v>
      </c>
    </row>
    <row r="26" spans="1:6">
      <c r="E26" s="14"/>
    </row>
    <row r="27" spans="1:6">
      <c r="E27" s="14"/>
    </row>
    <row r="28" spans="1:6">
      <c r="E28" s="14"/>
    </row>
    <row r="29" spans="1:6">
      <c r="F29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K72"/>
  <sheetViews>
    <sheetView topLeftCell="A16" workbookViewId="0">
      <selection activeCell="N12" sqref="N12"/>
    </sheetView>
  </sheetViews>
  <sheetFormatPr defaultColWidth="9" defaultRowHeight="14.4"/>
  <cols>
    <col min="1" max="1" width="3.88671875" style="15" customWidth="1"/>
    <col min="2" max="2" width="4.21875" customWidth="1"/>
    <col min="3" max="3" width="6" customWidth="1"/>
    <col min="8" max="9" width="11.6640625" style="17" customWidth="1"/>
    <col min="10" max="11" width="11.6640625" customWidth="1"/>
  </cols>
  <sheetData>
    <row r="1" spans="1:10">
      <c r="A1" s="41" t="s">
        <v>0</v>
      </c>
      <c r="B1" s="32"/>
      <c r="C1" s="32"/>
      <c r="D1" s="32"/>
      <c r="E1" s="32"/>
      <c r="F1" s="32"/>
      <c r="G1" s="32"/>
      <c r="H1" s="33"/>
      <c r="I1" s="33"/>
      <c r="J1" s="34"/>
    </row>
    <row r="2" spans="1:10">
      <c r="A2" s="35"/>
      <c r="H2" s="36"/>
      <c r="I2" s="36"/>
      <c r="J2" s="37"/>
    </row>
    <row r="3" spans="1:10">
      <c r="A3" s="78" t="s">
        <v>212</v>
      </c>
      <c r="B3" s="69" t="s">
        <v>213</v>
      </c>
      <c r="H3" s="36"/>
      <c r="I3" s="36"/>
      <c r="J3" s="37"/>
    </row>
    <row r="4" spans="1:10">
      <c r="A4" s="35"/>
      <c r="H4" s="36"/>
      <c r="I4" s="36"/>
      <c r="J4" s="37"/>
    </row>
    <row r="5" spans="1:10">
      <c r="A5" s="35"/>
      <c r="C5" s="69" t="s">
        <v>214</v>
      </c>
      <c r="H5" s="36">
        <f>I6-H6</f>
        <v>425000</v>
      </c>
      <c r="I5" s="36"/>
      <c r="J5" s="37"/>
    </row>
    <row r="6" spans="1:10">
      <c r="A6" s="35"/>
      <c r="D6" s="69" t="s">
        <v>215</v>
      </c>
      <c r="H6" s="36"/>
      <c r="I6" s="36">
        <v>425000</v>
      </c>
      <c r="J6" s="37"/>
    </row>
    <row r="7" spans="1:10">
      <c r="A7" s="35"/>
      <c r="E7" t="s">
        <v>6</v>
      </c>
      <c r="H7" s="36"/>
      <c r="I7" s="36"/>
      <c r="J7" s="37"/>
    </row>
    <row r="8" spans="1:10">
      <c r="A8" s="35"/>
      <c r="H8" s="36"/>
      <c r="I8" s="36"/>
      <c r="J8" s="37"/>
    </row>
    <row r="9" spans="1:10">
      <c r="A9" s="78" t="s">
        <v>216</v>
      </c>
      <c r="B9" s="69" t="s">
        <v>217</v>
      </c>
      <c r="H9" s="36"/>
      <c r="I9" s="36"/>
      <c r="J9" s="37"/>
    </row>
    <row r="10" spans="1:10">
      <c r="A10" s="78"/>
      <c r="B10" s="69"/>
      <c r="C10" s="69" t="s">
        <v>218</v>
      </c>
      <c r="H10" s="36">
        <v>425000</v>
      </c>
      <c r="I10" s="36"/>
      <c r="J10" s="37"/>
    </row>
    <row r="11" spans="1:10">
      <c r="A11" s="78"/>
      <c r="B11" s="69"/>
      <c r="D11" s="69" t="s">
        <v>219</v>
      </c>
      <c r="H11" s="36"/>
      <c r="I11" s="36">
        <f>H10</f>
        <v>425000</v>
      </c>
      <c r="J11" s="37"/>
    </row>
    <row r="12" spans="1:10">
      <c r="A12" s="78"/>
      <c r="B12" s="69"/>
      <c r="H12" s="36"/>
      <c r="I12" s="36"/>
      <c r="J12" s="37"/>
    </row>
    <row r="13" spans="1:10">
      <c r="A13" s="78"/>
      <c r="B13" s="69"/>
      <c r="H13" s="36"/>
      <c r="I13" s="36"/>
      <c r="J13" s="37"/>
    </row>
    <row r="14" spans="1:10">
      <c r="A14" s="78" t="s">
        <v>220</v>
      </c>
      <c r="B14" s="69" t="s">
        <v>221</v>
      </c>
      <c r="H14" s="36"/>
      <c r="I14" s="36"/>
      <c r="J14" s="37"/>
    </row>
    <row r="15" spans="1:10">
      <c r="A15" s="78"/>
      <c r="B15" s="69"/>
      <c r="C15" s="69" t="s">
        <v>222</v>
      </c>
      <c r="H15" s="36">
        <f>H5</f>
        <v>425000</v>
      </c>
      <c r="I15" s="36"/>
      <c r="J15" s="37"/>
    </row>
    <row r="16" spans="1:10">
      <c r="A16" s="78"/>
      <c r="B16" s="69"/>
      <c r="D16" s="69" t="s">
        <v>223</v>
      </c>
      <c r="H16" s="36"/>
      <c r="I16" s="36">
        <f>H5</f>
        <v>425000</v>
      </c>
      <c r="J16" s="37"/>
    </row>
    <row r="17" spans="1:11">
      <c r="A17" s="78"/>
      <c r="B17" s="69"/>
      <c r="H17" s="36"/>
      <c r="I17" s="36"/>
      <c r="J17" s="37"/>
    </row>
    <row r="18" spans="1:11">
      <c r="A18" s="78"/>
      <c r="B18" s="69"/>
      <c r="H18" s="36"/>
      <c r="I18" s="36"/>
      <c r="J18" s="37"/>
    </row>
    <row r="19" spans="1:11">
      <c r="A19" s="38"/>
      <c r="B19" s="39"/>
      <c r="C19" s="39"/>
      <c r="D19" s="39"/>
      <c r="E19" s="39"/>
      <c r="F19" s="39"/>
      <c r="G19" s="39"/>
      <c r="H19" s="23"/>
      <c r="I19" s="23"/>
      <c r="J19" s="40"/>
    </row>
    <row r="20" spans="1:11">
      <c r="H20" s="36"/>
      <c r="I20" s="36"/>
    </row>
    <row r="21" spans="1:11">
      <c r="H21" s="36"/>
      <c r="I21" s="36"/>
    </row>
    <row r="22" spans="1:11">
      <c r="H22" s="36"/>
      <c r="I22" s="36"/>
    </row>
    <row r="23" spans="1:11">
      <c r="A23" s="79" t="s">
        <v>224</v>
      </c>
      <c r="B23" s="80" t="s">
        <v>225</v>
      </c>
      <c r="C23" s="32"/>
      <c r="D23" s="32"/>
      <c r="E23" s="32"/>
      <c r="F23" s="32"/>
      <c r="G23" s="32"/>
      <c r="H23" s="33"/>
      <c r="I23" s="33"/>
      <c r="J23" s="34"/>
    </row>
    <row r="24" spans="1:11">
      <c r="A24" s="35"/>
      <c r="C24" s="69" t="s">
        <v>34</v>
      </c>
      <c r="H24" s="36">
        <v>172500</v>
      </c>
      <c r="I24" s="36"/>
      <c r="J24" s="37"/>
    </row>
    <row r="25" spans="1:11">
      <c r="A25" s="35"/>
      <c r="D25" s="69" t="s">
        <v>226</v>
      </c>
      <c r="H25" s="36"/>
      <c r="I25" s="36">
        <v>172500</v>
      </c>
      <c r="J25" s="37"/>
    </row>
    <row r="26" spans="1:11">
      <c r="A26" s="35"/>
      <c r="E26" s="15" t="s">
        <v>6</v>
      </c>
      <c r="H26" s="36"/>
      <c r="I26" s="36"/>
      <c r="J26" s="37"/>
    </row>
    <row r="27" spans="1:11">
      <c r="A27" s="35"/>
      <c r="H27" s="36"/>
      <c r="I27" s="36"/>
      <c r="J27" s="37"/>
      <c r="K27" s="37"/>
    </row>
    <row r="28" spans="1:11">
      <c r="A28" s="78" t="s">
        <v>227</v>
      </c>
      <c r="B28" s="69" t="s">
        <v>228</v>
      </c>
      <c r="E28" s="15"/>
      <c r="H28" s="36"/>
      <c r="I28" s="36"/>
      <c r="J28" s="37"/>
      <c r="K28" s="37"/>
    </row>
    <row r="29" spans="1:11">
      <c r="A29" s="35"/>
      <c r="C29" t="s">
        <v>8</v>
      </c>
      <c r="E29" s="15"/>
      <c r="H29" s="36">
        <f>550000-H24</f>
        <v>377500</v>
      </c>
      <c r="I29" s="36"/>
      <c r="J29" s="37"/>
      <c r="K29" s="37"/>
    </row>
    <row r="30" spans="1:11">
      <c r="A30" s="35"/>
      <c r="D30" s="69" t="s">
        <v>226</v>
      </c>
      <c r="E30" s="15"/>
      <c r="H30" s="36"/>
      <c r="I30" s="36">
        <f>H29</f>
        <v>377500</v>
      </c>
      <c r="J30" s="37"/>
      <c r="K30" s="37"/>
    </row>
    <row r="31" spans="1:11">
      <c r="A31" s="35"/>
      <c r="H31" s="36"/>
      <c r="I31" s="36"/>
      <c r="J31" s="37"/>
      <c r="K31" s="37"/>
    </row>
    <row r="32" spans="1:11">
      <c r="A32" s="78" t="s">
        <v>229</v>
      </c>
      <c r="B32" t="s">
        <v>230</v>
      </c>
      <c r="H32" s="36"/>
      <c r="I32" s="36"/>
      <c r="J32" s="37"/>
      <c r="K32" s="37"/>
    </row>
    <row r="33" spans="1:11">
      <c r="A33" s="35"/>
      <c r="C33" t="s">
        <v>8</v>
      </c>
      <c r="E33" s="15"/>
      <c r="H33" s="36">
        <v>18896</v>
      </c>
      <c r="I33" s="36"/>
      <c r="J33" s="37"/>
    </row>
    <row r="34" spans="1:11">
      <c r="A34" s="35"/>
      <c r="D34" s="69" t="s">
        <v>226</v>
      </c>
      <c r="E34" s="15"/>
      <c r="H34" s="36"/>
      <c r="I34" s="36">
        <f>H33</f>
        <v>18896</v>
      </c>
      <c r="J34" s="37"/>
    </row>
    <row r="35" spans="1:11">
      <c r="A35" s="35"/>
      <c r="H35" s="36"/>
      <c r="I35" s="36"/>
      <c r="J35" s="37"/>
    </row>
    <row r="36" spans="1:11">
      <c r="A36" s="78" t="s">
        <v>231</v>
      </c>
      <c r="B36" s="21" t="s">
        <v>12</v>
      </c>
      <c r="H36" s="36"/>
      <c r="I36" s="36"/>
      <c r="J36" s="37"/>
    </row>
    <row r="37" spans="1:11">
      <c r="A37" s="35"/>
      <c r="H37" s="36"/>
      <c r="I37" s="36"/>
      <c r="J37" s="37"/>
    </row>
    <row r="38" spans="1:11">
      <c r="A38" s="35"/>
      <c r="C38" s="69" t="s">
        <v>232</v>
      </c>
      <c r="H38" s="36">
        <f>I25+I30+I34</f>
        <v>568896</v>
      </c>
      <c r="I38" s="36"/>
      <c r="J38" s="37"/>
    </row>
    <row r="39" spans="1:11">
      <c r="A39" s="35"/>
      <c r="C39" t="s">
        <v>21</v>
      </c>
      <c r="H39" s="36">
        <f>H15</f>
        <v>425000</v>
      </c>
      <c r="I39" s="36"/>
      <c r="J39" s="37"/>
    </row>
    <row r="40" spans="1:11">
      <c r="A40" s="35"/>
      <c r="D40" s="69" t="s">
        <v>233</v>
      </c>
      <c r="H40" s="36"/>
      <c r="I40" s="36">
        <f>H15</f>
        <v>425000</v>
      </c>
      <c r="J40" s="42"/>
      <c r="K40" s="45"/>
    </row>
    <row r="41" spans="1:11">
      <c r="A41" s="38"/>
      <c r="B41" s="39"/>
      <c r="C41" s="39"/>
      <c r="D41" s="81" t="s">
        <v>234</v>
      </c>
      <c r="E41" s="39"/>
      <c r="F41" s="39"/>
      <c r="G41" s="39"/>
      <c r="H41" s="23"/>
      <c r="I41" s="43">
        <f>H38</f>
        <v>568896</v>
      </c>
      <c r="J41" s="44"/>
      <c r="K41" s="19"/>
    </row>
    <row r="43" spans="1:11">
      <c r="A43" s="46">
        <v>3</v>
      </c>
      <c r="B43" s="47" t="s">
        <v>235</v>
      </c>
      <c r="C43" s="32"/>
      <c r="D43" s="32"/>
      <c r="E43" s="32"/>
      <c r="F43" s="32"/>
      <c r="G43" s="32"/>
      <c r="H43" s="33"/>
      <c r="I43" s="33"/>
      <c r="J43" s="34"/>
    </row>
    <row r="44" spans="1:11">
      <c r="A44" s="35"/>
      <c r="H44" s="36"/>
      <c r="I44" s="36"/>
      <c r="J44" s="37"/>
    </row>
    <row r="45" spans="1:11">
      <c r="A45" s="35"/>
      <c r="C45" t="s">
        <v>21</v>
      </c>
      <c r="H45" s="36">
        <v>425000</v>
      </c>
      <c r="I45" s="36"/>
      <c r="J45" s="37"/>
    </row>
    <row r="46" spans="1:11">
      <c r="A46" s="35"/>
      <c r="C46" s="69" t="s">
        <v>236</v>
      </c>
      <c r="H46" s="36">
        <f>I25+I30+I34</f>
        <v>568896</v>
      </c>
      <c r="I46" s="36"/>
      <c r="J46" s="37"/>
    </row>
    <row r="47" spans="1:11">
      <c r="A47" s="35"/>
      <c r="D47" s="69" t="s">
        <v>237</v>
      </c>
      <c r="H47" s="36"/>
      <c r="I47" s="36">
        <v>425000</v>
      </c>
      <c r="J47" s="37"/>
    </row>
    <row r="48" spans="1:11">
      <c r="A48" s="35"/>
      <c r="D48" s="69" t="s">
        <v>234</v>
      </c>
      <c r="H48" s="36"/>
      <c r="I48" s="36">
        <f>H46</f>
        <v>568896</v>
      </c>
      <c r="J48" s="37"/>
    </row>
    <row r="49" spans="1:10">
      <c r="A49" s="35"/>
      <c r="H49" s="36"/>
      <c r="I49" s="36"/>
      <c r="J49" s="37"/>
    </row>
    <row r="50" spans="1:10">
      <c r="A50" s="35"/>
      <c r="H50" s="36"/>
      <c r="I50" s="36"/>
      <c r="J50" s="37"/>
    </row>
    <row r="51" spans="1:10">
      <c r="A51" s="35">
        <v>4</v>
      </c>
      <c r="B51" s="69" t="s">
        <v>238</v>
      </c>
      <c r="H51" s="36"/>
      <c r="I51" s="36"/>
      <c r="J51" s="37"/>
    </row>
    <row r="52" spans="1:10">
      <c r="A52" s="35"/>
      <c r="H52" s="45"/>
      <c r="I52" s="36"/>
      <c r="J52" s="37"/>
    </row>
    <row r="53" spans="1:10">
      <c r="A53" s="35"/>
      <c r="B53" s="22"/>
      <c r="C53" s="69" t="s">
        <v>35</v>
      </c>
      <c r="F53" s="2"/>
      <c r="H53" t="s">
        <v>48</v>
      </c>
      <c r="I53" s="45"/>
      <c r="J53" s="37"/>
    </row>
    <row r="54" spans="1:10">
      <c r="A54" s="35"/>
      <c r="D54" s="69" t="s">
        <v>239</v>
      </c>
      <c r="H54" s="36"/>
      <c r="I54" s="82" t="s">
        <v>48</v>
      </c>
      <c r="J54" s="37"/>
    </row>
    <row r="55" spans="1:10">
      <c r="A55" s="35"/>
      <c r="H55" s="36"/>
      <c r="I55" s="36"/>
      <c r="J55" s="37"/>
    </row>
    <row r="56" spans="1:10">
      <c r="A56" s="38"/>
      <c r="B56" s="39"/>
      <c r="C56" s="39"/>
      <c r="D56" s="39"/>
      <c r="E56" s="39"/>
      <c r="F56" s="48"/>
      <c r="G56" s="39"/>
      <c r="H56" s="23"/>
      <c r="I56" s="23"/>
      <c r="J56" s="40"/>
    </row>
    <row r="58" spans="1:10">
      <c r="F58" s="2"/>
    </row>
    <row r="61" spans="1:10" hidden="1">
      <c r="B61" t="s">
        <v>240</v>
      </c>
    </row>
    <row r="62" spans="1:10" hidden="1"/>
    <row r="63" spans="1:10" hidden="1">
      <c r="C63" t="s">
        <v>241</v>
      </c>
    </row>
    <row r="64" spans="1:10" hidden="1">
      <c r="D64" t="s">
        <v>242</v>
      </c>
      <c r="E64" t="s">
        <v>28</v>
      </c>
    </row>
    <row r="65" spans="3:6" hidden="1">
      <c r="D65" t="s">
        <v>243</v>
      </c>
      <c r="E65" t="s">
        <v>28</v>
      </c>
    </row>
    <row r="66" spans="3:6" hidden="1">
      <c r="D66" t="s">
        <v>108</v>
      </c>
      <c r="F66" t="s">
        <v>28</v>
      </c>
    </row>
    <row r="67" spans="3:6" hidden="1">
      <c r="D67" t="s">
        <v>244</v>
      </c>
      <c r="F67" t="s">
        <v>28</v>
      </c>
    </row>
    <row r="68" spans="3:6" hidden="1">
      <c r="C68" t="s">
        <v>245</v>
      </c>
    </row>
    <row r="69" spans="3:6" hidden="1">
      <c r="D69" t="s">
        <v>141</v>
      </c>
      <c r="E69" t="s">
        <v>48</v>
      </c>
    </row>
    <row r="70" spans="3:6" hidden="1">
      <c r="D70" t="s">
        <v>244</v>
      </c>
      <c r="F70" t="s">
        <v>48</v>
      </c>
    </row>
    <row r="71" spans="3:6" hidden="1"/>
    <row r="72" spans="3:6" hidden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A2D2-844C-4089-9D32-86F9656C5E12}">
  <sheetPr>
    <tabColor rgb="FF92D050"/>
  </sheetPr>
  <dimension ref="A1:J58"/>
  <sheetViews>
    <sheetView topLeftCell="A27" workbookViewId="0">
      <selection activeCell="C46" sqref="C46"/>
    </sheetView>
  </sheetViews>
  <sheetFormatPr defaultColWidth="9" defaultRowHeight="14.4"/>
  <cols>
    <col min="1" max="1" width="3.88671875" style="15" customWidth="1"/>
    <col min="2" max="2" width="4.21875" customWidth="1"/>
    <col min="3" max="3" width="6" customWidth="1"/>
    <col min="7" max="7" width="16.88671875" customWidth="1"/>
    <col min="8" max="9" width="11.6640625" style="17" customWidth="1"/>
    <col min="10" max="11" width="11.6640625" customWidth="1"/>
  </cols>
  <sheetData>
    <row r="1" spans="1:10">
      <c r="A1" s="41" t="s">
        <v>0</v>
      </c>
      <c r="B1" s="32"/>
      <c r="C1" s="32"/>
      <c r="D1" s="32"/>
      <c r="E1" s="32"/>
      <c r="F1" s="32"/>
      <c r="G1" s="32"/>
      <c r="H1" s="33"/>
      <c r="I1" s="33"/>
      <c r="J1" s="34"/>
    </row>
    <row r="2" spans="1:10">
      <c r="A2" s="49"/>
      <c r="H2" s="36"/>
      <c r="I2" s="36"/>
      <c r="J2" s="37"/>
    </row>
    <row r="3" spans="1:10">
      <c r="A3" s="35"/>
      <c r="C3" s="2" t="s">
        <v>246</v>
      </c>
      <c r="H3" s="36"/>
      <c r="I3" s="36"/>
      <c r="J3" s="37"/>
    </row>
    <row r="4" spans="1:10">
      <c r="A4" s="35"/>
      <c r="C4" s="2"/>
      <c r="H4" s="36"/>
      <c r="I4" s="36"/>
      <c r="J4" s="37"/>
    </row>
    <row r="5" spans="1:10">
      <c r="A5" s="78" t="s">
        <v>212</v>
      </c>
      <c r="B5" s="69" t="s">
        <v>213</v>
      </c>
      <c r="H5" s="36"/>
      <c r="I5" s="36"/>
      <c r="J5" s="37"/>
    </row>
    <row r="6" spans="1:10">
      <c r="A6" s="35"/>
      <c r="H6" s="36"/>
      <c r="I6" s="36"/>
      <c r="J6" s="37"/>
    </row>
    <row r="7" spans="1:10">
      <c r="A7" s="35"/>
      <c r="C7" s="69" t="s">
        <v>247</v>
      </c>
      <c r="H7" s="82" t="s">
        <v>28</v>
      </c>
      <c r="I7" s="36"/>
      <c r="J7" s="37"/>
    </row>
    <row r="8" spans="1:10">
      <c r="A8" s="35"/>
      <c r="D8" s="69" t="s">
        <v>248</v>
      </c>
      <c r="H8" s="36"/>
      <c r="I8" s="82" t="s">
        <v>28</v>
      </c>
      <c r="J8" s="37"/>
    </row>
    <row r="9" spans="1:10">
      <c r="A9" s="35"/>
      <c r="E9" t="s">
        <v>6</v>
      </c>
      <c r="H9" s="36"/>
      <c r="I9" s="36"/>
      <c r="J9" s="37"/>
    </row>
    <row r="10" spans="1:10">
      <c r="A10" s="35"/>
      <c r="H10" s="36"/>
      <c r="I10" s="36"/>
      <c r="J10" s="37"/>
    </row>
    <row r="11" spans="1:10">
      <c r="A11" s="78" t="s">
        <v>216</v>
      </c>
      <c r="B11" s="69" t="s">
        <v>249</v>
      </c>
      <c r="H11" s="36"/>
      <c r="I11" s="36"/>
      <c r="J11" s="37"/>
    </row>
    <row r="12" spans="1:10">
      <c r="A12" s="78"/>
      <c r="B12" s="69"/>
      <c r="C12" s="69" t="s">
        <v>250</v>
      </c>
      <c r="H12" s="82" t="s">
        <v>28</v>
      </c>
      <c r="I12" s="36"/>
      <c r="J12" s="37"/>
    </row>
    <row r="13" spans="1:10">
      <c r="A13" s="78"/>
      <c r="B13" s="69"/>
      <c r="D13" s="69" t="s">
        <v>251</v>
      </c>
      <c r="H13" s="36"/>
      <c r="I13" s="82" t="s">
        <v>28</v>
      </c>
      <c r="J13" s="37"/>
    </row>
    <row r="14" spans="1:10">
      <c r="A14" s="78"/>
      <c r="B14" s="69"/>
      <c r="D14" s="69"/>
      <c r="H14" s="36"/>
      <c r="I14" s="36"/>
      <c r="J14" s="37"/>
    </row>
    <row r="15" spans="1:10">
      <c r="A15" s="57" t="s">
        <v>220</v>
      </c>
      <c r="B15" s="31" t="s">
        <v>252</v>
      </c>
      <c r="C15" s="58"/>
      <c r="D15" s="31"/>
      <c r="E15" s="58"/>
      <c r="F15" s="58"/>
      <c r="G15" s="58"/>
      <c r="H15" s="59"/>
      <c r="I15" s="59"/>
      <c r="J15" s="37"/>
    </row>
    <row r="16" spans="1:10">
      <c r="A16" s="57"/>
      <c r="B16" s="31"/>
      <c r="C16" s="31" t="s">
        <v>253</v>
      </c>
      <c r="D16" s="31"/>
      <c r="E16" s="58"/>
      <c r="F16" s="58"/>
      <c r="G16" s="58"/>
      <c r="H16" s="60" t="s">
        <v>48</v>
      </c>
      <c r="I16" s="59"/>
      <c r="J16" s="37"/>
    </row>
    <row r="17" spans="1:10">
      <c r="A17" s="57"/>
      <c r="B17" s="31"/>
      <c r="C17" s="58"/>
      <c r="D17" s="31" t="s">
        <v>254</v>
      </c>
      <c r="E17" s="58"/>
      <c r="F17" s="58"/>
      <c r="G17" s="58"/>
      <c r="H17" s="59"/>
      <c r="I17" s="60" t="s">
        <v>48</v>
      </c>
      <c r="J17" s="37"/>
    </row>
    <row r="18" spans="1:10">
      <c r="A18" s="78"/>
      <c r="B18" s="69"/>
      <c r="D18" s="69"/>
      <c r="H18" s="36"/>
      <c r="I18" s="36"/>
      <c r="J18" s="37"/>
    </row>
    <row r="19" spans="1:10">
      <c r="A19" s="78" t="s">
        <v>255</v>
      </c>
      <c r="B19" s="69" t="s">
        <v>256</v>
      </c>
      <c r="D19" s="69"/>
      <c r="H19" s="36"/>
      <c r="I19" s="36"/>
      <c r="J19" s="37"/>
    </row>
    <row r="20" spans="1:10">
      <c r="A20" s="78"/>
      <c r="B20" s="69"/>
      <c r="C20" s="69" t="s">
        <v>257</v>
      </c>
      <c r="D20" s="69"/>
      <c r="H20" s="82" t="s">
        <v>48</v>
      </c>
      <c r="I20" s="36"/>
      <c r="J20" s="37"/>
    </row>
    <row r="21" spans="1:10">
      <c r="A21" s="78"/>
      <c r="B21" s="69"/>
      <c r="D21" s="69" t="s">
        <v>258</v>
      </c>
      <c r="H21" s="36"/>
      <c r="I21" s="82" t="s">
        <v>48</v>
      </c>
      <c r="J21" s="37"/>
    </row>
    <row r="22" spans="1:10">
      <c r="A22" s="78"/>
      <c r="B22" s="69"/>
      <c r="D22" s="69"/>
      <c r="H22" s="36"/>
      <c r="I22" s="82"/>
      <c r="J22" s="37"/>
    </row>
    <row r="23" spans="1:10">
      <c r="A23" s="78" t="s">
        <v>255</v>
      </c>
      <c r="B23" s="69" t="s">
        <v>259</v>
      </c>
      <c r="D23" s="69"/>
      <c r="H23" s="82" t="s">
        <v>28</v>
      </c>
      <c r="I23" s="82"/>
      <c r="J23" s="37"/>
    </row>
    <row r="24" spans="1:10">
      <c r="A24" s="78"/>
      <c r="B24" s="69"/>
      <c r="C24" s="69" t="s">
        <v>260</v>
      </c>
      <c r="D24" s="69"/>
      <c r="H24" s="36"/>
      <c r="I24" s="82" t="s">
        <v>28</v>
      </c>
      <c r="J24" s="37"/>
    </row>
    <row r="25" spans="1:10">
      <c r="A25" s="78"/>
      <c r="B25" s="69"/>
      <c r="D25" s="69" t="s">
        <v>258</v>
      </c>
      <c r="H25" s="36"/>
      <c r="I25" s="82"/>
      <c r="J25" s="37"/>
    </row>
    <row r="26" spans="1:10">
      <c r="A26" s="78"/>
      <c r="B26" s="69"/>
      <c r="D26" s="69"/>
      <c r="H26" s="36"/>
      <c r="I26" s="82"/>
      <c r="J26" s="37"/>
    </row>
    <row r="27" spans="1:10">
      <c r="A27" s="83"/>
      <c r="B27" s="81"/>
      <c r="C27" s="39"/>
      <c r="D27" s="39"/>
      <c r="E27" s="39"/>
      <c r="F27" s="39"/>
      <c r="G27" s="39"/>
      <c r="H27" s="23"/>
      <c r="I27" s="23"/>
      <c r="J27" s="40"/>
    </row>
    <row r="28" spans="1:10">
      <c r="A28" s="41" t="s">
        <v>0</v>
      </c>
      <c r="B28" s="69"/>
      <c r="H28" s="36"/>
      <c r="I28" s="36"/>
      <c r="J28" s="37"/>
    </row>
    <row r="29" spans="1:10">
      <c r="A29" s="49"/>
      <c r="B29" s="69"/>
      <c r="H29" s="36"/>
      <c r="I29" s="36"/>
      <c r="J29" s="37"/>
    </row>
    <row r="30" spans="1:10">
      <c r="A30" s="78"/>
      <c r="B30" s="69"/>
      <c r="C30" s="50" t="s">
        <v>261</v>
      </c>
      <c r="H30" s="36"/>
      <c r="I30" s="36"/>
      <c r="J30" s="37"/>
    </row>
    <row r="31" spans="1:10">
      <c r="A31" s="78"/>
      <c r="B31" s="69"/>
      <c r="C31" s="2"/>
      <c r="H31" s="36"/>
      <c r="I31" s="36"/>
      <c r="J31" s="37"/>
    </row>
    <row r="32" spans="1:10">
      <c r="A32" s="78" t="s">
        <v>224</v>
      </c>
      <c r="B32" s="69" t="s">
        <v>221</v>
      </c>
      <c r="H32" s="36"/>
      <c r="I32" s="61" t="s">
        <v>262</v>
      </c>
      <c r="J32" s="37"/>
    </row>
    <row r="33" spans="1:10">
      <c r="A33" s="78"/>
      <c r="B33" s="69"/>
      <c r="C33" s="69" t="s">
        <v>263</v>
      </c>
      <c r="H33" s="36" t="str">
        <f>H7</f>
        <v>XX</v>
      </c>
      <c r="I33" s="36"/>
      <c r="J33" s="37"/>
    </row>
    <row r="34" spans="1:10">
      <c r="A34" s="78"/>
      <c r="B34" s="69"/>
      <c r="D34" s="69" t="s">
        <v>264</v>
      </c>
      <c r="H34" s="36"/>
      <c r="I34" s="36" t="str">
        <f>H7</f>
        <v>XX</v>
      </c>
      <c r="J34" s="37"/>
    </row>
    <row r="35" spans="1:10">
      <c r="A35" s="78"/>
      <c r="B35" s="69"/>
      <c r="H35" s="36"/>
      <c r="I35" s="36"/>
      <c r="J35" s="37"/>
    </row>
    <row r="36" spans="1:10">
      <c r="A36" s="78"/>
      <c r="B36" s="69"/>
      <c r="H36" s="36"/>
      <c r="I36" s="36"/>
      <c r="J36" s="37"/>
    </row>
    <row r="37" spans="1:10">
      <c r="A37" s="78" t="s">
        <v>227</v>
      </c>
      <c r="B37" s="69" t="s">
        <v>265</v>
      </c>
      <c r="H37" s="36"/>
      <c r="I37" s="36"/>
      <c r="J37" s="37"/>
    </row>
    <row r="38" spans="1:10">
      <c r="A38" s="78"/>
      <c r="B38" s="69"/>
      <c r="C38" s="69" t="s">
        <v>266</v>
      </c>
      <c r="H38" s="36" t="str">
        <f>H12</f>
        <v>XX</v>
      </c>
      <c r="I38" s="36"/>
      <c r="J38" s="37"/>
    </row>
    <row r="39" spans="1:10">
      <c r="A39" s="78"/>
      <c r="B39" s="69"/>
      <c r="D39" s="69" t="s">
        <v>267</v>
      </c>
      <c r="H39" s="36"/>
      <c r="I39" s="36" t="str">
        <f>H12</f>
        <v>XX</v>
      </c>
      <c r="J39" s="37"/>
    </row>
    <row r="40" spans="1:10">
      <c r="A40" s="38"/>
      <c r="B40" s="39"/>
      <c r="C40" s="39"/>
      <c r="D40" s="39"/>
      <c r="E40" s="39"/>
      <c r="F40" s="39"/>
      <c r="G40" s="39"/>
      <c r="H40" s="23"/>
      <c r="I40" s="23"/>
      <c r="J40" s="40"/>
    </row>
    <row r="41" spans="1:10">
      <c r="A41" s="41" t="s">
        <v>0</v>
      </c>
      <c r="B41" s="69"/>
      <c r="H41" s="36"/>
      <c r="I41" s="36"/>
      <c r="J41" s="37"/>
    </row>
    <row r="42" spans="1:10">
      <c r="A42" s="49"/>
      <c r="B42" s="69"/>
      <c r="H42" s="36"/>
      <c r="I42" s="36"/>
      <c r="J42" s="37"/>
    </row>
    <row r="43" spans="1:10">
      <c r="A43" s="78"/>
      <c r="B43" s="69"/>
      <c r="C43" s="50" t="s">
        <v>268</v>
      </c>
      <c r="H43" s="36"/>
      <c r="I43" s="36"/>
      <c r="J43" s="37"/>
    </row>
    <row r="44" spans="1:10">
      <c r="A44" s="78"/>
      <c r="B44" s="69"/>
      <c r="C44" s="2"/>
      <c r="H44" s="36"/>
      <c r="I44" s="36"/>
      <c r="J44" s="37"/>
    </row>
    <row r="45" spans="1:10">
      <c r="A45" s="78" t="s">
        <v>224</v>
      </c>
      <c r="B45" s="69" t="s">
        <v>269</v>
      </c>
      <c r="H45" s="36"/>
      <c r="I45" s="36"/>
      <c r="J45" s="37"/>
    </row>
    <row r="46" spans="1:10">
      <c r="A46" s="78"/>
      <c r="B46" s="69"/>
      <c r="C46" s="69" t="s">
        <v>270</v>
      </c>
      <c r="H46" s="36" t="str">
        <f>H20</f>
        <v>xx</v>
      </c>
      <c r="I46" s="36"/>
      <c r="J46" s="37"/>
    </row>
    <row r="47" spans="1:10">
      <c r="A47" s="78"/>
      <c r="B47" s="69"/>
      <c r="D47" s="69" t="s">
        <v>271</v>
      </c>
      <c r="H47" s="36"/>
      <c r="I47" s="36" t="str">
        <f>H20</f>
        <v>xx</v>
      </c>
      <c r="J47" s="37"/>
    </row>
    <row r="48" spans="1:10">
      <c r="A48" s="78"/>
      <c r="B48" s="69"/>
      <c r="H48" s="36"/>
      <c r="I48" s="36"/>
      <c r="J48" s="37"/>
    </row>
    <row r="49" spans="1:10">
      <c r="A49" s="78"/>
      <c r="B49" s="69"/>
      <c r="H49" s="36"/>
      <c r="I49" s="36"/>
      <c r="J49" s="37"/>
    </row>
    <row r="50" spans="1:10">
      <c r="A50" s="78" t="s">
        <v>227</v>
      </c>
      <c r="B50" s="69" t="s">
        <v>272</v>
      </c>
      <c r="H50" s="36"/>
      <c r="I50" s="36"/>
      <c r="J50" s="37"/>
    </row>
    <row r="51" spans="1:10">
      <c r="A51" s="78"/>
      <c r="B51" s="69"/>
      <c r="C51" s="69" t="s">
        <v>273</v>
      </c>
      <c r="H51" s="82" t="s">
        <v>48</v>
      </c>
      <c r="I51" s="36"/>
      <c r="J51" s="37"/>
    </row>
    <row r="52" spans="1:10">
      <c r="A52" s="78"/>
      <c r="B52" s="69"/>
      <c r="D52" s="69" t="s">
        <v>271</v>
      </c>
      <c r="H52" s="36"/>
      <c r="I52" s="82" t="s">
        <v>48</v>
      </c>
      <c r="J52" s="37"/>
    </row>
    <row r="53" spans="1:10">
      <c r="A53" s="78"/>
      <c r="B53" s="69"/>
      <c r="D53" s="69"/>
      <c r="H53" s="36"/>
      <c r="I53" s="82"/>
      <c r="J53" s="37"/>
    </row>
    <row r="54" spans="1:10">
      <c r="A54" s="78" t="s">
        <v>274</v>
      </c>
      <c r="B54" s="69" t="s">
        <v>275</v>
      </c>
      <c r="D54" s="69"/>
      <c r="H54" s="36"/>
      <c r="I54" s="82"/>
      <c r="J54" s="37"/>
    </row>
    <row r="55" spans="1:10">
      <c r="A55" s="78"/>
      <c r="B55" s="69"/>
      <c r="D55" s="69"/>
      <c r="H55" s="36"/>
      <c r="I55" s="82"/>
      <c r="J55" s="37"/>
    </row>
    <row r="56" spans="1:10">
      <c r="A56" s="78"/>
      <c r="B56" s="69"/>
      <c r="C56" s="69" t="s">
        <v>276</v>
      </c>
      <c r="D56" s="69"/>
      <c r="H56" s="82" t="s">
        <v>48</v>
      </c>
      <c r="I56" s="36"/>
      <c r="J56" s="37"/>
    </row>
    <row r="57" spans="1:10">
      <c r="A57" s="78"/>
      <c r="B57" s="69"/>
      <c r="D57" s="69" t="s">
        <v>271</v>
      </c>
      <c r="H57" s="36"/>
      <c r="I57" s="82" t="s">
        <v>48</v>
      </c>
      <c r="J57" s="37"/>
    </row>
    <row r="58" spans="1:10">
      <c r="A58" s="38"/>
      <c r="B58" s="39"/>
      <c r="C58" s="39"/>
      <c r="D58" s="39"/>
      <c r="E58" s="39"/>
      <c r="F58" s="39"/>
      <c r="G58" s="39"/>
      <c r="H58" s="23"/>
      <c r="I58" s="23"/>
      <c r="J58" s="40"/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3:F23"/>
  <sheetViews>
    <sheetView workbookViewId="0">
      <selection activeCell="D16" sqref="D16"/>
    </sheetView>
  </sheetViews>
  <sheetFormatPr defaultColWidth="9" defaultRowHeight="14.4"/>
  <cols>
    <col min="5" max="6" width="9.6640625" customWidth="1"/>
  </cols>
  <sheetData>
    <row r="3" spans="1:6">
      <c r="A3" t="s">
        <v>113</v>
      </c>
    </row>
    <row r="4" spans="1:6">
      <c r="B4" s="69"/>
    </row>
    <row r="5" spans="1:6">
      <c r="B5" s="69" t="s">
        <v>277</v>
      </c>
      <c r="E5">
        <f>7500/2</f>
        <v>3750</v>
      </c>
    </row>
    <row r="6" spans="1:6">
      <c r="B6" s="69" t="s">
        <v>114</v>
      </c>
      <c r="E6">
        <f>7500/2</f>
        <v>3750</v>
      </c>
      <c r="F6" s="5"/>
    </row>
    <row r="7" spans="1:6">
      <c r="C7" s="69" t="s">
        <v>115</v>
      </c>
      <c r="E7" s="5"/>
      <c r="F7" s="5">
        <v>450</v>
      </c>
    </row>
    <row r="8" spans="1:6">
      <c r="C8" s="69" t="s">
        <v>116</v>
      </c>
      <c r="E8" s="5"/>
      <c r="F8" s="5">
        <v>200</v>
      </c>
    </row>
    <row r="9" spans="1:6">
      <c r="C9" s="69" t="s">
        <v>117</v>
      </c>
      <c r="E9" s="5"/>
      <c r="F9" s="5">
        <v>250</v>
      </c>
    </row>
    <row r="10" spans="1:6">
      <c r="C10" t="s">
        <v>118</v>
      </c>
      <c r="E10" s="5"/>
      <c r="F10" s="5">
        <v>0</v>
      </c>
    </row>
    <row r="11" spans="1:6">
      <c r="C11" s="69" t="s">
        <v>119</v>
      </c>
      <c r="E11" s="5"/>
      <c r="F11" s="5">
        <f>SUM(E5:E6)+SUM(F7:F10)</f>
        <v>8400</v>
      </c>
    </row>
    <row r="12" spans="1:6">
      <c r="C12" t="s">
        <v>6</v>
      </c>
    </row>
    <row r="13" spans="1:6" ht="17.399999999999999" customHeight="1"/>
    <row r="14" spans="1:6" ht="13.95" customHeight="1">
      <c r="C14" s="69"/>
      <c r="E14" s="5"/>
      <c r="F14" s="5"/>
    </row>
    <row r="15" spans="1:6">
      <c r="A15" s="2" t="s">
        <v>129</v>
      </c>
      <c r="E15" s="5"/>
      <c r="F15" s="5"/>
    </row>
    <row r="16" spans="1:6">
      <c r="A16" s="69"/>
      <c r="B16" s="69" t="s">
        <v>119</v>
      </c>
      <c r="E16" s="14">
        <f>F11</f>
        <v>8400</v>
      </c>
      <c r="F16" s="5"/>
    </row>
    <row r="17" spans="1:6">
      <c r="C17" s="69" t="s">
        <v>278</v>
      </c>
      <c r="E17" s="5"/>
      <c r="F17" s="5">
        <f>SUM(E16:E16)</f>
        <v>8400</v>
      </c>
    </row>
    <row r="18" spans="1:6">
      <c r="E18" s="5"/>
      <c r="F18" s="5"/>
    </row>
    <row r="20" spans="1:6">
      <c r="A20" s="2" t="s">
        <v>131</v>
      </c>
    </row>
    <row r="21" spans="1:6">
      <c r="B21" s="69" t="s">
        <v>130</v>
      </c>
      <c r="D21" s="19">
        <f>F17</f>
        <v>8400</v>
      </c>
    </row>
    <row r="22" spans="1:6">
      <c r="C22" t="s">
        <v>132</v>
      </c>
      <c r="F22" s="14">
        <f>D21</f>
        <v>8400</v>
      </c>
    </row>
    <row r="23" spans="1:6">
      <c r="F2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MACHINERY</vt:lpstr>
      <vt:lpstr>ACCRUAL ENTRIES</vt:lpstr>
      <vt:lpstr>BULILIT STATION(CONTRACTOR)</vt:lpstr>
      <vt:lpstr>BULILIT STATION AS SUPPLIER </vt:lpstr>
      <vt:lpstr>CONSIGNMENT SALES</vt:lpstr>
      <vt:lpstr>DIST. AND HAUL OF PETROLEUM PRO</vt:lpstr>
      <vt:lpstr>GOVT CONTRIBUTION</vt:lpstr>
      <vt:lpstr>INSTALLMENT SALES</vt:lpstr>
      <vt:lpstr>JOB ORDERS</vt:lpstr>
      <vt:lpstr>LOAN_FINANCING- ORIX</vt:lpstr>
      <vt:lpstr>LOANS PAYABLE-OFFICERS</vt:lpstr>
      <vt:lpstr>MACHINERIES</vt:lpstr>
      <vt:lpstr>INVENTORIES </vt:lpstr>
      <vt:lpstr>Salaries and Wages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Alywin Aidan Baje</cp:lastModifiedBy>
  <cp:revision/>
  <dcterms:created xsi:type="dcterms:W3CDTF">2024-07-02T05:21:00Z</dcterms:created>
  <dcterms:modified xsi:type="dcterms:W3CDTF">2026-07-18T07:45:19Z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A20270CD9B184C6EBA31993D1130BCD0_12</vt:lpwstr>
  </property>
  <property fmtid="{D5CDD505-2E9C-101B-9397-08002B2CF9AE}" pid="3" name="KSOProductBuildVer">
    <vt:lpwstr>1033-12.2.0.18607</vt:lpwstr>
  </property>
</Properties>
</file>