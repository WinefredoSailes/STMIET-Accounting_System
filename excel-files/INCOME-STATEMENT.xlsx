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lywi\Downloads\"/>
    </mc:Choice>
  </mc:AlternateContent>
  <xr:revisionPtr revIDLastSave="0" documentId="13_ncr:1_{DFFEF56A-8BDB-447B-8106-9FA9BE919F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CH 2026" sheetId="3" r:id="rId1"/>
  </sheets>
  <externalReferences>
    <externalReference r:id="rId2"/>
    <externalReference r:id="rId3"/>
  </externalReferences>
  <definedNames>
    <definedName name="_xlnm.Print_Area" localSheetId="0">'MARCH 2026'!$A$1:$H$82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3" l="1"/>
  <c r="F81" i="3"/>
  <c r="E81" i="3"/>
  <c r="C81" i="3"/>
  <c r="B81" i="3"/>
  <c r="F80" i="3"/>
  <c r="E80" i="3"/>
  <c r="C80" i="3"/>
  <c r="B80" i="3"/>
  <c r="G53" i="3"/>
  <c r="G52" i="3"/>
  <c r="G51" i="3"/>
  <c r="G44" i="3"/>
  <c r="F44" i="3"/>
  <c r="E44" i="3"/>
  <c r="D44" i="3"/>
  <c r="C44" i="3"/>
  <c r="B44" i="3"/>
  <c r="G33" i="3"/>
  <c r="C17" i="3"/>
  <c r="B17" i="3"/>
  <c r="D80" i="3"/>
  <c r="C8" i="3"/>
  <c r="C36" i="3" s="1"/>
  <c r="B8" i="3"/>
  <c r="C31" i="3"/>
  <c r="B36" i="3" l="1"/>
  <c r="G80" i="3"/>
  <c r="B37" i="3"/>
  <c r="B29" i="3"/>
  <c r="B35" i="3"/>
  <c r="F43" i="3"/>
  <c r="F45" i="3" s="1"/>
  <c r="F36" i="3"/>
  <c r="B31" i="3"/>
  <c r="E36" i="3"/>
  <c r="F35" i="3"/>
  <c r="C35" i="3"/>
  <c r="C37" i="3"/>
  <c r="F37" i="3" l="1"/>
  <c r="E35" i="3"/>
  <c r="D81" i="3"/>
  <c r="D36" i="3"/>
  <c r="B15" i="3"/>
  <c r="C15" i="3"/>
  <c r="C16" i="3" s="1"/>
  <c r="C28" i="3" s="1"/>
  <c r="C30" i="3" s="1"/>
  <c r="C32" i="3" s="1"/>
  <c r="C43" i="3" s="1"/>
  <c r="C45" i="3" s="1"/>
  <c r="F47" i="3"/>
  <c r="F46" i="3"/>
  <c r="F48" i="3" s="1"/>
  <c r="E37" i="3" l="1"/>
  <c r="D35" i="3"/>
  <c r="C46" i="3"/>
  <c r="C47" i="3"/>
  <c r="B16" i="3"/>
  <c r="C48" i="3" l="1"/>
  <c r="E43" i="3"/>
  <c r="E45" i="3" s="1"/>
  <c r="G81" i="3"/>
  <c r="G36" i="3"/>
  <c r="B28" i="3"/>
  <c r="D43" i="3"/>
  <c r="D45" i="3" s="1"/>
  <c r="D37" i="3"/>
  <c r="E46" i="3" l="1"/>
  <c r="E47" i="3"/>
  <c r="G35" i="3"/>
  <c r="B30" i="3"/>
  <c r="D46" i="3"/>
  <c r="D47" i="3"/>
  <c r="E48" i="3" l="1"/>
  <c r="D48" i="3"/>
  <c r="B32" i="3"/>
  <c r="B43" i="3" s="1"/>
  <c r="B45" i="3" s="1"/>
  <c r="B47" i="3" l="1"/>
  <c r="B46" i="3"/>
  <c r="B48" i="3" l="1"/>
  <c r="G43" i="3"/>
  <c r="G45" i="3" s="1"/>
  <c r="G37" i="3"/>
  <c r="G46" i="3" l="1"/>
  <c r="G56" i="3" s="1"/>
  <c r="G47" i="3"/>
  <c r="G57" i="3" s="1"/>
  <c r="G48" i="3" l="1"/>
  <c r="G58" i="3" s="1"/>
</calcChain>
</file>

<file path=xl/sharedStrings.xml><?xml version="1.0" encoding="utf-8"?>
<sst xmlns="http://schemas.openxmlformats.org/spreadsheetml/2006/main" count="59" uniqueCount="51">
  <si>
    <t>IPPC</t>
  </si>
  <si>
    <t>STPC</t>
  </si>
  <si>
    <t>STMIET</t>
  </si>
  <si>
    <t>GRAND TOTAL</t>
  </si>
  <si>
    <r>
      <rPr>
        <b/>
        <i/>
        <sz val="16"/>
        <color theme="0"/>
        <rFont val="Calibri"/>
        <family val="2"/>
        <scheme val="minor"/>
      </rPr>
      <t xml:space="preserve">Segment A
</t>
    </r>
    <r>
      <rPr>
        <b/>
        <i/>
        <sz val="10"/>
        <color theme="0"/>
        <rFont val="Calibri"/>
        <family val="2"/>
        <scheme val="minor"/>
      </rPr>
      <t>(DHPP)</t>
    </r>
  </si>
  <si>
    <r>
      <rPr>
        <b/>
        <i/>
        <sz val="16"/>
        <color theme="0"/>
        <rFont val="Calibri"/>
        <family val="2"/>
        <scheme val="minor"/>
      </rPr>
      <t xml:space="preserve">SEVEN-TRENT MACHINERIES INDUSTRIAL EQUIPMENT TRADING
</t>
    </r>
    <r>
      <rPr>
        <b/>
        <i/>
        <sz val="18"/>
        <color theme="0"/>
        <rFont val="Calibri"/>
        <family val="2"/>
        <scheme val="minor"/>
      </rPr>
      <t>Statement of Profit / Loss</t>
    </r>
    <r>
      <rPr>
        <b/>
        <i/>
        <sz val="16"/>
        <color theme="0"/>
        <rFont val="Calibri"/>
        <family val="2"/>
        <scheme val="minor"/>
      </rPr>
      <t xml:space="preserve">
MARCH</t>
    </r>
  </si>
  <si>
    <t>MONTH OF  MARCH 2026</t>
  </si>
  <si>
    <t>ACCOUNTS</t>
  </si>
  <si>
    <r>
      <rPr>
        <b/>
        <i/>
        <sz val="16"/>
        <color theme="0"/>
        <rFont val="Calibri"/>
        <family val="2"/>
        <scheme val="minor"/>
      </rPr>
      <t xml:space="preserve">Segment B 
</t>
    </r>
    <r>
      <rPr>
        <b/>
        <i/>
        <sz val="11"/>
        <color theme="0"/>
        <rFont val="Calibri"/>
        <family val="2"/>
        <scheme val="minor"/>
      </rPr>
      <t>(DMIE)</t>
    </r>
  </si>
  <si>
    <r>
      <rPr>
        <b/>
        <i/>
        <sz val="16"/>
        <color theme="0"/>
        <rFont val="Calibri"/>
        <family val="2"/>
        <scheme val="minor"/>
      </rPr>
      <t xml:space="preserve">Segment C 
</t>
    </r>
    <r>
      <rPr>
        <b/>
        <i/>
        <sz val="11"/>
        <color theme="0"/>
        <rFont val="Calibri"/>
        <family val="2"/>
        <scheme val="minor"/>
      </rPr>
      <t>(OPS)</t>
    </r>
  </si>
  <si>
    <t>Sales</t>
  </si>
  <si>
    <t>Sales -Fuel Hauling</t>
  </si>
  <si>
    <t>Sales Discount - Hauling</t>
  </si>
  <si>
    <t>Sales - DMIE</t>
  </si>
  <si>
    <t>Sales Discount - DMIE</t>
  </si>
  <si>
    <t>Sales - OPS</t>
  </si>
  <si>
    <t>Sales Discount - OPS</t>
  </si>
  <si>
    <t>Cost of Sales(-)</t>
  </si>
  <si>
    <t>Gross Profit(+/-)</t>
  </si>
  <si>
    <t>Other Income(+)</t>
  </si>
  <si>
    <t>Gain on Freebies</t>
  </si>
  <si>
    <t>Job Orders</t>
  </si>
  <si>
    <t>Service Income</t>
  </si>
  <si>
    <t>Reversal of Gain on Freebies (-)</t>
  </si>
  <si>
    <t>Miscellaneous Income - OPS</t>
  </si>
  <si>
    <t>Miscellaneous Income - DMIE</t>
  </si>
  <si>
    <t>Miscellaneous Income - DHPP</t>
  </si>
  <si>
    <t>Income from Disposal - DHPP</t>
  </si>
  <si>
    <t>Income from Disposal - DMIE</t>
  </si>
  <si>
    <t>Income from Disposal - OPS</t>
  </si>
  <si>
    <t>Total Operating Income / Loss (+/-)</t>
  </si>
  <si>
    <t>Total Operating Expenses (-)</t>
  </si>
  <si>
    <t>TOTAL Operating Profit / Loss (+/-)</t>
  </si>
  <si>
    <t>Total Non - Operating Expenses(-)</t>
  </si>
  <si>
    <t>NET PROFIT / LOSS (+/-)</t>
  </si>
  <si>
    <t>Financial Metrics:</t>
  </si>
  <si>
    <t>Gross Profit Margin</t>
  </si>
  <si>
    <t>Expense Ratio</t>
  </si>
  <si>
    <t>Net Profit Margin</t>
  </si>
  <si>
    <t>Computation of Appropriations:</t>
  </si>
  <si>
    <t>NET INCOME (BASIS) CURRENT CYCLE</t>
  </si>
  <si>
    <t>CUMMULATIVE INCOME/LOSS FROM PREVIOUS CYCLE</t>
  </si>
  <si>
    <t>CHANGE THIS (prev cummu total income)</t>
  </si>
  <si>
    <t>NET INCOME (BASIS) AS OF</t>
  </si>
  <si>
    <t>10% Repairs &amp; Maintenance</t>
  </si>
  <si>
    <t>10% Tithing</t>
  </si>
  <si>
    <t>Remaining Net Income</t>
  </si>
  <si>
    <t>PREV. CUMMULATIVE  APPROPRIATED</t>
  </si>
  <si>
    <t>AMOUNT FOR APPROPRIATIONS</t>
  </si>
  <si>
    <t>Revenue Per Liter</t>
  </si>
  <si>
    <t>Unit Cost per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</si>
</sst>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-[$₱-3409]* #,##0.00_-;\-[$₱-3409]* #,##0.00_-;_-[$₱-3409]* &quot;-&quot;??_-;_-@_-"/>
  </numFmts>
  <fonts count="41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i/>
      <sz val="9"/>
      <name val="Calibri"/>
      <family val="2"/>
      <scheme val="minor"/>
    </font>
    <font>
      <b/>
      <i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4"/>
      <color theme="0"/>
      <name val="Times New Roman"/>
      <family val="1"/>
    </font>
    <font>
      <b/>
      <sz val="22"/>
      <color theme="0"/>
      <name val="Times New Roman"/>
      <family val="1"/>
    </font>
    <font>
      <sz val="6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i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b/>
      <i/>
      <sz val="11"/>
      <color theme="0"/>
      <name val="Calibri"/>
      <family val="2"/>
      <scheme val="minor"/>
    </font>
    <font>
      <sz val="9"/>
      <name val="Tahoma"/>
      <family val="2"/>
    </font>
    <font>
      <b/>
      <i/>
      <sz val="18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5483260597552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55442976165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5544297616504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8">
    <xf numFmtId="0" fontId="0" fillId="0" borderId="0"/>
    <xf numFmtId="43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37" fillId="0" borderId="0" applyAlignment="0"/>
  </cellStyleXfs>
  <cellXfs count="109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vertical="center" wrapText="1"/>
    </xf>
    <xf numFmtId="0" fontId="9" fillId="5" borderId="21" xfId="0" applyFont="1" applyFill="1" applyBorder="1" applyAlignment="1">
      <alignment horizontal="center" vertical="center"/>
    </xf>
    <xf numFmtId="2" fontId="9" fillId="5" borderId="21" xfId="0" applyNumberFormat="1" applyFont="1" applyFill="1" applyBorder="1" applyAlignment="1">
      <alignment horizontal="center" vertical="center"/>
    </xf>
    <xf numFmtId="0" fontId="10" fillId="6" borderId="23" xfId="0" applyFont="1" applyFill="1" applyBorder="1" applyAlignment="1">
      <alignment horizontal="left" vertical="center"/>
    </xf>
    <xf numFmtId="44" fontId="11" fillId="6" borderId="23" xfId="0" applyNumberFormat="1" applyFont="1" applyFill="1" applyBorder="1" applyAlignment="1">
      <alignment horizontal="center" vertical="center"/>
    </xf>
    <xf numFmtId="44" fontId="12" fillId="6" borderId="24" xfId="0" applyNumberFormat="1" applyFont="1" applyFill="1" applyBorder="1" applyAlignment="1">
      <alignment vertical="center"/>
    </xf>
    <xf numFmtId="43" fontId="0" fillId="0" borderId="0" xfId="0" applyNumberFormat="1"/>
    <xf numFmtId="0" fontId="13" fillId="6" borderId="25" xfId="0" applyFont="1" applyFill="1" applyBorder="1" applyAlignment="1">
      <alignment horizontal="left" vertical="center"/>
    </xf>
    <xf numFmtId="43" fontId="14" fillId="6" borderId="14" xfId="1" applyFont="1" applyFill="1" applyBorder="1" applyAlignment="1">
      <alignment vertical="center"/>
    </xf>
    <xf numFmtId="43" fontId="15" fillId="6" borderId="24" xfId="1" applyFont="1" applyFill="1" applyBorder="1" applyAlignment="1">
      <alignment horizontal="center" vertical="center"/>
    </xf>
    <xf numFmtId="43" fontId="14" fillId="6" borderId="26" xfId="1" applyFont="1" applyFill="1" applyBorder="1" applyAlignment="1">
      <alignment vertical="center"/>
    </xf>
    <xf numFmtId="43" fontId="16" fillId="6" borderId="24" xfId="1" applyFont="1" applyFill="1" applyBorder="1" applyAlignment="1">
      <alignment vertical="center"/>
    </xf>
    <xf numFmtId="2" fontId="0" fillId="0" borderId="0" xfId="6" applyNumberFormat="1" applyFont="1"/>
    <xf numFmtId="0" fontId="13" fillId="6" borderId="27" xfId="0" applyFont="1" applyFill="1" applyBorder="1" applyAlignment="1">
      <alignment horizontal="left" vertical="center"/>
    </xf>
    <xf numFmtId="43" fontId="17" fillId="6" borderId="24" xfId="1" applyFont="1" applyFill="1" applyBorder="1" applyAlignment="1">
      <alignment horizontal="center" vertical="center"/>
    </xf>
    <xf numFmtId="0" fontId="10" fillId="6" borderId="27" xfId="0" applyFont="1" applyFill="1" applyBorder="1" applyAlignment="1">
      <alignment horizontal="left" vertical="center"/>
    </xf>
    <xf numFmtId="44" fontId="18" fillId="6" borderId="24" xfId="1" applyNumberFormat="1" applyFont="1" applyFill="1" applyBorder="1" applyAlignment="1">
      <alignment horizontal="center" vertical="center"/>
    </xf>
    <xf numFmtId="44" fontId="12" fillId="6" borderId="24" xfId="2" applyFont="1" applyFill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left" vertical="center"/>
    </xf>
    <xf numFmtId="44" fontId="11" fillId="4" borderId="28" xfId="0" applyNumberFormat="1" applyFont="1" applyFill="1" applyBorder="1" applyAlignment="1">
      <alignment horizontal="center" vertical="center"/>
    </xf>
    <xf numFmtId="44" fontId="12" fillId="4" borderId="28" xfId="0" applyNumberFormat="1" applyFont="1" applyFill="1" applyBorder="1" applyAlignment="1">
      <alignment vertical="center"/>
    </xf>
    <xf numFmtId="2" fontId="1" fillId="0" borderId="0" xfId="6" applyNumberFormat="1" applyFont="1"/>
    <xf numFmtId="44" fontId="18" fillId="6" borderId="24" xfId="0" applyNumberFormat="1" applyFont="1" applyFill="1" applyBorder="1" applyAlignment="1">
      <alignment horizontal="center" vertical="center"/>
    </xf>
    <xf numFmtId="44" fontId="10" fillId="6" borderId="24" xfId="2" applyFont="1" applyFill="1" applyBorder="1" applyAlignment="1">
      <alignment horizontal="center" vertical="center" wrapText="1"/>
    </xf>
    <xf numFmtId="43" fontId="19" fillId="6" borderId="24" xfId="1" applyFont="1" applyFill="1" applyBorder="1" applyAlignment="1">
      <alignment horizontal="center" vertical="center"/>
    </xf>
    <xf numFmtId="43" fontId="13" fillId="6" borderId="24" xfId="0" applyNumberFormat="1" applyFont="1" applyFill="1" applyBorder="1" applyAlignment="1">
      <alignment horizontal="center" vertical="center" wrapText="1"/>
    </xf>
    <xf numFmtId="43" fontId="20" fillId="6" borderId="24" xfId="1" applyFont="1" applyFill="1" applyBorder="1" applyAlignment="1">
      <alignment horizontal="center" vertical="center"/>
    </xf>
    <xf numFmtId="44" fontId="21" fillId="6" borderId="24" xfId="0" applyNumberFormat="1" applyFont="1" applyFill="1" applyBorder="1" applyAlignment="1">
      <alignment horizontal="center" vertical="center"/>
    </xf>
    <xf numFmtId="43" fontId="0" fillId="0" borderId="0" xfId="0" applyNumberFormat="1" applyAlignment="1">
      <alignment vertical="center"/>
    </xf>
    <xf numFmtId="0" fontId="10" fillId="6" borderId="21" xfId="0" applyFont="1" applyFill="1" applyBorder="1" applyAlignment="1">
      <alignment horizontal="left" vertical="center"/>
    </xf>
    <xf numFmtId="44" fontId="18" fillId="6" borderId="29" xfId="5" applyFont="1" applyFill="1" applyBorder="1" applyAlignment="1">
      <alignment vertical="center"/>
    </xf>
    <xf numFmtId="44" fontId="18" fillId="6" borderId="21" xfId="5" applyFont="1" applyFill="1" applyBorder="1" applyAlignment="1">
      <alignment vertical="center"/>
    </xf>
    <xf numFmtId="44" fontId="21" fillId="4" borderId="30" xfId="5" applyFont="1" applyFill="1" applyBorder="1" applyAlignment="1">
      <alignment vertical="center"/>
    </xf>
    <xf numFmtId="44" fontId="21" fillId="4" borderId="28" xfId="5" applyFont="1" applyFill="1" applyBorder="1" applyAlignment="1">
      <alignment vertical="center"/>
    </xf>
    <xf numFmtId="44" fontId="0" fillId="0" borderId="0" xfId="0" applyNumberFormat="1" applyAlignment="1">
      <alignment vertical="center"/>
    </xf>
    <xf numFmtId="0" fontId="22" fillId="6" borderId="31" xfId="0" applyFont="1" applyFill="1" applyBorder="1" applyAlignment="1">
      <alignment horizontal="left" vertical="center"/>
    </xf>
    <xf numFmtId="44" fontId="23" fillId="6" borderId="32" xfId="5" applyFont="1" applyFill="1" applyBorder="1" applyAlignment="1">
      <alignment horizontal="left" vertical="center"/>
    </xf>
    <xf numFmtId="44" fontId="23" fillId="6" borderId="31" xfId="5" applyFont="1" applyFill="1" applyBorder="1" applyAlignment="1">
      <alignment horizontal="left" vertical="center"/>
    </xf>
    <xf numFmtId="0" fontId="24" fillId="5" borderId="33" xfId="0" applyFont="1" applyFill="1" applyBorder="1" applyAlignment="1">
      <alignment horizontal="left" vertical="center"/>
    </xf>
    <xf numFmtId="164" fontId="25" fillId="5" borderId="34" xfId="1" applyNumberFormat="1" applyFont="1" applyFill="1" applyBorder="1" applyAlignment="1">
      <alignment vertical="center"/>
    </xf>
    <xf numFmtId="44" fontId="26" fillId="5" borderId="34" xfId="2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43" fontId="2" fillId="0" borderId="0" xfId="0" applyNumberFormat="1" applyFont="1"/>
    <xf numFmtId="0" fontId="3" fillId="0" borderId="0" xfId="0" applyFont="1" applyAlignment="1">
      <alignment horizontal="right"/>
    </xf>
    <xf numFmtId="43" fontId="27" fillId="7" borderId="0" xfId="0" applyNumberFormat="1" applyFont="1" applyFill="1"/>
    <xf numFmtId="43" fontId="27" fillId="7" borderId="0" xfId="6" applyNumberFormat="1" applyFont="1" applyFill="1" applyBorder="1" applyAlignment="1">
      <alignment horizontal="center"/>
    </xf>
    <xf numFmtId="0" fontId="22" fillId="0" borderId="35" xfId="0" applyFont="1" applyBorder="1"/>
    <xf numFmtId="43" fontId="22" fillId="0" borderId="3" xfId="1" applyFont="1" applyBorder="1"/>
    <xf numFmtId="0" fontId="0" fillId="0" borderId="36" xfId="0" applyBorder="1"/>
    <xf numFmtId="0" fontId="28" fillId="0" borderId="37" xfId="0" applyFont="1" applyBorder="1" applyAlignment="1">
      <alignment horizontal="center"/>
    </xf>
    <xf numFmtId="43" fontId="29" fillId="0" borderId="0" xfId="1" applyFont="1" applyBorder="1"/>
    <xf numFmtId="43" fontId="29" fillId="0" borderId="15" xfId="1" applyFont="1" applyBorder="1"/>
    <xf numFmtId="10" fontId="29" fillId="0" borderId="0" xfId="3" applyNumberFormat="1" applyFont="1" applyBorder="1"/>
    <xf numFmtId="10" fontId="29" fillId="0" borderId="15" xfId="3" applyNumberFormat="1" applyFont="1" applyBorder="1"/>
    <xf numFmtId="0" fontId="29" fillId="0" borderId="0" xfId="0" applyFont="1"/>
    <xf numFmtId="0" fontId="29" fillId="0" borderId="15" xfId="0" applyFont="1" applyBorder="1"/>
    <xf numFmtId="0" fontId="30" fillId="0" borderId="0" xfId="0" applyFont="1"/>
    <xf numFmtId="0" fontId="29" fillId="0" borderId="37" xfId="0" applyFont="1" applyBorder="1" applyAlignment="1">
      <alignment horizontal="center"/>
    </xf>
    <xf numFmtId="43" fontId="30" fillId="0" borderId="0" xfId="1" applyFont="1" applyBorder="1" applyAlignment="1">
      <alignment vertical="center"/>
    </xf>
    <xf numFmtId="43" fontId="30" fillId="0" borderId="15" xfId="1" applyFont="1" applyBorder="1" applyAlignment="1">
      <alignment vertical="center"/>
    </xf>
    <xf numFmtId="0" fontId="29" fillId="8" borderId="37" xfId="0" applyFont="1" applyFill="1" applyBorder="1" applyAlignment="1">
      <alignment horizontal="center" wrapText="1"/>
    </xf>
    <xf numFmtId="43" fontId="31" fillId="0" borderId="0" xfId="1" applyFont="1" applyBorder="1" applyAlignment="1">
      <alignment vertical="center"/>
    </xf>
    <xf numFmtId="43" fontId="31" fillId="0" borderId="15" xfId="1" applyFont="1" applyBorder="1" applyAlignment="1">
      <alignment vertical="center"/>
    </xf>
    <xf numFmtId="43" fontId="32" fillId="0" borderId="15" xfId="1" applyFont="1" applyBorder="1" applyAlignment="1">
      <alignment vertical="center"/>
    </xf>
    <xf numFmtId="0" fontId="33" fillId="0" borderId="37" xfId="0" applyFont="1" applyBorder="1" applyAlignment="1">
      <alignment horizontal="center"/>
    </xf>
    <xf numFmtId="43" fontId="34" fillId="0" borderId="0" xfId="0" applyNumberFormat="1" applyFont="1" applyAlignment="1">
      <alignment vertical="center"/>
    </xf>
    <xf numFmtId="43" fontId="29" fillId="0" borderId="15" xfId="1" applyFont="1" applyFill="1" applyBorder="1" applyAlignment="1">
      <alignment vertical="center"/>
    </xf>
    <xf numFmtId="43" fontId="29" fillId="0" borderId="0" xfId="1" applyFont="1" applyFill="1" applyBorder="1" applyAlignment="1">
      <alignment vertical="center"/>
    </xf>
    <xf numFmtId="0" fontId="35" fillId="0" borderId="37" xfId="0" applyFont="1" applyBorder="1" applyAlignment="1">
      <alignment horizontal="center"/>
    </xf>
    <xf numFmtId="43" fontId="30" fillId="9" borderId="15" xfId="1" applyFont="1" applyFill="1" applyBorder="1" applyAlignment="1">
      <alignment vertical="center"/>
    </xf>
    <xf numFmtId="0" fontId="34" fillId="0" borderId="0" xfId="0" applyFont="1"/>
    <xf numFmtId="43" fontId="30" fillId="10" borderId="15" xfId="1" applyFont="1" applyFill="1" applyBorder="1"/>
    <xf numFmtId="0" fontId="28" fillId="0" borderId="32" xfId="0" applyFont="1" applyBorder="1" applyAlignment="1">
      <alignment horizontal="center"/>
    </xf>
    <xf numFmtId="43" fontId="29" fillId="0" borderId="38" xfId="1" applyFont="1" applyBorder="1"/>
    <xf numFmtId="43" fontId="29" fillId="0" borderId="39" xfId="1" applyFont="1" applyBorder="1"/>
    <xf numFmtId="17" fontId="4" fillId="5" borderId="22" xfId="0" applyNumberFormat="1" applyFont="1" applyFill="1" applyBorder="1" applyAlignment="1">
      <alignment horizontal="center" vertical="center" wrapText="1"/>
    </xf>
    <xf numFmtId="17" fontId="4" fillId="5" borderId="37" xfId="0" applyNumberFormat="1" applyFont="1" applyFill="1" applyBorder="1" applyAlignment="1">
      <alignment horizontal="center" vertical="center" wrapText="1"/>
    </xf>
    <xf numFmtId="2" fontId="9" fillId="5" borderId="40" xfId="0" applyNumberFormat="1" applyFont="1" applyFill="1" applyBorder="1" applyAlignment="1">
      <alignment horizontal="center" vertical="center"/>
    </xf>
    <xf numFmtId="2" fontId="9" fillId="5" borderId="29" xfId="0" applyNumberFormat="1" applyFont="1" applyFill="1" applyBorder="1" applyAlignment="1">
      <alignment horizontal="center" vertical="center"/>
    </xf>
    <xf numFmtId="43" fontId="15" fillId="6" borderId="9" xfId="1" applyFont="1" applyFill="1" applyBorder="1" applyAlignment="1">
      <alignment horizontal="center" vertical="center"/>
    </xf>
    <xf numFmtId="43" fontId="19" fillId="6" borderId="9" xfId="1" applyFont="1" applyFill="1" applyBorder="1" applyAlignment="1">
      <alignment horizontal="center" vertical="center"/>
    </xf>
    <xf numFmtId="43" fontId="20" fillId="6" borderId="9" xfId="1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17" fontId="4" fillId="5" borderId="16" xfId="0" applyNumberFormat="1" applyFont="1" applyFill="1" applyBorder="1" applyAlignment="1">
      <alignment horizontal="center" vertical="center" wrapText="1"/>
    </xf>
    <xf numFmtId="17" fontId="4" fillId="5" borderId="17" xfId="0" applyNumberFormat="1" applyFont="1" applyFill="1" applyBorder="1" applyAlignment="1">
      <alignment horizontal="center" vertical="center" wrapText="1"/>
    </xf>
    <xf numFmtId="17" fontId="4" fillId="5" borderId="18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7" fillId="5" borderId="15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</cellXfs>
  <cellStyles count="8">
    <cellStyle name="Comma" xfId="1" builtinId="3"/>
    <cellStyle name="Comma 3" xfId="4" xr:uid="{00000000-0005-0000-0000-000001000000}"/>
    <cellStyle name="Currency" xfId="2" builtinId="4"/>
    <cellStyle name="Currency 2" xfId="5" xr:uid="{00000000-0005-0000-0000-000003000000}"/>
    <cellStyle name="Normal" xfId="0" builtinId="0"/>
    <cellStyle name="Percent" xfId="3" builtinId="5"/>
    <cellStyle name="Percent 2" xfId="6" xr:uid="{00000000-0005-0000-0000-000006000000}"/>
    <cellStyle name="Style 1" xfId="7" xr:uid="{00000000-0005-0000-0000-000007000000}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2FB7D"/>
      <color rgb="FFFAFFD3"/>
      <color rgb="FFFFCC66"/>
      <color rgb="FFFFCC00"/>
      <color rgb="FFE3F3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501678</xdr:colOff>
      <xdr:row>0</xdr:row>
      <xdr:rowOff>64477</xdr:rowOff>
    </xdr:from>
    <xdr:to>
      <xdr:col>0</xdr:col>
      <xdr:colOff>1664677</xdr:colOff>
      <xdr:row>4</xdr:row>
      <xdr:rowOff>403907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C8E79A-C362-4E31-8357-F43B52D63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678" y="64477"/>
          <a:ext cx="1162999" cy="1376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PC/Downloads/PROJECTION%20OF%20REPORT/Weekly%20Actual%20%20of%20Expense.xlsx" TargetMode="External"/><Relationship Id="rId1" Type="http://schemas.openxmlformats.org/officeDocument/2006/relationships/externalLinkPath" Target="/Users/PC/Downloads/PROJECTION%20OF%20REPORT/Weekly%20Actual%20%20of%20Expens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ywi\Downloads\STATEMENT%20OF%20TOTAL%20EXPENSES.xlsx" TargetMode="External"/><Relationship Id="rId1" Type="http://schemas.openxmlformats.org/officeDocument/2006/relationships/externalLinkPath" Target="STATEMENT%20OF%20TOTAL%20EXPEN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 30 - MAY 06 (SE)"/>
      <sheetName val="APR 30 - MAY 06_(O)"/>
      <sheetName val="APR 30 - MAY 06_(C)"/>
      <sheetName val="MAY 07 - MAY 13 (SE)"/>
      <sheetName val="MAY 07 - MAY 13_(O)"/>
      <sheetName val="MAY 07 - MAY 13_(C)"/>
      <sheetName val="MAY 14 - MAY 20 (SE)"/>
      <sheetName val="MAY 14 - MAY 20_(O)"/>
      <sheetName val="MAY 14 - MAY 20_(C)"/>
      <sheetName val="MAY 21 - MAY 27 (SE)"/>
      <sheetName val="MAY 21 - MAY 27_(O)"/>
      <sheetName val="MAY 21 - MAY27_(C)"/>
      <sheetName val="MAY 2024"/>
      <sheetName val="MAY 28 - JUNE 03 (SE)"/>
      <sheetName val="MAY 28 - JUNE  03_(O)"/>
      <sheetName val="MAY 28 - JUNE 03_(C)"/>
      <sheetName val="JUNE 04 - JUNE 10 (SE)"/>
      <sheetName val="JUNE 04 - JUNE  10_(O)"/>
      <sheetName val="JUNE 04 - JUNE 10_(C)"/>
      <sheetName val="JUNE 11 - JUNE 17 (SE)"/>
      <sheetName val="JUNE 11 - JUNE  17_(O)"/>
      <sheetName val="JUNE 11 - JUNE 17_(C)"/>
      <sheetName val="JUNE 18 - JUNE 24 (SE)"/>
      <sheetName val="JUNE 18 - JUNE  24_(O)"/>
      <sheetName val="JUNE 18 - JUNE 24_(C)"/>
      <sheetName val="JUNE 25 - JULY 01 (SE)"/>
      <sheetName val="JUNE 25 - JULY 01_(O)"/>
      <sheetName val="JUNE 25 - JULY 01_(C)"/>
      <sheetName val="JUNE 2024"/>
      <sheetName val="JULY 02 - JULY 08 (SE)"/>
      <sheetName val="JULY 02 - JULY 08_(O)"/>
      <sheetName val="JULY 02 - JULY 08_(C)"/>
      <sheetName val="JULY 09 - JULY 15 (SE)"/>
      <sheetName val="JULY 09 - JULY 15 (O)"/>
      <sheetName val="JULY 09 - JULY 15_(C)"/>
      <sheetName val="JULY 16- JULY 22 (SE)"/>
      <sheetName val="JULY 16- JULY 22 (O)"/>
      <sheetName val="JULY 16 - JULY 22_(C)"/>
      <sheetName val="JULY 23-JULY 29 (SE)"/>
      <sheetName val="JULY 23-JULY 29 (OI)"/>
      <sheetName val="JULY 23-JULY 29_CI"/>
      <sheetName val="JULY 2024"/>
      <sheetName val="JULY 30-AUGUST 05(SE)"/>
      <sheetName val="JULY 30-AUGUST 05 (OI)"/>
      <sheetName val="JULY 30-AUGUST 05_CI"/>
      <sheetName val="AUGUST 6 - AUGUST 12 (SE)"/>
      <sheetName val="AUGUST 6- AUGUST 12 (OI)"/>
      <sheetName val="AUGUST 6-AUGUST 12_CI"/>
      <sheetName val="AUGUST 13 - AUGUST 19 (SE)"/>
      <sheetName val="AUGUST 13- AUGUST 19 (OI)"/>
      <sheetName val="AUGUST 13-AUGUST 19_CI "/>
      <sheetName val="AUGUST 20 - AUGUST 26 (SE)"/>
      <sheetName val="AUGUST 20- AUGUST 26 (OI)"/>
      <sheetName val="AUGUST 20-AUGUST 26_(CI)"/>
      <sheetName val="AUGUST 27 - SEPTEMB 02 (SE)"/>
      <sheetName val="AUGUST 27 - SEPTEMBER 02 (OI)"/>
      <sheetName val="AUGUST 27 - SEPTEMBER 02_(CI)"/>
      <sheetName val="AUGUST 2024"/>
      <sheetName val="SEPT 3-SEPT 9, 2024_(SE)"/>
      <sheetName val="SEPT 3 - SEPT 9_ (OI)"/>
      <sheetName val="SEPT 3 - SEPT 9_(CI)"/>
      <sheetName val="SEPT 10- SEPT16, 2024_(SE)"/>
      <sheetName val="SEPT 10 - SEPT 16_ (OI)"/>
      <sheetName val="SEPT 10 - SEPT 16_(CI)"/>
      <sheetName val="SEPT 17- SEPT23, 2024_(SE)"/>
      <sheetName val="SEPT 17 - SEPT 23_ (OI)"/>
      <sheetName val="SEPT 17 - SEPT 23_(CI)"/>
      <sheetName val="SEPT 24- SEPT30, 2024_(SE)"/>
      <sheetName val="SEPT 24 - SEPT 30_ (OI)"/>
      <sheetName val="SEPT 24 - SEPT 30_(CI)"/>
      <sheetName val="SEPTEMBER 2024"/>
      <sheetName val="OCT 01 - 07_(CI)"/>
      <sheetName val="OCT 01- 07_(OI)"/>
      <sheetName val="OCT 01- 07_(CI)"/>
      <sheetName val="OCT 08 - 14_(CI)"/>
      <sheetName val="OCT 08-14_(OI)"/>
      <sheetName val="OCT 08-14_(CI)"/>
      <sheetName val="OCT 15 - 21_(CI)"/>
      <sheetName val="OCT 15-21_(OI)"/>
      <sheetName val="OCT 15-21_(CI)"/>
      <sheetName val="OCT 22 - 28_(CI)"/>
      <sheetName val="OCT 22-28_(OI)"/>
      <sheetName val="OCT 22-28_(CI)"/>
      <sheetName val="OCT 29 - 31_(SE)"/>
      <sheetName val="OCT 29-31_(OI)"/>
      <sheetName val="OCT 29-31_(CI)"/>
      <sheetName val="OCT 29 -NOV_(4)"/>
      <sheetName val="OCT 29-NOV 4 (O)"/>
      <sheetName val="OCT 29-NOV 4_(CI)"/>
      <sheetName val="OCTOBER 2024(SE)"/>
      <sheetName val="OCTOBER 2024 (OI)"/>
      <sheetName val="OCTOBER 2024 (CI)"/>
      <sheetName val="NOV 1-4, 2024 (SE)"/>
      <sheetName val="NOV 1-4, 2024 (OI)"/>
      <sheetName val="NOV 1-4, 2024 (CI)"/>
      <sheetName val="NOV 5-11, 2024 (SE)"/>
      <sheetName val="NOV 5-11, 2024 (OI)"/>
      <sheetName val="NOV 5-11, 2024 (CI)"/>
      <sheetName val="NOV 12-18, 2024 (SE) "/>
      <sheetName val="NOV 12-18, 2024 (OI)"/>
      <sheetName val="NOV 12-18, 2024 (CI)"/>
      <sheetName val="NOV 19-25, 2024 (SE) "/>
      <sheetName val="NOV 19-25, 2024 (OI)"/>
      <sheetName val="NOV 19-25, 2024 (CI) "/>
      <sheetName val="NOV 26-DEC 02, 2024 (SE)"/>
      <sheetName val="NOV 26-DEC 02, 2024 (OI)"/>
      <sheetName val="NOV 26- DEC 02, 2024 (CI)"/>
      <sheetName val="NOVEMBER 2024"/>
      <sheetName val="DEC 03-DEC 09, 2024 (SE) "/>
      <sheetName val="DEC 03-DEC 09, 2024 (OI) "/>
      <sheetName val="DEC 03- DEC 09, 2024 (CI) "/>
      <sheetName val="DEC 10-DEC 16, 2024 (SE) "/>
      <sheetName val="DEC 10-DEC 16, 2024 (OI) "/>
      <sheetName val="DEC 10- DEC 16, 2024 (CI) "/>
      <sheetName val="DEC 17-DEC 23, 2024 (SE)  "/>
      <sheetName val="DEC 17-DEC 23, 2024 (OI)"/>
      <sheetName val="DEC 17- DEC 23, 2024 (CI) "/>
      <sheetName val="DEC 24-DEC 30, 2024 (SE)"/>
      <sheetName val="DEC 24-DEC 30, 2024 (OI)"/>
      <sheetName val="DEC 24- DEC 30, 2024 (CI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>
        <row r="71">
          <cell r="G71">
            <v>63269.649898935801</v>
          </cell>
        </row>
        <row r="72">
          <cell r="G72">
            <v>63269.649898935801</v>
          </cell>
        </row>
        <row r="73">
          <cell r="G73">
            <v>506157.19919148699</v>
          </cell>
        </row>
        <row r="76">
          <cell r="G76">
            <v>2644.8989999999999</v>
          </cell>
        </row>
        <row r="77">
          <cell r="G77">
            <v>2644.8989999999999</v>
          </cell>
        </row>
        <row r="78">
          <cell r="G78">
            <v>21159.191999999999</v>
          </cell>
        </row>
      </sheetData>
      <sheetData sheetId="114" refreshError="1"/>
      <sheetData sheetId="115" refreshError="1"/>
      <sheetData sheetId="116">
        <row r="65">
          <cell r="B65">
            <v>-38625.76167</v>
          </cell>
          <cell r="C65">
            <v>-92399.913333333301</v>
          </cell>
          <cell r="D65">
            <v>1020786.894509</v>
          </cell>
          <cell r="E65">
            <v>-209004.06115733701</v>
          </cell>
          <cell r="F65">
            <v>-64010.609358970003</v>
          </cell>
          <cell r="G65">
            <v>616746.54898935801</v>
          </cell>
        </row>
      </sheetData>
      <sheetData sheetId="117" refreshError="1"/>
      <sheetData sheetId="118" refreshError="1"/>
      <sheetData sheetId="1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CH 2026 CGSE"/>
    </sheetNames>
    <sheetDataSet>
      <sheetData sheetId="0">
        <row r="12">
          <cell r="B12">
            <v>0</v>
          </cell>
          <cell r="C12">
            <v>0</v>
          </cell>
        </row>
        <row r="33">
          <cell r="B33">
            <v>0</v>
          </cell>
          <cell r="C33">
            <v>0</v>
          </cell>
        </row>
        <row r="36">
          <cell r="B36">
            <v>0</v>
          </cell>
          <cell r="C3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N82"/>
  <sheetViews>
    <sheetView tabSelected="1" view="pageBreakPreview" zoomScale="130" zoomScaleNormal="124" zoomScaleSheetLayoutView="130" workbookViewId="0">
      <selection activeCell="J6" sqref="J6"/>
    </sheetView>
  </sheetViews>
  <sheetFormatPr defaultColWidth="9" defaultRowHeight="14.4" outlineLevelRow="1"/>
  <cols>
    <col min="1" max="1" width="35.44140625" customWidth="1"/>
    <col min="2" max="2" width="19.109375" hidden="1" customWidth="1"/>
    <col min="3" max="3" width="17.109375" hidden="1" customWidth="1"/>
    <col min="4" max="4" width="21.109375" customWidth="1"/>
    <col min="5" max="5" width="19.109375" customWidth="1"/>
    <col min="6" max="6" width="19.6640625" customWidth="1"/>
    <col min="7" max="7" width="30.6640625" customWidth="1"/>
    <col min="8" max="8" width="3" customWidth="1"/>
    <col min="9" max="9" width="14.33203125" customWidth="1"/>
    <col min="10" max="14" width="12" customWidth="1"/>
  </cols>
  <sheetData>
    <row r="1" spans="1:14" ht="45" customHeight="1">
      <c r="A1" s="93"/>
      <c r="B1" s="100" t="s">
        <v>5</v>
      </c>
      <c r="C1" s="101"/>
      <c r="D1" s="101"/>
      <c r="E1" s="101"/>
      <c r="F1" s="101"/>
      <c r="G1" s="102"/>
      <c r="H1" s="5"/>
      <c r="I1" s="5"/>
      <c r="J1" s="5"/>
      <c r="K1" s="5"/>
      <c r="L1" s="5"/>
      <c r="M1" s="5"/>
      <c r="N1" s="5"/>
    </row>
    <row r="2" spans="1:14" ht="36.6" customHeight="1">
      <c r="A2" s="94"/>
      <c r="B2" s="103"/>
      <c r="C2" s="104"/>
      <c r="D2" s="104"/>
      <c r="E2" s="104"/>
      <c r="F2" s="104"/>
      <c r="G2" s="105"/>
      <c r="H2" s="5"/>
      <c r="I2" s="5"/>
      <c r="J2" s="5"/>
      <c r="K2" s="5"/>
      <c r="L2" s="5"/>
      <c r="M2" s="5"/>
      <c r="N2" s="5"/>
    </row>
    <row r="3" spans="1:14" ht="23.4" hidden="1" customHeight="1">
      <c r="A3" s="94"/>
      <c r="B3" s="103"/>
      <c r="C3" s="104"/>
      <c r="D3" s="104"/>
      <c r="E3" s="104"/>
      <c r="F3" s="104"/>
      <c r="G3" s="105"/>
      <c r="H3" s="5"/>
      <c r="I3" s="5"/>
      <c r="J3" s="5"/>
      <c r="K3" s="5"/>
      <c r="L3" s="5"/>
      <c r="M3" s="5"/>
      <c r="N3" s="5"/>
    </row>
    <row r="4" spans="1:14" ht="19.95" hidden="1" customHeight="1">
      <c r="A4" s="94"/>
      <c r="B4" s="106"/>
      <c r="C4" s="107"/>
      <c r="D4" s="107"/>
      <c r="E4" s="107"/>
      <c r="F4" s="107"/>
      <c r="G4" s="108"/>
      <c r="H4" s="5"/>
      <c r="I4" s="5"/>
      <c r="J4" s="5"/>
      <c r="K4" s="5"/>
      <c r="L4" s="5"/>
      <c r="M4" s="5"/>
      <c r="N4" s="5"/>
    </row>
    <row r="5" spans="1:14" ht="33" customHeight="1">
      <c r="A5" s="95"/>
      <c r="B5" s="87" t="s">
        <v>6</v>
      </c>
      <c r="C5" s="88"/>
      <c r="D5" s="88"/>
      <c r="E5" s="88"/>
      <c r="F5" s="88"/>
      <c r="G5" s="89"/>
    </row>
    <row r="6" spans="1:14" ht="34.5" customHeight="1">
      <c r="A6" s="96" t="s">
        <v>7</v>
      </c>
      <c r="B6" s="90" t="s">
        <v>4</v>
      </c>
      <c r="C6" s="91"/>
      <c r="D6" s="92"/>
      <c r="E6" s="80" t="s">
        <v>8</v>
      </c>
      <c r="F6" s="81" t="s">
        <v>9</v>
      </c>
      <c r="G6" s="98" t="s">
        <v>3</v>
      </c>
    </row>
    <row r="7" spans="1:14" ht="21" customHeight="1">
      <c r="A7" s="97"/>
      <c r="B7" s="6" t="s">
        <v>0</v>
      </c>
      <c r="C7" s="6" t="s">
        <v>1</v>
      </c>
      <c r="D7" s="7" t="s">
        <v>2</v>
      </c>
      <c r="E7" s="82" t="s">
        <v>2</v>
      </c>
      <c r="F7" s="83" t="s">
        <v>2</v>
      </c>
      <c r="G7" s="99"/>
    </row>
    <row r="8" spans="1:14" ht="15.6" customHeight="1">
      <c r="A8" s="8" t="s">
        <v>10</v>
      </c>
      <c r="B8" s="9">
        <f>SUM(B9:B14)</f>
        <v>0</v>
      </c>
      <c r="C8" s="9">
        <f>SUM(C9:C14)</f>
        <v>0</v>
      </c>
      <c r="D8" s="9"/>
      <c r="E8" s="9"/>
      <c r="F8" s="9"/>
      <c r="G8" s="10"/>
      <c r="I8" s="11"/>
    </row>
    <row r="9" spans="1:14" ht="11.25" customHeight="1" outlineLevel="1">
      <c r="A9" s="12" t="s">
        <v>11</v>
      </c>
      <c r="B9" s="13"/>
      <c r="C9" s="14"/>
      <c r="D9" s="15"/>
      <c r="E9" s="14"/>
      <c r="F9" s="84"/>
      <c r="G9" s="16"/>
      <c r="I9" s="17"/>
      <c r="J9" s="17"/>
      <c r="K9" s="17"/>
      <c r="L9" s="17"/>
      <c r="M9" s="17"/>
      <c r="N9" s="17"/>
    </row>
    <row r="10" spans="1:14" ht="11.25" hidden="1" customHeight="1" outlineLevel="1">
      <c r="A10" s="18" t="s">
        <v>12</v>
      </c>
      <c r="B10" s="14">
        <v>0</v>
      </c>
      <c r="C10" s="14">
        <v>0</v>
      </c>
      <c r="D10" s="14"/>
      <c r="E10" s="14"/>
      <c r="F10" s="84"/>
      <c r="G10" s="16"/>
      <c r="I10" s="17"/>
      <c r="J10" s="17"/>
      <c r="K10" s="17"/>
      <c r="L10" s="17"/>
      <c r="M10" s="17"/>
      <c r="N10" s="17"/>
    </row>
    <row r="11" spans="1:14" ht="11.25" customHeight="1" outlineLevel="1">
      <c r="A11" s="18" t="s">
        <v>13</v>
      </c>
      <c r="B11" s="19">
        <v>0</v>
      </c>
      <c r="C11" s="19">
        <v>0</v>
      </c>
      <c r="D11" s="14"/>
      <c r="E11" s="19"/>
      <c r="F11" s="84"/>
      <c r="G11" s="16"/>
    </row>
    <row r="12" spans="1:14" ht="11.25" hidden="1" customHeight="1" outlineLevel="1">
      <c r="A12" s="18" t="s">
        <v>14</v>
      </c>
      <c r="B12" s="19">
        <v>0</v>
      </c>
      <c r="C12" s="19">
        <v>0</v>
      </c>
      <c r="D12" s="14"/>
      <c r="E12" s="19"/>
      <c r="F12" s="84"/>
      <c r="G12" s="16"/>
    </row>
    <row r="13" spans="1:14" ht="11.25" customHeight="1" outlineLevel="1">
      <c r="A13" s="18" t="s">
        <v>15</v>
      </c>
      <c r="B13" s="19">
        <v>0</v>
      </c>
      <c r="C13" s="19">
        <v>0</v>
      </c>
      <c r="D13" s="14"/>
      <c r="E13" s="19"/>
      <c r="F13" s="84"/>
      <c r="G13" s="16"/>
    </row>
    <row r="14" spans="1:14" ht="11.25" hidden="1" customHeight="1" outlineLevel="1">
      <c r="A14" s="18" t="s">
        <v>16</v>
      </c>
      <c r="B14" s="19">
        <v>0</v>
      </c>
      <c r="C14" s="19">
        <v>0</v>
      </c>
      <c r="D14" s="14"/>
      <c r="E14" s="19"/>
      <c r="F14" s="84"/>
      <c r="G14" s="16"/>
    </row>
    <row r="15" spans="1:14" ht="16.2" customHeight="1">
      <c r="A15" s="20" t="s">
        <v>17</v>
      </c>
      <c r="B15" s="21">
        <f>'[2]MARCH 2026 CGSE'!B12</f>
        <v>0</v>
      </c>
      <c r="C15" s="21">
        <f>'[2]MARCH 2026 CGSE'!C12</f>
        <v>0</v>
      </c>
      <c r="D15" s="21"/>
      <c r="E15" s="21"/>
      <c r="F15" s="21"/>
      <c r="G15" s="22"/>
    </row>
    <row r="16" spans="1:14" s="1" customFormat="1" ht="15.75" customHeight="1">
      <c r="A16" s="23" t="s">
        <v>18</v>
      </c>
      <c r="B16" s="24">
        <f>B8-B15</f>
        <v>0</v>
      </c>
      <c r="C16" s="24">
        <f>C8-C15</f>
        <v>0</v>
      </c>
      <c r="D16" s="24"/>
      <c r="E16" s="24"/>
      <c r="F16" s="24"/>
      <c r="G16" s="25"/>
      <c r="I16" s="26"/>
      <c r="J16" s="26"/>
      <c r="L16" s="26"/>
      <c r="M16" s="26"/>
      <c r="N16" s="26"/>
    </row>
    <row r="17" spans="1:14" ht="18" customHeight="1">
      <c r="A17" s="20" t="s">
        <v>19</v>
      </c>
      <c r="B17" s="27">
        <f t="shared" ref="B17:C17" si="0">SUM(B18:B27)</f>
        <v>0</v>
      </c>
      <c r="C17" s="27">
        <f t="shared" si="0"/>
        <v>0</v>
      </c>
      <c r="D17" s="27"/>
      <c r="E17" s="27"/>
      <c r="F17" s="27"/>
      <c r="G17" s="28"/>
    </row>
    <row r="18" spans="1:14" ht="12.6" customHeight="1" outlineLevel="1">
      <c r="A18" s="18" t="s">
        <v>20</v>
      </c>
      <c r="B18" s="29"/>
      <c r="C18" s="29"/>
      <c r="D18" s="29"/>
      <c r="E18" s="31"/>
      <c r="F18" s="31"/>
      <c r="G18" s="30"/>
    </row>
    <row r="19" spans="1:14" ht="12.6" customHeight="1" outlineLevel="1">
      <c r="A19" s="18" t="s">
        <v>21</v>
      </c>
      <c r="B19" s="29"/>
      <c r="C19" s="29"/>
      <c r="D19" s="29"/>
      <c r="E19" s="31"/>
      <c r="F19" s="31"/>
      <c r="G19" s="30"/>
    </row>
    <row r="20" spans="1:14" ht="12.6" customHeight="1" outlineLevel="1">
      <c r="A20" s="18" t="s">
        <v>22</v>
      </c>
      <c r="B20" s="29"/>
      <c r="C20" s="29"/>
      <c r="D20" s="29"/>
      <c r="E20" s="31"/>
      <c r="F20" s="31"/>
      <c r="G20" s="30"/>
    </row>
    <row r="21" spans="1:14" ht="12.6" hidden="1" customHeight="1" outlineLevel="1">
      <c r="A21" s="18" t="s">
        <v>23</v>
      </c>
      <c r="B21" s="29"/>
      <c r="C21" s="29"/>
      <c r="D21" s="29"/>
      <c r="E21" s="29"/>
      <c r="F21" s="85"/>
      <c r="G21" s="30"/>
    </row>
    <row r="22" spans="1:14" ht="12.6" hidden="1" customHeight="1" outlineLevel="1">
      <c r="A22" s="18" t="s">
        <v>24</v>
      </c>
      <c r="B22" s="29"/>
      <c r="C22" s="29"/>
      <c r="D22" s="29"/>
      <c r="E22" s="29"/>
      <c r="F22" s="85"/>
      <c r="G22" s="30"/>
    </row>
    <row r="23" spans="1:14" ht="12.6" hidden="1" customHeight="1" outlineLevel="1">
      <c r="A23" s="18" t="s">
        <v>25</v>
      </c>
      <c r="B23" s="29"/>
      <c r="C23" s="29"/>
      <c r="D23" s="29"/>
      <c r="E23" s="29"/>
      <c r="F23" s="85"/>
      <c r="G23" s="30"/>
    </row>
    <row r="24" spans="1:14" ht="12.6" hidden="1" customHeight="1" outlineLevel="1">
      <c r="A24" s="18" t="s">
        <v>26</v>
      </c>
      <c r="B24" s="29"/>
      <c r="C24" s="29"/>
      <c r="D24" s="31"/>
      <c r="E24" s="31"/>
      <c r="F24" s="86"/>
      <c r="G24" s="30"/>
    </row>
    <row r="25" spans="1:14" ht="12.6" hidden="1" customHeight="1" outlineLevel="1">
      <c r="A25" s="18" t="s">
        <v>27</v>
      </c>
      <c r="B25" s="29"/>
      <c r="C25" s="29"/>
      <c r="D25" s="31"/>
      <c r="E25" s="31"/>
      <c r="F25" s="86"/>
      <c r="G25" s="30"/>
    </row>
    <row r="26" spans="1:14" ht="12.6" hidden="1" customHeight="1" outlineLevel="1">
      <c r="A26" s="18" t="s">
        <v>28</v>
      </c>
      <c r="B26" s="29"/>
      <c r="C26" s="29"/>
      <c r="D26" s="31"/>
      <c r="E26" s="31"/>
      <c r="F26" s="86"/>
      <c r="G26" s="30"/>
    </row>
    <row r="27" spans="1:14" ht="12.6" hidden="1" customHeight="1" outlineLevel="1">
      <c r="A27" s="18" t="s">
        <v>29</v>
      </c>
      <c r="B27" s="29"/>
      <c r="C27" s="29"/>
      <c r="D27" s="31"/>
      <c r="E27" s="31"/>
      <c r="F27" s="86"/>
      <c r="G27" s="30"/>
    </row>
    <row r="28" spans="1:14" ht="21.75" customHeight="1">
      <c r="A28" s="20" t="s">
        <v>30</v>
      </c>
      <c r="B28" s="32">
        <f>B16+B17</f>
        <v>0</v>
      </c>
      <c r="C28" s="32">
        <f>C16+C17</f>
        <v>0</v>
      </c>
      <c r="D28" s="32"/>
      <c r="E28" s="32"/>
      <c r="F28" s="32"/>
      <c r="G28" s="32"/>
      <c r="I28" s="33"/>
    </row>
    <row r="29" spans="1:14" s="2" customFormat="1" ht="21.6" customHeight="1" outlineLevel="1">
      <c r="A29" s="34" t="s">
        <v>31</v>
      </c>
      <c r="B29" s="35">
        <f>'[2]MARCH 2026 CGSE'!B33</f>
        <v>0</v>
      </c>
      <c r="C29" s="35">
        <f>'[2]MARCH 2026 CGSE'!C33</f>
        <v>0</v>
      </c>
      <c r="D29" s="35"/>
      <c r="E29" s="35"/>
      <c r="F29" s="35"/>
      <c r="G29" s="36"/>
      <c r="H29"/>
      <c r="I29" s="11"/>
      <c r="J29" s="11"/>
      <c r="K29"/>
      <c r="L29"/>
      <c r="M29"/>
      <c r="N29"/>
    </row>
    <row r="30" spans="1:14" s="2" customFormat="1" ht="21" customHeight="1">
      <c r="A30" s="23" t="s">
        <v>32</v>
      </c>
      <c r="B30" s="37">
        <f>B28-B29</f>
        <v>0</v>
      </c>
      <c r="C30" s="37">
        <f>C28-C29</f>
        <v>0</v>
      </c>
      <c r="D30" s="37"/>
      <c r="E30" s="37"/>
      <c r="F30" s="37"/>
      <c r="G30" s="38"/>
      <c r="H30"/>
      <c r="I30" s="39"/>
      <c r="J30"/>
      <c r="K30"/>
      <c r="L30"/>
      <c r="M30"/>
      <c r="N30"/>
    </row>
    <row r="31" spans="1:14" s="2" customFormat="1" ht="22.95" customHeight="1" outlineLevel="1">
      <c r="A31" s="40" t="s">
        <v>33</v>
      </c>
      <c r="B31" s="41">
        <f>'[2]MARCH 2026 CGSE'!B36</f>
        <v>0</v>
      </c>
      <c r="C31" s="41">
        <f>'[2]MARCH 2026 CGSE'!C36</f>
        <v>0</v>
      </c>
      <c r="D31" s="41"/>
      <c r="E31" s="41"/>
      <c r="F31" s="41"/>
      <c r="G31" s="42"/>
      <c r="H31"/>
      <c r="I31" s="11"/>
      <c r="J31" s="11"/>
    </row>
    <row r="32" spans="1:14" s="3" customFormat="1" ht="33.75" customHeight="1">
      <c r="A32" s="43" t="s">
        <v>34</v>
      </c>
      <c r="B32" s="44">
        <f t="shared" ref="B32:C32" si="1">B30-B31</f>
        <v>0</v>
      </c>
      <c r="C32" s="44">
        <f t="shared" si="1"/>
        <v>0</v>
      </c>
      <c r="D32" s="44"/>
      <c r="E32" s="44"/>
      <c r="F32" s="44"/>
      <c r="G32" s="45"/>
      <c r="I32" s="46"/>
      <c r="J32" s="47"/>
      <c r="K32" s="47"/>
      <c r="L32" s="47"/>
      <c r="M32" s="47"/>
      <c r="N32" s="47"/>
    </row>
    <row r="33" spans="1:10" s="4" customFormat="1" ht="10.199999999999999">
      <c r="A33" s="48"/>
      <c r="B33" s="49"/>
      <c r="C33" s="49"/>
      <c r="D33" s="49"/>
      <c r="E33" s="49"/>
      <c r="F33" s="49"/>
      <c r="G33" s="50">
        <f>SUM(B33:F33)</f>
        <v>0</v>
      </c>
    </row>
    <row r="34" spans="1:10">
      <c r="A34" s="51" t="s">
        <v>35</v>
      </c>
      <c r="B34" s="52"/>
      <c r="C34" s="52"/>
      <c r="D34" s="52"/>
      <c r="E34" s="52"/>
      <c r="F34" s="52"/>
      <c r="G34" s="53"/>
    </row>
    <row r="35" spans="1:10">
      <c r="A35" s="54" t="s">
        <v>36</v>
      </c>
      <c r="B35" s="55">
        <f t="shared" ref="B35:G35" si="2">IF(B8=0,0,(B16/B8)*100)</f>
        <v>0</v>
      </c>
      <c r="C35" s="55">
        <f t="shared" si="2"/>
        <v>0</v>
      </c>
      <c r="D35" s="55">
        <f t="shared" si="2"/>
        <v>0</v>
      </c>
      <c r="E35" s="55">
        <f t="shared" si="2"/>
        <v>0</v>
      </c>
      <c r="F35" s="55">
        <f t="shared" si="2"/>
        <v>0</v>
      </c>
      <c r="G35" s="56">
        <f t="shared" si="2"/>
        <v>0</v>
      </c>
    </row>
    <row r="36" spans="1:10">
      <c r="A36" s="54" t="s">
        <v>37</v>
      </c>
      <c r="B36" s="57">
        <f>IF(B8=0,0,((B15+B29+B31))/B8)</f>
        <v>0</v>
      </c>
      <c r="C36" s="55">
        <f t="shared" ref="C36:G36" si="3">IF(C8=0,0,((C15+C29+C31))/C8)</f>
        <v>0</v>
      </c>
      <c r="D36" s="57">
        <f t="shared" si="3"/>
        <v>0</v>
      </c>
      <c r="E36" s="55">
        <f t="shared" si="3"/>
        <v>0</v>
      </c>
      <c r="F36" s="57">
        <f t="shared" si="3"/>
        <v>0</v>
      </c>
      <c r="G36" s="58">
        <f t="shared" si="3"/>
        <v>0</v>
      </c>
    </row>
    <row r="37" spans="1:10">
      <c r="A37" s="54" t="s">
        <v>38</v>
      </c>
      <c r="B37" s="55">
        <f>IF(B8=0,0,(B32/B8)*100)</f>
        <v>0</v>
      </c>
      <c r="C37" s="55">
        <f t="shared" ref="C37:G37" si="4">IF(C8=0,0,(C32/C8)*100)</f>
        <v>0</v>
      </c>
      <c r="D37" s="55">
        <f t="shared" si="4"/>
        <v>0</v>
      </c>
      <c r="E37" s="55">
        <f t="shared" si="4"/>
        <v>0</v>
      </c>
      <c r="F37" s="55">
        <f t="shared" si="4"/>
        <v>0</v>
      </c>
      <c r="G37" s="56">
        <f t="shared" si="4"/>
        <v>0</v>
      </c>
    </row>
    <row r="38" spans="1:10" hidden="1">
      <c r="A38" s="54"/>
      <c r="B38" s="59"/>
      <c r="C38" s="59"/>
      <c r="D38" s="59"/>
      <c r="E38" s="59"/>
      <c r="F38" s="59"/>
      <c r="G38" s="60"/>
    </row>
    <row r="39" spans="1:10" hidden="1">
      <c r="A39" s="54"/>
      <c r="B39" s="59"/>
      <c r="C39" s="59"/>
      <c r="D39" s="61"/>
      <c r="E39" s="59"/>
      <c r="F39" s="61"/>
      <c r="G39" s="60"/>
    </row>
    <row r="40" spans="1:10" hidden="1">
      <c r="A40" s="62"/>
      <c r="B40" s="59"/>
      <c r="C40" s="59"/>
      <c r="D40" s="59"/>
      <c r="E40" s="59"/>
      <c r="F40" s="59"/>
      <c r="G40" s="60"/>
    </row>
    <row r="41" spans="1:10" hidden="1">
      <c r="A41" s="54"/>
      <c r="B41" s="59"/>
      <c r="C41" s="59"/>
      <c r="D41" s="59"/>
      <c r="E41" s="59"/>
      <c r="F41" s="59"/>
      <c r="G41" s="60"/>
    </row>
    <row r="42" spans="1:10" hidden="1">
      <c r="A42" s="54" t="s">
        <v>39</v>
      </c>
      <c r="B42" s="59"/>
      <c r="C42" s="59"/>
      <c r="D42" s="59"/>
      <c r="E42" s="59"/>
      <c r="F42" s="59"/>
      <c r="G42" s="60"/>
    </row>
    <row r="43" spans="1:10" hidden="1">
      <c r="A43" s="54" t="s">
        <v>40</v>
      </c>
      <c r="B43" s="63">
        <f t="shared" ref="B43:G43" si="5">B32</f>
        <v>0</v>
      </c>
      <c r="C43" s="63">
        <f t="shared" si="5"/>
        <v>0</v>
      </c>
      <c r="D43" s="63">
        <f t="shared" si="5"/>
        <v>0</v>
      </c>
      <c r="E43" s="63">
        <f t="shared" si="5"/>
        <v>0</v>
      </c>
      <c r="F43" s="63">
        <f t="shared" si="5"/>
        <v>0</v>
      </c>
      <c r="G43" s="64">
        <f t="shared" si="5"/>
        <v>0</v>
      </c>
    </row>
    <row r="44" spans="1:10" ht="27" hidden="1">
      <c r="A44" s="65" t="s">
        <v>41</v>
      </c>
      <c r="B44" s="66">
        <f>'[1]DEC 17- DEC 23, 2024 (CI) '!B65</f>
        <v>-38625.76167</v>
      </c>
      <c r="C44" s="66">
        <f>'[1]DEC 17- DEC 23, 2024 (CI) '!C65</f>
        <v>-92399.913333333301</v>
      </c>
      <c r="D44" s="66">
        <f>'[1]DEC 17- DEC 23, 2024 (CI) '!D65</f>
        <v>1020786.894509</v>
      </c>
      <c r="E44" s="66">
        <f>'[1]DEC 17- DEC 23, 2024 (CI) '!E65</f>
        <v>-209004.06115733701</v>
      </c>
      <c r="F44" s="66">
        <f>'[1]DEC 17- DEC 23, 2024 (CI) '!F65</f>
        <v>-64010.609358970003</v>
      </c>
      <c r="G44" s="67">
        <f>'[1]DEC 17- DEC 23, 2024 (CI) '!G65</f>
        <v>616746.54898935801</v>
      </c>
      <c r="I44" s="11"/>
      <c r="J44" t="s">
        <v>42</v>
      </c>
    </row>
    <row r="45" spans="1:10" hidden="1">
      <c r="A45" s="54" t="s">
        <v>43</v>
      </c>
      <c r="B45" s="63">
        <f t="shared" ref="B45:G45" si="6">SUM(B43:B44)</f>
        <v>-38625.76167</v>
      </c>
      <c r="C45" s="63">
        <f t="shared" si="6"/>
        <v>-92399.913333333301</v>
      </c>
      <c r="D45" s="63">
        <f t="shared" si="6"/>
        <v>1020786.894509</v>
      </c>
      <c r="E45" s="63">
        <f t="shared" si="6"/>
        <v>-209004.06115733701</v>
      </c>
      <c r="F45" s="63">
        <f t="shared" si="6"/>
        <v>-64010.609358970003</v>
      </c>
      <c r="G45" s="68">
        <f t="shared" si="6"/>
        <v>616746.54898935801</v>
      </c>
    </row>
    <row r="46" spans="1:10" hidden="1">
      <c r="A46" s="69" t="s">
        <v>44</v>
      </c>
      <c r="B46" s="70">
        <f t="shared" ref="B46:G47" si="7">B$45*10%</f>
        <v>-3862.5761670000002</v>
      </c>
      <c r="C46" s="70">
        <f t="shared" si="7"/>
        <v>-9239.9913333333297</v>
      </c>
      <c r="D46" s="70">
        <f t="shared" si="7"/>
        <v>102078.68945090001</v>
      </c>
      <c r="E46" s="70">
        <f t="shared" si="7"/>
        <v>-20900.406115733702</v>
      </c>
      <c r="F46" s="70">
        <f t="shared" si="7"/>
        <v>-6401.0609358970005</v>
      </c>
      <c r="G46" s="71">
        <f t="shared" si="7"/>
        <v>61674.654898935805</v>
      </c>
    </row>
    <row r="47" spans="1:10" hidden="1">
      <c r="A47" s="69" t="s">
        <v>45</v>
      </c>
      <c r="B47" s="70">
        <f t="shared" si="7"/>
        <v>-3862.5761670000002</v>
      </c>
      <c r="C47" s="70">
        <f t="shared" si="7"/>
        <v>-9239.9913333333297</v>
      </c>
      <c r="D47" s="70">
        <f t="shared" si="7"/>
        <v>102078.68945090001</v>
      </c>
      <c r="E47" s="70">
        <f t="shared" si="7"/>
        <v>-20900.406115733702</v>
      </c>
      <c r="F47" s="70">
        <f t="shared" si="7"/>
        <v>-6401.0609358970005</v>
      </c>
      <c r="G47" s="71">
        <f t="shared" si="7"/>
        <v>61674.654898935805</v>
      </c>
    </row>
    <row r="48" spans="1:10" hidden="1">
      <c r="A48" s="69" t="s">
        <v>46</v>
      </c>
      <c r="B48" s="72">
        <f t="shared" ref="B48:G48" si="8">B45-B46-B47</f>
        <v>-30900.609336000001</v>
      </c>
      <c r="C48" s="72">
        <f t="shared" si="8"/>
        <v>-73919.930666666653</v>
      </c>
      <c r="D48" s="72">
        <f t="shared" si="8"/>
        <v>816629.51560719986</v>
      </c>
      <c r="E48" s="72">
        <f t="shared" si="8"/>
        <v>-167203.24892586962</v>
      </c>
      <c r="F48" s="72">
        <f t="shared" si="8"/>
        <v>-51208.487487175997</v>
      </c>
      <c r="G48" s="71">
        <f t="shared" si="8"/>
        <v>493397.23919148638</v>
      </c>
    </row>
    <row r="49" spans="1:7" hidden="1">
      <c r="A49" s="54"/>
      <c r="B49" s="59"/>
      <c r="C49" s="59"/>
      <c r="D49" s="59"/>
      <c r="E49" s="59"/>
      <c r="F49" s="59"/>
      <c r="G49" s="60"/>
    </row>
    <row r="50" spans="1:7" hidden="1">
      <c r="A50" s="54" t="s">
        <v>47</v>
      </c>
      <c r="B50" s="59"/>
      <c r="C50" s="59"/>
      <c r="D50" s="59"/>
      <c r="E50" s="59"/>
      <c r="F50" s="59"/>
      <c r="G50" s="60"/>
    </row>
    <row r="51" spans="1:7" hidden="1">
      <c r="A51" s="73" t="s">
        <v>44</v>
      </c>
      <c r="B51" s="70"/>
      <c r="C51" s="70"/>
      <c r="D51" s="70"/>
      <c r="E51" s="70"/>
      <c r="F51" s="70"/>
      <c r="G51" s="74">
        <f>'[1]DEC 10- DEC 16, 2024 (CI) '!G71+'[1]DEC 10- DEC 16, 2024 (CI) '!G76</f>
        <v>65914.548898935798</v>
      </c>
    </row>
    <row r="52" spans="1:7" hidden="1">
      <c r="A52" s="73" t="s">
        <v>45</v>
      </c>
      <c r="B52" s="70"/>
      <c r="C52" s="70"/>
      <c r="D52" s="70"/>
      <c r="E52" s="70"/>
      <c r="F52" s="70"/>
      <c r="G52" s="74">
        <f>'[1]DEC 10- DEC 16, 2024 (CI) '!G72+'[1]DEC 10- DEC 16, 2024 (CI) '!G77</f>
        <v>65914.548898935798</v>
      </c>
    </row>
    <row r="53" spans="1:7" hidden="1">
      <c r="A53" s="73" t="s">
        <v>46</v>
      </c>
      <c r="B53" s="72"/>
      <c r="C53" s="72"/>
      <c r="D53" s="72"/>
      <c r="E53" s="72"/>
      <c r="F53" s="72"/>
      <c r="G53" s="74">
        <f>'[1]DEC 10- DEC 16, 2024 (CI) '!G73+'[1]DEC 10- DEC 16, 2024 (CI) '!G78</f>
        <v>527316.39119148697</v>
      </c>
    </row>
    <row r="54" spans="1:7" hidden="1">
      <c r="A54" s="54"/>
      <c r="B54" s="59"/>
      <c r="C54" s="59"/>
      <c r="D54" s="59"/>
      <c r="E54" s="59"/>
      <c r="F54" s="59"/>
      <c r="G54" s="60"/>
    </row>
    <row r="55" spans="1:7" hidden="1">
      <c r="A55" s="54" t="s">
        <v>48</v>
      </c>
      <c r="B55" s="59"/>
      <c r="C55" s="59"/>
      <c r="D55" s="59"/>
      <c r="E55" s="59"/>
      <c r="F55" s="59"/>
      <c r="G55" s="60"/>
    </row>
    <row r="56" spans="1:7" hidden="1">
      <c r="A56" s="69" t="s">
        <v>44</v>
      </c>
      <c r="B56" s="75"/>
      <c r="C56" s="75"/>
      <c r="D56" s="75"/>
      <c r="E56" s="75"/>
      <c r="F56" s="75"/>
      <c r="G56" s="76">
        <f>IF(G46&lt;G51,0,G46-G51)</f>
        <v>0</v>
      </c>
    </row>
    <row r="57" spans="1:7" hidden="1">
      <c r="A57" s="69" t="s">
        <v>45</v>
      </c>
      <c r="B57" s="75"/>
      <c r="C57" s="75"/>
      <c r="D57" s="75"/>
      <c r="E57" s="75"/>
      <c r="F57" s="75"/>
      <c r="G57" s="76">
        <f>IF(G47&lt;G52,0,G47-G52)</f>
        <v>0</v>
      </c>
    </row>
    <row r="58" spans="1:7" hidden="1">
      <c r="A58" s="69" t="s">
        <v>46</v>
      </c>
      <c r="B58" s="75"/>
      <c r="C58" s="75"/>
      <c r="D58" s="75"/>
      <c r="E58" s="75"/>
      <c r="F58" s="75"/>
      <c r="G58" s="76">
        <f>IF(G48&lt;G53,0,G48-G53)</f>
        <v>0</v>
      </c>
    </row>
    <row r="59" spans="1:7" hidden="1">
      <c r="A59" s="54"/>
      <c r="B59" s="59"/>
      <c r="C59" s="59"/>
      <c r="D59" s="59"/>
      <c r="E59" s="59"/>
      <c r="F59" s="59"/>
      <c r="G59" s="60"/>
    </row>
    <row r="60" spans="1:7" hidden="1">
      <c r="A60" s="54"/>
      <c r="B60" s="59"/>
      <c r="C60" s="59"/>
      <c r="D60" s="59"/>
      <c r="E60" s="59"/>
      <c r="F60" s="59"/>
      <c r="G60" s="60"/>
    </row>
    <row r="61" spans="1:7" hidden="1">
      <c r="A61" s="54"/>
      <c r="B61" s="59"/>
      <c r="C61" s="59"/>
      <c r="D61" s="59"/>
      <c r="E61" s="59"/>
      <c r="F61" s="59"/>
      <c r="G61" s="60"/>
    </row>
    <row r="62" spans="1:7" hidden="1">
      <c r="A62" s="54"/>
      <c r="B62" s="59"/>
      <c r="C62" s="59"/>
      <c r="D62" s="59"/>
      <c r="E62" s="59"/>
      <c r="F62" s="59"/>
      <c r="G62" s="60"/>
    </row>
    <row r="63" spans="1:7" hidden="1">
      <c r="A63" s="54"/>
      <c r="B63" s="59"/>
      <c r="C63" s="59"/>
      <c r="D63" s="59"/>
      <c r="E63" s="59"/>
      <c r="F63" s="59"/>
      <c r="G63" s="60"/>
    </row>
    <row r="64" spans="1:7" hidden="1">
      <c r="A64" s="54"/>
      <c r="B64" s="59"/>
      <c r="C64" s="59"/>
      <c r="D64" s="59"/>
      <c r="E64" s="59"/>
      <c r="F64" s="59"/>
      <c r="G64" s="60"/>
    </row>
    <row r="65" spans="1:7" hidden="1">
      <c r="A65" s="54"/>
      <c r="B65" s="59"/>
      <c r="C65" s="59"/>
      <c r="D65" s="59"/>
      <c r="E65" s="59"/>
      <c r="F65" s="59"/>
      <c r="G65" s="60"/>
    </row>
    <row r="66" spans="1:7" hidden="1">
      <c r="A66" s="54"/>
      <c r="B66" s="59"/>
      <c r="C66" s="59"/>
      <c r="D66" s="59"/>
      <c r="E66" s="59"/>
      <c r="F66" s="59"/>
      <c r="G66" s="60"/>
    </row>
    <row r="67" spans="1:7" hidden="1">
      <c r="A67" s="54"/>
      <c r="B67" s="59"/>
      <c r="C67" s="59"/>
      <c r="D67" s="59"/>
      <c r="E67" s="59"/>
      <c r="F67" s="59"/>
      <c r="G67" s="60"/>
    </row>
    <row r="68" spans="1:7" hidden="1">
      <c r="A68" s="54"/>
      <c r="B68" s="59"/>
      <c r="C68" s="59"/>
      <c r="D68" s="59"/>
      <c r="E68" s="59"/>
      <c r="F68" s="59"/>
      <c r="G68" s="60"/>
    </row>
    <row r="69" spans="1:7" hidden="1">
      <c r="A69" s="54"/>
      <c r="B69" s="59"/>
      <c r="C69" s="59"/>
      <c r="D69" s="59"/>
      <c r="E69" s="59"/>
      <c r="F69" s="59"/>
      <c r="G69" s="60"/>
    </row>
    <row r="70" spans="1:7" hidden="1">
      <c r="A70" s="54"/>
      <c r="B70" s="59"/>
      <c r="C70" s="59"/>
      <c r="D70" s="59"/>
      <c r="E70" s="59"/>
      <c r="F70" s="59"/>
      <c r="G70" s="60"/>
    </row>
    <row r="71" spans="1:7" hidden="1">
      <c r="A71" s="54"/>
      <c r="B71" s="59"/>
      <c r="C71" s="59"/>
      <c r="D71" s="59"/>
      <c r="E71" s="59"/>
      <c r="F71" s="59"/>
      <c r="G71" s="60"/>
    </row>
    <row r="72" spans="1:7" hidden="1">
      <c r="A72" s="54"/>
      <c r="B72" s="59"/>
      <c r="C72" s="59"/>
      <c r="D72" s="59"/>
      <c r="E72" s="59"/>
      <c r="F72" s="59"/>
      <c r="G72" s="60"/>
    </row>
    <row r="73" spans="1:7" hidden="1">
      <c r="A73" s="54"/>
      <c r="B73" s="59"/>
      <c r="C73" s="59"/>
      <c r="D73" s="59"/>
      <c r="E73" s="59"/>
      <c r="F73" s="59"/>
      <c r="G73" s="60"/>
    </row>
    <row r="74" spans="1:7" hidden="1">
      <c r="A74" s="54"/>
      <c r="B74" s="59"/>
      <c r="C74" s="59"/>
      <c r="D74" s="59"/>
      <c r="E74" s="59"/>
      <c r="F74" s="59"/>
      <c r="G74" s="60"/>
    </row>
    <row r="75" spans="1:7" hidden="1">
      <c r="A75" s="54"/>
      <c r="B75" s="59"/>
      <c r="C75" s="59"/>
      <c r="D75" s="59"/>
      <c r="E75" s="59"/>
      <c r="F75" s="59"/>
      <c r="G75" s="60"/>
    </row>
    <row r="76" spans="1:7" hidden="1">
      <c r="A76" s="54"/>
      <c r="B76" s="59"/>
      <c r="C76" s="59"/>
      <c r="D76" s="59"/>
      <c r="E76" s="59"/>
      <c r="F76" s="59"/>
      <c r="G76" s="60"/>
    </row>
    <row r="77" spans="1:7" hidden="1">
      <c r="A77" s="54"/>
      <c r="B77" s="59"/>
      <c r="C77" s="59"/>
      <c r="D77" s="59"/>
      <c r="E77" s="59"/>
      <c r="F77" s="59"/>
      <c r="G77" s="60"/>
    </row>
    <row r="78" spans="1:7" hidden="1">
      <c r="A78" s="54"/>
      <c r="B78" s="59"/>
      <c r="C78" s="59"/>
      <c r="D78" s="59"/>
      <c r="E78" s="59"/>
      <c r="F78" s="59"/>
      <c r="G78" s="60"/>
    </row>
    <row r="79" spans="1:7" hidden="1">
      <c r="A79" s="54"/>
      <c r="B79" s="59"/>
      <c r="C79" s="59"/>
      <c r="D79" s="59"/>
      <c r="E79" s="59"/>
      <c r="F79" s="59"/>
      <c r="G79" s="60"/>
    </row>
    <row r="80" spans="1:7">
      <c r="A80" s="54" t="s">
        <v>49</v>
      </c>
      <c r="B80" s="55">
        <f>IF(B33=0,0,B8/B33)</f>
        <v>0</v>
      </c>
      <c r="C80" s="55">
        <f t="shared" ref="C80:G80" si="9">IF(C33=0,0,C8/C33)</f>
        <v>0</v>
      </c>
      <c r="D80" s="55">
        <f t="shared" si="9"/>
        <v>0</v>
      </c>
      <c r="E80" s="55">
        <f t="shared" si="9"/>
        <v>0</v>
      </c>
      <c r="F80" s="55">
        <f t="shared" si="9"/>
        <v>0</v>
      </c>
      <c r="G80" s="56">
        <f t="shared" si="9"/>
        <v>0</v>
      </c>
    </row>
    <row r="81" spans="1:7">
      <c r="A81" s="77" t="s">
        <v>50</v>
      </c>
      <c r="B81" s="78">
        <f>IF(B33=0,0,(B15+B29+B31)/B33)</f>
        <v>0</v>
      </c>
      <c r="C81" s="78">
        <f t="shared" ref="C81:G81" si="10">IF(C33=0,0,(C15+C29+C31)/C33)</f>
        <v>0</v>
      </c>
      <c r="D81" s="78">
        <f t="shared" si="10"/>
        <v>0</v>
      </c>
      <c r="E81" s="78">
        <f t="shared" si="10"/>
        <v>0</v>
      </c>
      <c r="F81" s="78">
        <f t="shared" si="10"/>
        <v>0</v>
      </c>
      <c r="G81" s="79">
        <f t="shared" si="10"/>
        <v>0</v>
      </c>
    </row>
    <row r="82" spans="1:7">
      <c r="B82" s="11"/>
    </row>
  </sheetData>
  <mergeCells count="6">
    <mergeCell ref="B5:G5"/>
    <mergeCell ref="B6:D6"/>
    <mergeCell ref="A1:A5"/>
    <mergeCell ref="A6:A7"/>
    <mergeCell ref="G6:G7"/>
    <mergeCell ref="B1:G4"/>
  </mergeCells>
  <conditionalFormatting sqref="B16:G16">
    <cfRule type="cellIs" dxfId="5" priority="3" operator="lessThan">
      <formula>0</formula>
    </cfRule>
  </conditionalFormatting>
  <conditionalFormatting sqref="B28:G28">
    <cfRule type="cellIs" dxfId="4" priority="2" operator="lessThan">
      <formula>0</formula>
    </cfRule>
  </conditionalFormatting>
  <conditionalFormatting sqref="B30:G30">
    <cfRule type="cellIs" dxfId="3" priority="1" operator="lessThan">
      <formula>0</formula>
    </cfRule>
  </conditionalFormatting>
  <conditionalFormatting sqref="B32:G32">
    <cfRule type="cellIs" dxfId="2" priority="4" operator="lessThan">
      <formula>0</formula>
    </cfRule>
  </conditionalFormatting>
  <conditionalFormatting sqref="B43:G43">
    <cfRule type="cellIs" dxfId="1" priority="6" operator="lessThan">
      <formula>-77642.37</formula>
    </cfRule>
  </conditionalFormatting>
  <conditionalFormatting sqref="B43:G49">
    <cfRule type="cellIs" dxfId="0" priority="5" operator="lessThan">
      <formula>0</formula>
    </cfRule>
  </conditionalFormatting>
  <pageMargins left="0.88" right="0.7" top="0.75" bottom="0.75" header="0.3" footer="0.3"/>
  <pageSetup paperSize="9"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MARCH 2026</vt:lpstr>
      <vt:lpstr>'MARCH 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Alywin Aidan Baje</dc:creator>
  <cp:lastModifiedBy>Alywin Aidan Baje</cp:lastModifiedBy>
  <cp:lastPrinted>2026-06-08T10:13:41Z</cp:lastPrinted>
  <dcterms:created xsi:type="dcterms:W3CDTF">2025-01-08T06:41:00Z</dcterms:created>
  <dcterms:modified xsi:type="dcterms:W3CDTF">2026-07-18T01:06:50Z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8F9BB40984464F7C8F603B3D0FF25D07_13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