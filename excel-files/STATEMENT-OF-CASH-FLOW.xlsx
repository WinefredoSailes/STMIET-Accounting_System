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13_ncr:1_{769358F7-6247-4622-9271-DC2F8099CCAC}" xr6:coauthVersionLast="47" xr6:coauthVersionMax="47" xr10:uidLastSave="{00000000-0000-0000-0000-000000000000}"/>
  <bookViews>
    <workbookView xWindow="-108" yWindow="-108" windowWidth="23256" windowHeight="12456" activeTab="4" xr2:uid="{A570C9A1-C144-432E-9C10-769910E845C0}"/>
  </bookViews>
  <sheets>
    <sheet name="CF" sheetId="1" r:id="rId1"/>
    <sheet name="COLLECTIBLES" sheetId="5" state="hidden" r:id="rId2"/>
    <sheet name="CASH SHORT" sheetId="6" state="hidden" r:id="rId3"/>
    <sheet name="Chart1" sheetId="8" state="hidden" r:id="rId4"/>
    <sheet name="CASH, END" sheetId="3" r:id="rId5"/>
    <sheet name="trial;" sheetId="7" state="hidden" r:id="rId6"/>
  </sheets>
  <externalReferences>
    <externalReference r:id="rId7"/>
  </externalReferences>
  <definedNames>
    <definedName name="ChartofAccountsTable">'[1]Chart of Accounts'!$B$7:$C$115</definedName>
    <definedName name="_xlnm.Print_Area" localSheetId="0">CF!$B$1:$I$26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" i="3" l="1"/>
  <c r="Q28" i="3"/>
  <c r="D27" i="3"/>
  <c r="E27" i="3"/>
  <c r="N27" i="3"/>
  <c r="D28" i="3"/>
  <c r="N28" i="3"/>
  <c r="D32" i="3"/>
  <c r="D33" i="3"/>
  <c r="H33" i="3"/>
  <c r="H32" i="3"/>
  <c r="H28" i="3"/>
  <c r="H27" i="3"/>
  <c r="H12" i="3"/>
  <c r="R17" i="3" l="1"/>
  <c r="D29" i="3"/>
  <c r="M33" i="7"/>
  <c r="L33" i="7"/>
  <c r="K33" i="7"/>
  <c r="E33" i="7"/>
  <c r="M32" i="7"/>
  <c r="L32" i="7"/>
  <c r="K32" i="7"/>
  <c r="J32" i="7"/>
  <c r="I32" i="7"/>
  <c r="H32" i="7"/>
  <c r="G32" i="7"/>
  <c r="F32" i="7"/>
  <c r="E32" i="7"/>
  <c r="D32" i="7"/>
  <c r="N28" i="7"/>
  <c r="M28" i="7"/>
  <c r="L28" i="7"/>
  <c r="K28" i="7"/>
  <c r="J28" i="7"/>
  <c r="I28" i="7"/>
  <c r="H28" i="7"/>
  <c r="G28" i="7"/>
  <c r="F28" i="7"/>
  <c r="E28" i="7"/>
  <c r="D28" i="7"/>
  <c r="N27" i="7"/>
  <c r="M27" i="7"/>
  <c r="L27" i="7"/>
  <c r="K27" i="7"/>
  <c r="E27" i="7"/>
  <c r="J26" i="7"/>
  <c r="O26" i="7" s="1"/>
  <c r="D25" i="7"/>
  <c r="O25" i="7" s="1"/>
  <c r="G24" i="7"/>
  <c r="D24" i="7"/>
  <c r="O24" i="7" s="1"/>
  <c r="O23" i="7"/>
  <c r="J22" i="7"/>
  <c r="O22" i="7" s="1"/>
  <c r="J21" i="7"/>
  <c r="I21" i="7"/>
  <c r="F21" i="7"/>
  <c r="D21" i="7"/>
  <c r="I20" i="7"/>
  <c r="H20" i="7"/>
  <c r="O19" i="7"/>
  <c r="O18" i="7"/>
  <c r="O17" i="7"/>
  <c r="N13" i="7"/>
  <c r="O13" i="7" s="1"/>
  <c r="N9" i="7"/>
  <c r="M9" i="7"/>
  <c r="L9" i="7"/>
  <c r="K9" i="7"/>
  <c r="J9" i="7"/>
  <c r="I9" i="7"/>
  <c r="H9" i="7"/>
  <c r="G9" i="7"/>
  <c r="F9" i="7"/>
  <c r="E9" i="7"/>
  <c r="D9" i="7"/>
  <c r="O9" i="7" s="1"/>
  <c r="N7" i="7"/>
  <c r="P6" i="7"/>
  <c r="N6" i="7"/>
  <c r="N5" i="7"/>
  <c r="N8" i="7" s="1"/>
  <c r="N10" i="7" s="1"/>
  <c r="M5" i="7"/>
  <c r="M8" i="7" s="1"/>
  <c r="M10" i="7" s="1"/>
  <c r="L5" i="7"/>
  <c r="L8" i="7" s="1"/>
  <c r="K5" i="7"/>
  <c r="K8" i="7" s="1"/>
  <c r="J5" i="7"/>
  <c r="I5" i="7"/>
  <c r="H5" i="7"/>
  <c r="G5" i="7"/>
  <c r="F5" i="7"/>
  <c r="F8" i="7" s="1"/>
  <c r="E5" i="7"/>
  <c r="E8" i="7" s="1"/>
  <c r="D5" i="7"/>
  <c r="O4" i="7"/>
  <c r="O3" i="7"/>
  <c r="E33" i="3"/>
  <c r="L32" i="3"/>
  <c r="P27" i="3"/>
  <c r="D30" i="3" l="1"/>
  <c r="O28" i="7"/>
  <c r="D8" i="7"/>
  <c r="O5" i="7"/>
  <c r="E10" i="7"/>
  <c r="F10" i="7"/>
  <c r="G12" i="7"/>
  <c r="G8" i="7"/>
  <c r="H12" i="7"/>
  <c r="H8" i="7"/>
  <c r="I12" i="7"/>
  <c r="I8" i="7"/>
  <c r="J12" i="7"/>
  <c r="J8" i="7"/>
  <c r="K10" i="7"/>
  <c r="L10" i="7"/>
  <c r="M29" i="7"/>
  <c r="M14" i="7"/>
  <c r="N29" i="7"/>
  <c r="N14" i="7"/>
  <c r="N32" i="7"/>
  <c r="O6" i="7"/>
  <c r="N33" i="7"/>
  <c r="O7" i="7"/>
  <c r="Q18" i="7"/>
  <c r="P17" i="7"/>
  <c r="H33" i="7"/>
  <c r="H27" i="7"/>
  <c r="O20" i="7"/>
  <c r="I33" i="7"/>
  <c r="I27" i="7"/>
  <c r="D33" i="7"/>
  <c r="D27" i="7"/>
  <c r="O21" i="7"/>
  <c r="F33" i="7"/>
  <c r="F27" i="7"/>
  <c r="J33" i="7"/>
  <c r="J27" i="7"/>
  <c r="G33" i="7"/>
  <c r="G27" i="7"/>
  <c r="M30" i="7"/>
  <c r="N30" i="7"/>
  <c r="G16" i="6"/>
  <c r="H29" i="3" l="1"/>
  <c r="H30" i="3" s="1"/>
  <c r="P7" i="7"/>
  <c r="O27" i="7"/>
  <c r="P26" i="7"/>
  <c r="Q17" i="7"/>
  <c r="O33" i="7"/>
  <c r="Q7" i="7"/>
  <c r="O32" i="7"/>
  <c r="Q6" i="7"/>
  <c r="Q8" i="7"/>
  <c r="L29" i="7"/>
  <c r="L30" i="7" s="1"/>
  <c r="L14" i="7"/>
  <c r="K29" i="7"/>
  <c r="K30" i="7" s="1"/>
  <c r="K14" i="7"/>
  <c r="J10" i="7"/>
  <c r="I10" i="7"/>
  <c r="H10" i="7"/>
  <c r="G10" i="7"/>
  <c r="F29" i="7"/>
  <c r="F30" i="7" s="1"/>
  <c r="F14" i="7"/>
  <c r="E29" i="7"/>
  <c r="E30" i="7" s="1"/>
  <c r="E14" i="7"/>
  <c r="D10" i="7"/>
  <c r="O8" i="7"/>
  <c r="J27" i="3"/>
  <c r="P10" i="7" l="1"/>
  <c r="R8" i="7"/>
  <c r="E11" i="7"/>
  <c r="F11" i="7"/>
  <c r="K11" i="7"/>
  <c r="L11" i="7"/>
  <c r="J11" i="7"/>
  <c r="I11" i="7"/>
  <c r="H11" i="7"/>
  <c r="G11" i="7"/>
  <c r="D11" i="7"/>
  <c r="D29" i="7"/>
  <c r="D30" i="7" s="1"/>
  <c r="D14" i="7"/>
  <c r="O10" i="7"/>
  <c r="G29" i="7"/>
  <c r="G30" i="7" s="1"/>
  <c r="G14" i="7"/>
  <c r="H29" i="7"/>
  <c r="H30" i="7" s="1"/>
  <c r="H14" i="7"/>
  <c r="I29" i="7"/>
  <c r="I30" i="7" s="1"/>
  <c r="I14" i="7"/>
  <c r="J29" i="7"/>
  <c r="J30" i="7" s="1"/>
  <c r="J14" i="7"/>
  <c r="O29" i="7" l="1"/>
  <c r="O30" i="7" s="1"/>
  <c r="O14" i="7"/>
  <c r="Q10" i="7"/>
  <c r="K12" i="3"/>
  <c r="H23" i="1"/>
  <c r="D11" i="3" l="1"/>
  <c r="K29" i="3"/>
  <c r="K11" i="3" l="1"/>
  <c r="H11" i="3"/>
  <c r="G27" i="3"/>
  <c r="O27" i="3"/>
  <c r="M27" i="3"/>
  <c r="L27" i="3"/>
  <c r="K27" i="3"/>
  <c r="I27" i="3"/>
  <c r="F27" i="3"/>
  <c r="G11" i="6" l="1"/>
  <c r="P33" i="3"/>
  <c r="P32" i="3"/>
  <c r="P28" i="3"/>
  <c r="N7" i="6" l="1"/>
  <c r="D12" i="5" l="1"/>
  <c r="E32" i="3" l="1"/>
  <c r="C24" i="5" l="1"/>
  <c r="F26" i="6"/>
  <c r="F28" i="6" s="1"/>
  <c r="D12" i="6" l="1"/>
  <c r="D4" i="6" s="1"/>
  <c r="D6" i="6" s="1"/>
  <c r="D15" i="6" s="1"/>
  <c r="D4" i="5"/>
  <c r="D6" i="5" s="1"/>
  <c r="G24" i="5" l="1"/>
  <c r="G23" i="5"/>
  <c r="G22" i="5"/>
  <c r="G16" i="5"/>
  <c r="N8" i="5"/>
  <c r="G5" i="6"/>
  <c r="H19" i="1" l="1"/>
  <c r="G21" i="5"/>
  <c r="G26" i="5"/>
  <c r="O33" i="3"/>
  <c r="N33" i="3"/>
  <c r="M33" i="3"/>
  <c r="L33" i="3"/>
  <c r="K33" i="3"/>
  <c r="I33" i="3"/>
  <c r="G33" i="3"/>
  <c r="F33" i="3"/>
  <c r="O32" i="3"/>
  <c r="N32" i="3"/>
  <c r="M32" i="3"/>
  <c r="K32" i="3"/>
  <c r="J32" i="3"/>
  <c r="I32" i="3"/>
  <c r="G32" i="3"/>
  <c r="F32" i="3"/>
  <c r="H24" i="1"/>
  <c r="G8" i="6" s="1"/>
  <c r="H20" i="1" l="1"/>
  <c r="H21" i="1" s="1"/>
  <c r="G13" i="6"/>
  <c r="G4" i="6"/>
  <c r="G13" i="5"/>
  <c r="G20" i="5"/>
  <c r="Q32" i="3"/>
  <c r="G14" i="6"/>
  <c r="P29" i="3" l="1"/>
  <c r="P30" i="3" s="1"/>
  <c r="G12" i="6"/>
  <c r="G10" i="6" s="1"/>
  <c r="H7" i="1"/>
  <c r="N5" i="6"/>
  <c r="P7" i="6" s="1"/>
  <c r="P11" i="6" s="1"/>
  <c r="I4" i="6"/>
  <c r="G12" i="5"/>
  <c r="G14" i="5"/>
  <c r="G11" i="5" l="1"/>
  <c r="G10" i="5" s="1"/>
  <c r="D16" i="6"/>
  <c r="D17" i="6" l="1"/>
  <c r="N29" i="3" l="1"/>
  <c r="N30" i="3" s="1"/>
  <c r="I28" i="3"/>
  <c r="G28" i="3"/>
  <c r="G4" i="5" l="1"/>
  <c r="G19" i="5" l="1"/>
  <c r="G25" i="5" s="1"/>
  <c r="G28" i="5" s="1"/>
  <c r="I4" i="5"/>
  <c r="N5" i="5"/>
  <c r="P7" i="5" s="1"/>
  <c r="P11" i="5" s="1"/>
  <c r="G29" i="3"/>
  <c r="G30" i="3" s="1"/>
  <c r="O28" i="3" l="1"/>
  <c r="M28" i="3"/>
  <c r="H12" i="1" l="1"/>
  <c r="K12" i="1" s="1"/>
  <c r="O29" i="3" l="1"/>
  <c r="O30" i="3" s="1"/>
  <c r="H11" i="1"/>
  <c r="H10" i="1"/>
  <c r="H8" i="1"/>
  <c r="K8" i="1" s="1"/>
  <c r="L28" i="3"/>
  <c r="K28" i="3"/>
  <c r="J28" i="3"/>
  <c r="F28" i="3"/>
  <c r="E28" i="3"/>
  <c r="K11" i="1" l="1"/>
  <c r="K10" i="1"/>
  <c r="H17" i="1"/>
  <c r="F29" i="3" l="1"/>
  <c r="F30" i="3" s="1"/>
  <c r="G8" i="5"/>
  <c r="L12" i="3"/>
  <c r="I12" i="3"/>
  <c r="I29" i="3"/>
  <c r="I30" i="3" s="1"/>
  <c r="K30" i="3"/>
  <c r="J12" i="3"/>
  <c r="Q29" i="3" l="1"/>
  <c r="Q30" i="3" s="1"/>
  <c r="M29" i="3"/>
  <c r="M30" i="3" s="1"/>
  <c r="L29" i="3"/>
  <c r="L30" i="3" s="1"/>
  <c r="J29" i="3"/>
  <c r="E29" i="3" l="1"/>
  <c r="E30" i="3" s="1"/>
  <c r="N11" i="3"/>
  <c r="J25" i="1"/>
  <c r="G11" i="3"/>
  <c r="F11" i="3"/>
  <c r="E11" i="3"/>
  <c r="I11" i="3"/>
  <c r="L11" i="3"/>
  <c r="J11" i="3"/>
  <c r="M11" i="3"/>
  <c r="J33" i="3" l="1"/>
  <c r="J30" i="3"/>
  <c r="G6" i="5" l="1"/>
  <c r="H9" i="1"/>
  <c r="Q33" i="3"/>
  <c r="G6" i="6"/>
  <c r="K9" i="1" l="1"/>
  <c r="K13" i="1" s="1"/>
  <c r="H13" i="1"/>
  <c r="H22" i="1" s="1"/>
  <c r="H25" i="1" s="1"/>
  <c r="G7" i="5"/>
  <c r="G9" i="5" s="1"/>
  <c r="G15" i="5" s="1"/>
  <c r="G17" i="5" s="1"/>
  <c r="F17" i="5" s="1"/>
  <c r="I6" i="5"/>
  <c r="I6" i="6"/>
  <c r="G7" i="6"/>
  <c r="G9" i="6" s="1"/>
  <c r="G15" i="6" s="1"/>
  <c r="G17" i="6" s="1"/>
  <c r="K25" i="1" l="1"/>
  <c r="L13" i="1"/>
  <c r="G19" i="6"/>
  <c r="F17" i="6"/>
  <c r="J26" i="1" l="1"/>
  <c r="J27" i="1" s="1"/>
  <c r="I15" i="6"/>
  <c r="I15" i="5"/>
</calcChain>
</file>

<file path=xl/sharedStrings.xml><?xml version="1.0" encoding="utf-8"?>
<sst xmlns="http://schemas.openxmlformats.org/spreadsheetml/2006/main" count="206" uniqueCount="122">
  <si>
    <t>Summary of Cash Flows</t>
  </si>
  <si>
    <t>Amounts in pesos</t>
  </si>
  <si>
    <t>CASH FLOWS ARISING FROM OPERATING ACTIVITIES</t>
  </si>
  <si>
    <t xml:space="preserve">  Collections from Distribution and Hauling  of Petroleum (+) [ Net of inter-account transfer]</t>
  </si>
  <si>
    <t xml:space="preserve">  Other Cash Collections  relating to operating activities (+)</t>
  </si>
  <si>
    <t xml:space="preserve">  Payments to Supplier of  Petroleum Products (-)</t>
  </si>
  <si>
    <t xml:space="preserve">  RFP of Accounts Payable [ i.e other suppliers, 3rd parties] (-)</t>
  </si>
  <si>
    <t xml:space="preserve">  Cash Withdrawn for  PCF Replenishment (-)</t>
  </si>
  <si>
    <t xml:space="preserve">  Other Cash payments relating to operating activities(-)</t>
  </si>
  <si>
    <t>Net cash flows provided by operating activities (+/-)</t>
  </si>
  <si>
    <t>CASH FLOWS FROM INVESTING ACTIVITIES</t>
  </si>
  <si>
    <t>Net cash flows used  in investing activities</t>
  </si>
  <si>
    <t>CASH FLOWS  ARISING FROM FINANCING ACTIVITIES</t>
  </si>
  <si>
    <t xml:space="preserve">  Funds Borrowed from other account  (+)</t>
  </si>
  <si>
    <t xml:space="preserve">  Checks Cleared for Loan / Fund Repayments (-)</t>
  </si>
  <si>
    <t>Net cash flows used  in financing activities (+/-)</t>
  </si>
  <si>
    <t>NET INCREASE / (DECREASE) IN CASH</t>
  </si>
  <si>
    <t>Add: CASH AT THE BEGINNING OF THE CYCLE</t>
  </si>
  <si>
    <t>Less: ADB, Maintaining Balance</t>
  </si>
  <si>
    <t>CASH AVAILABLE AT THE END OF THE CYCLE</t>
  </si>
  <si>
    <t>DISTRIBUTION AND HAULING DEPARTMENT</t>
  </si>
  <si>
    <t>FINANCE AND ACCOUNTING DEPARTMENT</t>
  </si>
  <si>
    <t>PERIOD:  AUG 19-AUG 25, 2025</t>
  </si>
  <si>
    <t>AMOUNT</t>
  </si>
  <si>
    <t>PARTICULARS</t>
  </si>
  <si>
    <t>CASHIER:</t>
  </si>
  <si>
    <t>TOTAL NET AMOUNT CLIENT PAID CURRENT</t>
  </si>
  <si>
    <t>TOTAL AMOUNT CLIENT PAID</t>
  </si>
  <si>
    <t>RECONCILIATION</t>
  </si>
  <si>
    <t xml:space="preserve">TOTAL DEPOT AMOUNT PAID </t>
  </si>
  <si>
    <t>BORROWINGS FROM OTHER ACCOUNT (EW)</t>
  </si>
  <si>
    <t>PASSBOOKS</t>
  </si>
  <si>
    <t>GROSS MARK - UP</t>
  </si>
  <si>
    <t>TOTAL DEPOT AMOUNT PAID</t>
  </si>
  <si>
    <t>GCASH</t>
  </si>
  <si>
    <t>EXCESS CASH REMAINING FROM COLLECTIONS</t>
  </si>
  <si>
    <t>OTHER BANK CREDITS</t>
  </si>
  <si>
    <t>Add: Ending, Available Balance Aug 12, 2025</t>
  </si>
  <si>
    <t>COLLECTED LAST CYCLE</t>
  </si>
  <si>
    <t>TOTAL EXCESS CASH AFTER PAYMENTS TO DEPOT</t>
  </si>
  <si>
    <t>LESS: TUBIL-OFFICE</t>
  </si>
  <si>
    <t>LESS: OTHER PAYMENTS / OUTFLOW ( AUG 05 - AUG 11, 2025)</t>
  </si>
  <si>
    <t>LESS : PREVIOUS ORDERS</t>
  </si>
  <si>
    <t>CASHIER</t>
  </si>
  <si>
    <t xml:space="preserve">  Other Cash payments / transfer relating to operating activities to EW (-)</t>
  </si>
  <si>
    <t>ENDING BALANCE, CASH AVAILABLE  AUG 11, 2025</t>
  </si>
  <si>
    <t>LESS: ADVANCE PAYMENTS FOR NEXT CYCLE*</t>
  </si>
  <si>
    <t>*Cashier</t>
  </si>
  <si>
    <t>LESS: PAYMENTS FROM NON-DHPP / PREVIOUS CYCLES / ADVANCES / ETC</t>
  </si>
  <si>
    <r>
      <t xml:space="preserve">   PAYMENTS COLLECTED FOR NEXT CYCLE (ADVANCES) [ </t>
    </r>
    <r>
      <rPr>
        <i/>
        <sz val="9"/>
        <color theme="1"/>
        <rFont val="Calibri"/>
        <family val="2"/>
        <scheme val="minor"/>
      </rPr>
      <t>Data from Cashier</t>
    </r>
    <r>
      <rPr>
        <i/>
        <sz val="11"/>
        <color theme="1"/>
        <rFont val="Calibri"/>
        <family val="2"/>
        <scheme val="minor"/>
      </rPr>
      <t>]</t>
    </r>
  </si>
  <si>
    <t>OK</t>
  </si>
  <si>
    <t>7c1334</t>
  </si>
  <si>
    <r>
      <t xml:space="preserve">   PAYMENTS COLLECTED FROM PREVIOUS CYCLES  [</t>
    </r>
    <r>
      <rPr>
        <i/>
        <sz val="9"/>
        <color theme="1"/>
        <rFont val="Calibri"/>
        <family val="2"/>
        <scheme val="minor"/>
      </rPr>
      <t>Data from Cashier</t>
    </r>
    <r>
      <rPr>
        <i/>
        <sz val="11"/>
        <color theme="1"/>
        <rFont val="Calibri"/>
        <family val="2"/>
        <scheme val="minor"/>
      </rPr>
      <t>]</t>
    </r>
  </si>
  <si>
    <r>
      <t xml:space="preserve">   PAYMENTS COLLECTED FROM (DMIE / OPS) [ </t>
    </r>
    <r>
      <rPr>
        <i/>
        <sz val="9"/>
        <color theme="1"/>
        <rFont val="Calibri"/>
        <family val="2"/>
        <scheme val="minor"/>
      </rPr>
      <t xml:space="preserve">Data from Cashier </t>
    </r>
    <r>
      <rPr>
        <i/>
        <sz val="11"/>
        <color theme="1"/>
        <rFont val="Calibri"/>
        <family val="2"/>
        <scheme val="minor"/>
      </rPr>
      <t>]</t>
    </r>
  </si>
  <si>
    <r>
      <t xml:space="preserve">   OTHER COLLECTIONS </t>
    </r>
    <r>
      <rPr>
        <i/>
        <sz val="10"/>
        <color theme="1"/>
        <rFont val="Calibri"/>
        <family val="2"/>
        <scheme val="minor"/>
      </rPr>
      <t>[ Bank data ]</t>
    </r>
  </si>
  <si>
    <t>EQUALS: NET AMOUNT  PAID FOR FUEL CURRENT CYCLE (ACCOUNTING)</t>
  </si>
  <si>
    <t>cashier</t>
  </si>
  <si>
    <t>LESS: TOTAL AMOUNT CLIENT PAID  CURRENT CYCLE (HAULING)</t>
  </si>
  <si>
    <t>COH</t>
  </si>
  <si>
    <t>ADD: ADVANCE PAYMENTS LAST CYCLE ( AUG 5-11, 2025 )</t>
  </si>
  <si>
    <t>EW</t>
  </si>
  <si>
    <t>VARIANCE: REMAINING COLLECTIBLES FOR THE CURRENT CYCLE</t>
  </si>
  <si>
    <t>CALICAN</t>
  </si>
  <si>
    <t>ILAYA</t>
  </si>
  <si>
    <t>PERIOD:  NOV 11-NOV 17, 2025</t>
  </si>
  <si>
    <t>PERIOD:  NOV  11 - NOV 17, 2025</t>
  </si>
  <si>
    <t>TOTAL AMOUNT DEPOSITED ( From Nov 11- Nov 17, 2025)</t>
  </si>
  <si>
    <t>TOTAL PAYABLE TO DEPOT</t>
  </si>
  <si>
    <t>TOTAL PAYABLES TO DEPOT ( Cycle Nov 11 - Nov 17, 2025)</t>
  </si>
  <si>
    <t>TOTAL CASH EXCESS FROM COLLECTIONS</t>
  </si>
  <si>
    <t>Add: Ending, Available Balance Nov  10, 2025</t>
  </si>
  <si>
    <t>NET CASH EXCESS AFTER PAYMENTS TO DEPOT</t>
  </si>
  <si>
    <t>LESS: OTHER PAYMENTS / OUTFLOW ( NOV 11 - NOV 17, 2025)</t>
  </si>
  <si>
    <t>PCF</t>
  </si>
  <si>
    <t>NET MARK-UP</t>
  </si>
  <si>
    <t>TOTAL CASH AVAILABLE, AS OF  NOV 17, 2025</t>
  </si>
  <si>
    <t>CASH OUTFLOW</t>
  </si>
  <si>
    <t>LESS: ADVANCE PAYMENTS COLLECTED FOR THE CYCLE</t>
  </si>
  <si>
    <t>EXCESS FUNDS / NET PROFIT</t>
  </si>
  <si>
    <t xml:space="preserve"> NOV. 17, 2025</t>
  </si>
  <si>
    <t>CASH SHORT ACTUAL</t>
  </si>
  <si>
    <t xml:space="preserve"> CASH FOR THE CYCLE</t>
  </si>
  <si>
    <t>PNB</t>
  </si>
  <si>
    <t>PSBC-S</t>
  </si>
  <si>
    <t>PSBC-C</t>
  </si>
  <si>
    <t>KB</t>
  </si>
  <si>
    <t>1VB</t>
  </si>
  <si>
    <t>BDO</t>
  </si>
  <si>
    <t>MBTC</t>
  </si>
  <si>
    <t>RCBC</t>
  </si>
  <si>
    <t>CHINA BANK</t>
  </si>
  <si>
    <t>E.TAN/STPC</t>
  </si>
  <si>
    <t>PCF &amp; COH</t>
  </si>
  <si>
    <t>GRAND TOTAL</t>
  </si>
  <si>
    <t>Beg. Balances, Jan 06, 2026</t>
  </si>
  <si>
    <t>Less: ADB /Maintaining Balance / PCF</t>
  </si>
  <si>
    <t>Available Cash in Bank</t>
  </si>
  <si>
    <t>Add: Deposits</t>
  </si>
  <si>
    <t>Less: Checks Issued/ Withdrawals</t>
  </si>
  <si>
    <t>Available Cash, End. Jan. 12, 2026</t>
  </si>
  <si>
    <t>Add: ADB/Maintaining Balance/ PCF</t>
  </si>
  <si>
    <t xml:space="preserve">TOTAL CASH </t>
  </si>
  <si>
    <t>T-ENDING</t>
  </si>
  <si>
    <t>variance</t>
  </si>
  <si>
    <t xml:space="preserve">  Collections from Distribution and Hauling  of Petroleum (+)</t>
  </si>
  <si>
    <t>RFP of Accounts Payable [ i.e other suppliers, 3rd parties] (-)</t>
  </si>
  <si>
    <t>Inter-account fund transfer / EW (-)</t>
  </si>
  <si>
    <t>Inter-account fund transfer / SA to CA (-)</t>
  </si>
  <si>
    <t xml:space="preserve">  Other Cash payments / transfer relating to operating activities (-)</t>
  </si>
  <si>
    <t xml:space="preserve">  Checks Cleared for Loan / Funds Repayments(-)</t>
  </si>
  <si>
    <t>TOTAL</t>
  </si>
  <si>
    <t>BEGINNING</t>
  </si>
  <si>
    <t>ENDING</t>
  </si>
  <si>
    <t>VARIANCE</t>
  </si>
  <si>
    <t>KB - C</t>
  </si>
  <si>
    <t>KB - S</t>
  </si>
  <si>
    <t>PNB-OPEX</t>
  </si>
  <si>
    <t>Beg. Balances, June 23, 2026</t>
  </si>
  <si>
    <t>Available Cash, End. June 29, 2026</t>
  </si>
  <si>
    <t>PNB - CHECKING</t>
  </si>
  <si>
    <t>For the period cycle June 23 - June 29, 2026</t>
  </si>
  <si>
    <t>SEVEN-TRENT MACHINERIES INDUSTRIAL EQUIPMENT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</si>
</sst>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name val="Tahoma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8"/>
      <color theme="1"/>
      <name val="Arial Narrow"/>
      <family val="2"/>
    </font>
    <font>
      <b/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 Narrow"/>
      <family val="2"/>
    </font>
    <font>
      <sz val="14"/>
      <color theme="1"/>
      <name val="Arial Narrow"/>
      <family val="2"/>
    </font>
    <font>
      <sz val="9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799"/>
        <bgColor rgb="FF000000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6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43" fontId="2" fillId="3" borderId="4" xfId="3" applyFont="1" applyFill="1" applyBorder="1" applyAlignment="1">
      <alignment vertical="center"/>
    </xf>
    <xf numFmtId="43" fontId="2" fillId="4" borderId="4" xfId="3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43" fontId="12" fillId="0" borderId="4" xfId="3" applyFont="1" applyBorder="1"/>
    <xf numFmtId="43" fontId="13" fillId="0" borderId="4" xfId="3" applyFont="1" applyBorder="1"/>
    <xf numFmtId="0" fontId="14" fillId="0" borderId="4" xfId="0" applyFont="1" applyBorder="1"/>
    <xf numFmtId="43" fontId="15" fillId="0" borderId="4" xfId="0" applyNumberFormat="1" applyFont="1" applyBorder="1"/>
    <xf numFmtId="43" fontId="15" fillId="0" borderId="4" xfId="3" applyFont="1" applyBorder="1"/>
    <xf numFmtId="0" fontId="16" fillId="0" borderId="4" xfId="0" applyFont="1" applyBorder="1"/>
    <xf numFmtId="43" fontId="17" fillId="0" borderId="4" xfId="3" applyFont="1" applyBorder="1"/>
    <xf numFmtId="43" fontId="14" fillId="3" borderId="5" xfId="0" applyNumberFormat="1" applyFont="1" applyFill="1" applyBorder="1" applyAlignment="1">
      <alignment vertical="center"/>
    </xf>
    <xf numFmtId="43" fontId="14" fillId="4" borderId="5" xfId="3" applyFont="1" applyFill="1" applyBorder="1" applyAlignment="1">
      <alignment vertical="center"/>
    </xf>
    <xf numFmtId="43" fontId="0" fillId="0" borderId="0" xfId="0" applyNumberFormat="1" applyAlignment="1">
      <alignment vertical="center"/>
    </xf>
    <xf numFmtId="10" fontId="18" fillId="0" borderId="0" xfId="2" applyNumberFormat="1" applyFont="1"/>
    <xf numFmtId="43" fontId="0" fillId="0" borderId="0" xfId="0" applyNumberForma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0" fillId="0" borderId="0" xfId="1" applyFont="1"/>
    <xf numFmtId="0" fontId="16" fillId="0" borderId="0" xfId="0" applyFont="1" applyAlignment="1">
      <alignment horizontal="right"/>
    </xf>
    <xf numFmtId="0" fontId="6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164" fontId="0" fillId="5" borderId="4" xfId="1" applyFont="1" applyFill="1" applyBorder="1"/>
    <xf numFmtId="164" fontId="0" fillId="0" borderId="0" xfId="0" applyNumberFormat="1"/>
    <xf numFmtId="0" fontId="8" fillId="0" borderId="0" xfId="0" applyFont="1"/>
    <xf numFmtId="0" fontId="21" fillId="0" borderId="0" xfId="0" applyFont="1"/>
    <xf numFmtId="0" fontId="22" fillId="0" borderId="0" xfId="0" applyFont="1"/>
    <xf numFmtId="164" fontId="0" fillId="0" borderId="4" xfId="1" applyFont="1" applyBorder="1" applyAlignment="1">
      <alignment vertical="center"/>
    </xf>
    <xf numFmtId="0" fontId="2" fillId="0" borderId="0" xfId="0" applyFont="1"/>
    <xf numFmtId="0" fontId="25" fillId="0" borderId="0" xfId="0" applyFont="1"/>
    <xf numFmtId="0" fontId="26" fillId="0" borderId="0" xfId="0" applyFont="1"/>
    <xf numFmtId="0" fontId="20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43" fontId="2" fillId="0" borderId="0" xfId="0" applyNumberFormat="1" applyFont="1"/>
    <xf numFmtId="0" fontId="28" fillId="0" borderId="0" xfId="0" applyFont="1"/>
    <xf numFmtId="164" fontId="2" fillId="0" borderId="0" xfId="0" applyNumberFormat="1" applyFont="1"/>
    <xf numFmtId="164" fontId="2" fillId="0" borderId="0" xfId="1" applyFont="1"/>
    <xf numFmtId="164" fontId="1" fillId="0" borderId="4" xfId="1" applyFont="1" applyBorder="1" applyAlignment="1">
      <alignment vertical="center"/>
    </xf>
    <xf numFmtId="43" fontId="12" fillId="9" borderId="4" xfId="3" applyFont="1" applyFill="1" applyBorder="1"/>
    <xf numFmtId="164" fontId="1" fillId="6" borderId="4" xfId="1" applyFont="1" applyFill="1" applyBorder="1" applyAlignment="1">
      <alignment vertical="center"/>
    </xf>
    <xf numFmtId="0" fontId="0" fillId="0" borderId="0" xfId="0" applyAlignment="1">
      <alignment horizontal="center"/>
    </xf>
    <xf numFmtId="164" fontId="16" fillId="0" borderId="0" xfId="0" applyNumberFormat="1" applyFont="1"/>
    <xf numFmtId="164" fontId="0" fillId="5" borderId="4" xfId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30" fillId="0" borderId="4" xfId="0" applyFont="1" applyBorder="1" applyAlignment="1">
      <alignment horizontal="center"/>
    </xf>
    <xf numFmtId="164" fontId="0" fillId="10" borderId="4" xfId="1" applyFont="1" applyFill="1" applyBorder="1" applyAlignment="1">
      <alignment vertical="center"/>
    </xf>
    <xf numFmtId="43" fontId="29" fillId="4" borderId="5" xfId="0" applyNumberFormat="1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0" fillId="11" borderId="4" xfId="0" applyFill="1" applyBorder="1"/>
    <xf numFmtId="164" fontId="30" fillId="11" borderId="4" xfId="1" applyFont="1" applyFill="1" applyBorder="1" applyAlignment="1">
      <alignment vertical="center"/>
    </xf>
    <xf numFmtId="0" fontId="2" fillId="11" borderId="4" xfId="0" applyFont="1" applyFill="1" applyBorder="1"/>
    <xf numFmtId="0" fontId="2" fillId="12" borderId="4" xfId="0" applyFont="1" applyFill="1" applyBorder="1"/>
    <xf numFmtId="164" fontId="30" fillId="12" borderId="4" xfId="1" applyFont="1" applyFill="1" applyBorder="1"/>
    <xf numFmtId="0" fontId="30" fillId="0" borderId="8" xfId="0" applyFont="1" applyBorder="1" applyAlignment="1">
      <alignment horizontal="center"/>
    </xf>
    <xf numFmtId="0" fontId="30" fillId="0" borderId="4" xfId="0" applyFont="1" applyBorder="1" applyAlignment="1">
      <alignment vertical="center"/>
    </xf>
    <xf numFmtId="0" fontId="0" fillId="0" borderId="0" xfId="0" applyAlignment="1">
      <alignment horizontal="right"/>
    </xf>
    <xf numFmtId="0" fontId="27" fillId="0" borderId="0" xfId="0" applyFont="1"/>
    <xf numFmtId="0" fontId="2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vertical="center"/>
    </xf>
    <xf numFmtId="164" fontId="0" fillId="0" borderId="0" xfId="1" applyFont="1" applyAlignment="1">
      <alignment vertical="center"/>
    </xf>
    <xf numFmtId="164" fontId="10" fillId="11" borderId="14" xfId="1" applyFont="1" applyFill="1" applyBorder="1" applyAlignment="1">
      <alignment vertical="center"/>
    </xf>
    <xf numFmtId="164" fontId="1" fillId="11" borderId="11" xfId="1" applyFont="1" applyFill="1" applyBorder="1" applyAlignment="1">
      <alignment vertical="center"/>
    </xf>
    <xf numFmtId="164" fontId="2" fillId="12" borderId="4" xfId="0" applyNumberFormat="1" applyFont="1" applyFill="1" applyBorder="1"/>
    <xf numFmtId="164" fontId="34" fillId="12" borderId="4" xfId="0" applyNumberFormat="1" applyFont="1" applyFill="1" applyBorder="1"/>
    <xf numFmtId="43" fontId="2" fillId="12" borderId="9" xfId="0" applyNumberFormat="1" applyFont="1" applyFill="1" applyBorder="1"/>
    <xf numFmtId="0" fontId="34" fillId="13" borderId="4" xfId="0" applyFont="1" applyFill="1" applyBorder="1"/>
    <xf numFmtId="164" fontId="2" fillId="13" borderId="9" xfId="0" applyNumberFormat="1" applyFont="1" applyFill="1" applyBorder="1"/>
    <xf numFmtId="0" fontId="34" fillId="5" borderId="5" xfId="0" applyFont="1" applyFill="1" applyBorder="1"/>
    <xf numFmtId="43" fontId="27" fillId="4" borderId="16" xfId="0" applyNumberFormat="1" applyFont="1" applyFill="1" applyBorder="1"/>
    <xf numFmtId="164" fontId="32" fillId="12" borderId="12" xfId="1" applyFont="1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16" fillId="12" borderId="13" xfId="0" applyFont="1" applyFill="1" applyBorder="1"/>
    <xf numFmtId="164" fontId="16" fillId="12" borderId="10" xfId="0" applyNumberFormat="1" applyFont="1" applyFill="1" applyBorder="1"/>
    <xf numFmtId="0" fontId="16" fillId="12" borderId="15" xfId="0" applyFont="1" applyFill="1" applyBorder="1"/>
    <xf numFmtId="164" fontId="16" fillId="12" borderId="6" xfId="1" applyFont="1" applyFill="1" applyBorder="1"/>
    <xf numFmtId="0" fontId="16" fillId="12" borderId="12" xfId="0" applyFont="1" applyFill="1" applyBorder="1"/>
    <xf numFmtId="164" fontId="16" fillId="12" borderId="7" xfId="1" applyFont="1" applyFill="1" applyBorder="1"/>
    <xf numFmtId="0" fontId="6" fillId="11" borderId="4" xfId="0" applyFont="1" applyFill="1" applyBorder="1" applyAlignment="1">
      <alignment horizontal="right" vertical="center" wrapText="1"/>
    </xf>
    <xf numFmtId="0" fontId="34" fillId="12" borderId="4" xfId="0" applyFont="1" applyFill="1" applyBorder="1" applyAlignment="1">
      <alignment vertical="center"/>
    </xf>
    <xf numFmtId="0" fontId="30" fillId="2" borderId="4" xfId="0" applyFont="1" applyFill="1" applyBorder="1" applyAlignment="1">
      <alignment horizontal="center" vertical="center"/>
    </xf>
    <xf numFmtId="43" fontId="14" fillId="0" borderId="0" xfId="0" applyNumberFormat="1" applyFont="1" applyAlignment="1">
      <alignment vertical="center"/>
    </xf>
    <xf numFmtId="0" fontId="14" fillId="4" borderId="5" xfId="0" applyFont="1" applyFill="1" applyBorder="1" applyAlignment="1">
      <alignment vertical="center"/>
    </xf>
    <xf numFmtId="0" fontId="14" fillId="10" borderId="0" xfId="0" applyFont="1" applyFill="1" applyAlignment="1">
      <alignment vertical="center"/>
    </xf>
    <xf numFmtId="43" fontId="14" fillId="10" borderId="0" xfId="0" applyNumberFormat="1" applyFont="1" applyFill="1" applyAlignment="1">
      <alignment vertical="center"/>
    </xf>
    <xf numFmtId="0" fontId="10" fillId="10" borderId="4" xfId="0" applyFont="1" applyFill="1" applyBorder="1" applyAlignment="1">
      <alignment horizontal="center" vertical="center"/>
    </xf>
    <xf numFmtId="164" fontId="16" fillId="12" borderId="11" xfId="1" applyFont="1" applyFill="1" applyBorder="1"/>
    <xf numFmtId="0" fontId="2" fillId="12" borderId="11" xfId="0" applyFont="1" applyFill="1" applyBorder="1"/>
    <xf numFmtId="0" fontId="2" fillId="12" borderId="14" xfId="0" applyFont="1" applyFill="1" applyBorder="1"/>
    <xf numFmtId="0" fontId="16" fillId="12" borderId="17" xfId="0" applyFont="1" applyFill="1" applyBorder="1" applyAlignment="1">
      <alignment vertical="center"/>
    </xf>
    <xf numFmtId="164" fontId="1" fillId="12" borderId="17" xfId="1" applyFont="1" applyFill="1" applyBorder="1"/>
    <xf numFmtId="0" fontId="2" fillId="12" borderId="12" xfId="0" applyFont="1" applyFill="1" applyBorder="1"/>
    <xf numFmtId="0" fontId="34" fillId="12" borderId="17" xfId="0" applyFont="1" applyFill="1" applyBorder="1" applyAlignment="1">
      <alignment vertical="center"/>
    </xf>
    <xf numFmtId="164" fontId="11" fillId="12" borderId="12" xfId="1" applyFont="1" applyFill="1" applyBorder="1" applyAlignment="1">
      <alignment vertical="center"/>
    </xf>
    <xf numFmtId="164" fontId="11" fillId="12" borderId="4" xfId="1" applyFont="1" applyFill="1" applyBorder="1" applyAlignment="1">
      <alignment vertical="center"/>
    </xf>
    <xf numFmtId="164" fontId="11" fillId="12" borderId="11" xfId="1" applyFont="1" applyFill="1" applyBorder="1" applyAlignment="1">
      <alignment vertical="center"/>
    </xf>
    <xf numFmtId="164" fontId="27" fillId="12" borderId="14" xfId="1" applyFont="1" applyFill="1" applyBorder="1"/>
    <xf numFmtId="0" fontId="2" fillId="4" borderId="4" xfId="0" applyFont="1" applyFill="1" applyBorder="1" applyAlignment="1">
      <alignment horizontal="left" vertical="center"/>
    </xf>
    <xf numFmtId="164" fontId="2" fillId="14" borderId="17" xfId="1" applyFont="1" applyFill="1" applyBorder="1"/>
    <xf numFmtId="164" fontId="2" fillId="14" borderId="14" xfId="1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/>
    </xf>
    <xf numFmtId="164" fontId="36" fillId="4" borderId="17" xfId="1" applyFont="1" applyFill="1" applyBorder="1" applyAlignment="1">
      <alignment vertical="center"/>
    </xf>
    <xf numFmtId="0" fontId="10" fillId="10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left" vertical="center"/>
    </xf>
    <xf numFmtId="0" fontId="16" fillId="12" borderId="4" xfId="0" applyFont="1" applyFill="1" applyBorder="1" applyAlignment="1">
      <alignment horizontal="left" wrapText="1"/>
    </xf>
    <xf numFmtId="0" fontId="16" fillId="12" borderId="4" xfId="0" applyFont="1" applyFill="1" applyBorder="1" applyAlignment="1">
      <alignment wrapText="1"/>
    </xf>
    <xf numFmtId="164" fontId="0" fillId="12" borderId="7" xfId="1" applyFont="1" applyFill="1" applyBorder="1"/>
    <xf numFmtId="164" fontId="0" fillId="0" borderId="3" xfId="1" applyFont="1" applyBorder="1"/>
    <xf numFmtId="43" fontId="0" fillId="0" borderId="0" xfId="0" applyNumberFormat="1" applyAlignment="1">
      <alignment horizontal="center"/>
    </xf>
    <xf numFmtId="4" fontId="37" fillId="7" borderId="18" xfId="0" applyNumberFormat="1" applyFont="1" applyFill="1" applyBorder="1" applyAlignment="1">
      <alignment horizontal="center" vertical="center"/>
    </xf>
    <xf numFmtId="0" fontId="34" fillId="12" borderId="15" xfId="0" applyFont="1" applyFill="1" applyBorder="1"/>
    <xf numFmtId="164" fontId="0" fillId="15" borderId="4" xfId="1" applyFont="1" applyFill="1" applyBorder="1"/>
    <xf numFmtId="164" fontId="0" fillId="0" borderId="0" xfId="1" applyFont="1" applyAlignment="1">
      <alignment horizontal="right"/>
    </xf>
    <xf numFmtId="43" fontId="26" fillId="0" borderId="4" xfId="3" applyFont="1" applyFill="1" applyBorder="1"/>
    <xf numFmtId="43" fontId="26" fillId="0" borderId="4" xfId="3" applyFont="1" applyBorder="1"/>
    <xf numFmtId="164" fontId="19" fillId="8" borderId="0" xfId="1" applyFont="1" applyFill="1"/>
    <xf numFmtId="164" fontId="19" fillId="8" borderId="4" xfId="1" applyFont="1" applyFill="1" applyBorder="1"/>
    <xf numFmtId="164" fontId="1" fillId="5" borderId="4" xfId="1" applyFont="1" applyFill="1" applyBorder="1" applyAlignment="1">
      <alignment vertical="center"/>
    </xf>
    <xf numFmtId="164" fontId="1" fillId="5" borderId="4" xfId="1" applyFont="1" applyFill="1" applyBorder="1"/>
    <xf numFmtId="164" fontId="2" fillId="0" borderId="4" xfId="1" applyFont="1" applyFill="1" applyBorder="1" applyAlignment="1">
      <alignment vertical="center"/>
    </xf>
    <xf numFmtId="43" fontId="28" fillId="0" borderId="0" xfId="0" applyNumberFormat="1" applyFont="1" applyAlignment="1">
      <alignment vertical="center"/>
    </xf>
    <xf numFmtId="43" fontId="28" fillId="0" borderId="0" xfId="0" applyNumberFormat="1" applyFont="1"/>
    <xf numFmtId="0" fontId="2" fillId="0" borderId="0" xfId="0" applyFont="1" applyAlignment="1">
      <alignment horizontal="center"/>
    </xf>
    <xf numFmtId="164" fontId="1" fillId="0" borderId="4" xfId="1" applyFont="1" applyFill="1" applyBorder="1" applyAlignment="1">
      <alignment vertical="center"/>
    </xf>
    <xf numFmtId="164" fontId="11" fillId="0" borderId="0" xfId="1" applyFont="1"/>
    <xf numFmtId="164" fontId="11" fillId="0" borderId="0" xfId="1" applyFont="1" applyFill="1"/>
    <xf numFmtId="164" fontId="1" fillId="16" borderId="0" xfId="1" applyFont="1" applyFill="1"/>
    <xf numFmtId="164" fontId="0" fillId="4" borderId="4" xfId="1" applyFont="1" applyFill="1" applyBorder="1" applyAlignment="1">
      <alignment vertical="center"/>
    </xf>
    <xf numFmtId="3" fontId="0" fillId="0" borderId="0" xfId="0" applyNumberFormat="1"/>
    <xf numFmtId="0" fontId="6" fillId="0" borderId="8" xfId="0" applyFont="1" applyBorder="1" applyAlignment="1">
      <alignment horizontal="right" vertical="center" wrapText="1"/>
    </xf>
    <xf numFmtId="164" fontId="0" fillId="0" borderId="12" xfId="1" applyFont="1" applyBorder="1" applyAlignment="1">
      <alignment vertical="center"/>
    </xf>
    <xf numFmtId="164" fontId="1" fillId="0" borderId="12" xfId="1" applyFont="1" applyBorder="1" applyAlignment="1">
      <alignment vertical="center"/>
    </xf>
    <xf numFmtId="4" fontId="38" fillId="17" borderId="4" xfId="0" applyNumberFormat="1" applyFont="1" applyFill="1" applyBorder="1" applyAlignment="1">
      <alignment horizontal="center" vertical="center"/>
    </xf>
    <xf numFmtId="164" fontId="0" fillId="5" borderId="9" xfId="1" applyFont="1" applyFill="1" applyBorder="1" applyAlignment="1">
      <alignment horizontal="center" vertical="center"/>
    </xf>
    <xf numFmtId="164" fontId="0" fillId="5" borderId="4" xfId="1" applyFont="1" applyFill="1" applyBorder="1" applyAlignment="1">
      <alignment horizontal="center" vertical="center"/>
    </xf>
    <xf numFmtId="4" fontId="38" fillId="15" borderId="4" xfId="0" applyNumberFormat="1" applyFont="1" applyFill="1" applyBorder="1" applyAlignment="1">
      <alignment horizontal="center" vertical="center"/>
    </xf>
    <xf numFmtId="164" fontId="0" fillId="15" borderId="12" xfId="1" applyFont="1" applyFill="1" applyBorder="1" applyAlignment="1">
      <alignment vertical="center"/>
    </xf>
    <xf numFmtId="164" fontId="1" fillId="15" borderId="12" xfId="1" applyFont="1" applyFill="1" applyBorder="1" applyAlignment="1">
      <alignment vertical="center"/>
    </xf>
    <xf numFmtId="164" fontId="0" fillId="15" borderId="4" xfId="1" applyFont="1" applyFill="1" applyBorder="1" applyAlignment="1">
      <alignment horizontal="center" vertical="center"/>
    </xf>
    <xf numFmtId="43" fontId="38" fillId="15" borderId="4" xfId="0" applyNumberFormat="1" applyFont="1" applyFill="1" applyBorder="1" applyAlignment="1">
      <alignment horizontal="center" vertical="center"/>
    </xf>
    <xf numFmtId="164" fontId="0" fillId="15" borderId="4" xfId="1" applyFont="1" applyFill="1" applyBorder="1" applyAlignment="1">
      <alignment vertical="center"/>
    </xf>
    <xf numFmtId="164" fontId="0" fillId="18" borderId="4" xfId="1" applyFont="1" applyFill="1" applyBorder="1" applyAlignment="1">
      <alignment vertical="center"/>
    </xf>
    <xf numFmtId="4" fontId="39" fillId="0" borderId="4" xfId="0" applyNumberFormat="1" applyFont="1" applyBorder="1" applyAlignment="1">
      <alignment horizontal="center" vertical="center"/>
    </xf>
    <xf numFmtId="43" fontId="39" fillId="0" borderId="4" xfId="0" applyNumberFormat="1" applyFont="1" applyBorder="1" applyAlignment="1">
      <alignment horizontal="center" vertical="center"/>
    </xf>
    <xf numFmtId="164" fontId="39" fillId="0" borderId="4" xfId="1" applyFont="1" applyFill="1" applyBorder="1" applyAlignment="1">
      <alignment horizontal="center" vertical="center"/>
    </xf>
    <xf numFmtId="164" fontId="19" fillId="0" borderId="9" xfId="1" applyFont="1" applyFill="1" applyBorder="1" applyAlignment="1">
      <alignment horizontal="center" vertical="center"/>
    </xf>
    <xf numFmtId="164" fontId="19" fillId="0" borderId="4" xfId="1" applyFont="1" applyFill="1" applyBorder="1" applyAlignment="1">
      <alignment horizontal="center" vertical="center"/>
    </xf>
    <xf numFmtId="164" fontId="19" fillId="0" borderId="12" xfId="1" applyFont="1" applyFill="1" applyBorder="1" applyAlignment="1">
      <alignment vertical="center"/>
    </xf>
    <xf numFmtId="164" fontId="19" fillId="0" borderId="4" xfId="1" applyFont="1" applyFill="1" applyBorder="1" applyAlignment="1">
      <alignment vertical="center"/>
    </xf>
    <xf numFmtId="164" fontId="19" fillId="0" borderId="4" xfId="1" applyFont="1" applyFill="1" applyBorder="1"/>
    <xf numFmtId="0" fontId="0" fillId="9" borderId="0" xfId="0" applyFill="1"/>
    <xf numFmtId="0" fontId="3" fillId="9" borderId="0" xfId="0" applyFont="1" applyFill="1"/>
    <xf numFmtId="0" fontId="5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22" fillId="9" borderId="0" xfId="0" applyFont="1" applyFill="1" applyAlignment="1">
      <alignment vertical="center"/>
    </xf>
    <xf numFmtId="0" fontId="9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6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0" fillId="9" borderId="1" xfId="0" applyFont="1" applyFill="1" applyBorder="1" applyAlignment="1">
      <alignment vertical="center"/>
    </xf>
    <xf numFmtId="0" fontId="20" fillId="9" borderId="2" xfId="0" applyFont="1" applyFill="1" applyBorder="1" applyAlignment="1">
      <alignment vertical="center"/>
    </xf>
    <xf numFmtId="0" fontId="23" fillId="9" borderId="1" xfId="0" applyFont="1" applyFill="1" applyBorder="1" applyAlignment="1">
      <alignment vertical="center"/>
    </xf>
    <xf numFmtId="0" fontId="24" fillId="9" borderId="1" xfId="0" applyFont="1" applyFill="1" applyBorder="1" applyAlignment="1">
      <alignment vertical="center"/>
    </xf>
    <xf numFmtId="164" fontId="23" fillId="9" borderId="1" xfId="1" applyFont="1" applyFill="1" applyBorder="1" applyAlignment="1">
      <alignment horizontal="center" vertical="center"/>
    </xf>
    <xf numFmtId="164" fontId="3" fillId="9" borderId="3" xfId="1" applyFont="1" applyFill="1" applyBorder="1" applyAlignment="1">
      <alignment horizontal="center" vertical="center"/>
    </xf>
    <xf numFmtId="164" fontId="5" fillId="9" borderId="1" xfId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164" fontId="3" fillId="9" borderId="0" xfId="1" applyFont="1" applyFill="1" applyBorder="1" applyAlignment="1">
      <alignment horizontal="center" vertical="center"/>
    </xf>
    <xf numFmtId="164" fontId="5" fillId="9" borderId="2" xfId="1" applyFont="1" applyFill="1" applyBorder="1" applyAlignment="1">
      <alignment horizontal="center" vertical="center"/>
    </xf>
    <xf numFmtId="164" fontId="3" fillId="9" borderId="2" xfId="1" applyFont="1" applyFill="1" applyBorder="1" applyAlignment="1">
      <alignment horizontal="center" vertical="center"/>
    </xf>
    <xf numFmtId="164" fontId="7" fillId="9" borderId="3" xfId="1" applyFont="1" applyFill="1" applyBorder="1" applyAlignment="1">
      <alignment horizontal="right"/>
    </xf>
    <xf numFmtId="0" fontId="10" fillId="11" borderId="8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30" fillId="12" borderId="8" xfId="0" applyFont="1" applyFill="1" applyBorder="1" applyAlignment="1">
      <alignment horizontal="center"/>
    </xf>
    <xf numFmtId="0" fontId="30" fillId="12" borderId="9" xfId="0" applyFont="1" applyFill="1" applyBorder="1" applyAlignment="1">
      <alignment horizontal="center"/>
    </xf>
    <xf numFmtId="0" fontId="30" fillId="0" borderId="10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0" fillId="12" borderId="8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B770ADE4-7E84-4B32-9F65-E66C85BE1AE1}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'CASH, END'!$C$2</c:f>
              <c:strCache>
                <c:ptCount val="1"/>
                <c:pt idx="0">
                  <c:v> CASH FOR THE 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END'!$D$2:$Q$2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9-409C-B82C-A9E64293B69F}"/>
            </c:ext>
          </c:extLst>
        </c:ser>
        <c:ser>
          <c:idx val="1"/>
          <c:order val="1"/>
          <c:tx>
            <c:strRef>
              <c:f>'CASH, END'!$C$3</c:f>
              <c:strCache>
                <c:ptCount val="1"/>
                <c:pt idx="0">
                  <c:v>Beg. Balances, June 23,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END'!$D$3:$Q$3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C819-409C-B82C-A9E64293B69F}"/>
            </c:ext>
          </c:extLst>
        </c:ser>
        <c:ser>
          <c:idx val="2"/>
          <c:order val="2"/>
          <c:tx>
            <c:strRef>
              <c:f>'CASH, END'!$C$4</c:f>
              <c:strCache>
                <c:ptCount val="1"/>
                <c:pt idx="0">
                  <c:v>Less: ADB /Maintaining Balance / PCF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END'!$D$4:$Q$4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2-C819-409C-B82C-A9E64293B69F}"/>
            </c:ext>
          </c:extLst>
        </c:ser>
        <c:ser>
          <c:idx val="3"/>
          <c:order val="3"/>
          <c:tx>
            <c:strRef>
              <c:f>'CASH, END'!$C$5</c:f>
              <c:strCache>
                <c:ptCount val="1"/>
                <c:pt idx="0">
                  <c:v>Available Cash in Bank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END'!$D$5:$Q$5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3-C819-409C-B82C-A9E64293B69F}"/>
            </c:ext>
          </c:extLst>
        </c:ser>
        <c:ser>
          <c:idx val="4"/>
          <c:order val="4"/>
          <c:tx>
            <c:strRef>
              <c:f>'CASH, END'!$C$6</c:f>
              <c:strCache>
                <c:ptCount val="1"/>
                <c:pt idx="0">
                  <c:v>Add: Deposits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END'!$D$6:$Q$6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C819-409C-B82C-A9E64293B69F}"/>
            </c:ext>
          </c:extLst>
        </c:ser>
        <c:ser>
          <c:idx val="5"/>
          <c:order val="5"/>
          <c:tx>
            <c:strRef>
              <c:f>'CASH, END'!$C$7</c:f>
              <c:strCache>
                <c:ptCount val="1"/>
                <c:pt idx="0">
                  <c:v>Less: Checks Issued/ Withdrawals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END'!$D$7:$Q$7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5-C819-409C-B82C-A9E64293B69F}"/>
            </c:ext>
          </c:extLst>
        </c:ser>
        <c:ser>
          <c:idx val="6"/>
          <c:order val="6"/>
          <c:tx>
            <c:strRef>
              <c:f>'CASH, END'!$C$8</c:f>
              <c:strCache>
                <c:ptCount val="1"/>
                <c:pt idx="0">
                  <c:v>Available Cash, End. June 29, 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END'!$D$8:$Q$8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6-C819-409C-B82C-A9E64293B69F}"/>
            </c:ext>
          </c:extLst>
        </c:ser>
        <c:ser>
          <c:idx val="7"/>
          <c:order val="7"/>
          <c:tx>
            <c:strRef>
              <c:f>'CASH, END'!$C$9</c:f>
              <c:strCache>
                <c:ptCount val="1"/>
                <c:pt idx="0">
                  <c:v>Add: ADB/Maintaining Balance/ PCF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END'!$D$9:$Q$9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7-C819-409C-B82C-A9E64293B69F}"/>
            </c:ext>
          </c:extLst>
        </c:ser>
        <c:ser>
          <c:idx val="8"/>
          <c:order val="8"/>
          <c:tx>
            <c:strRef>
              <c:f>'CASH, END'!$C$10</c:f>
              <c:strCache>
                <c:ptCount val="1"/>
                <c:pt idx="0">
                  <c:v>TOTAL CASH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END'!$D$10:$Q$10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8-C819-409C-B82C-A9E64293B69F}"/>
            </c:ext>
          </c:extLst>
        </c:ser>
        <c:ser>
          <c:idx val="9"/>
          <c:order val="9"/>
          <c:tx>
            <c:strRef>
              <c:f>'CASH, END'!$C$11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END'!$D$11:$Q$11</c:f>
            </c:numRef>
          </c:val>
          <c:extLst>
            <c:ext xmlns:c16="http://schemas.microsoft.com/office/drawing/2014/chart" uri="{C3380CC4-5D6E-409C-BE32-E72D297353CC}">
              <c16:uniqueId val="{00000009-C819-409C-B82C-A9E64293B69F}"/>
            </c:ext>
          </c:extLst>
        </c:ser>
        <c:ser>
          <c:idx val="10"/>
          <c:order val="10"/>
          <c:tx>
            <c:strRef>
              <c:f>'CASH, END'!$C$12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END'!$D$12:$Q$12</c:f>
            </c:numRef>
          </c:val>
          <c:extLst>
            <c:ext xmlns:c16="http://schemas.microsoft.com/office/drawing/2014/chart" uri="{C3380CC4-5D6E-409C-BE32-E72D297353CC}">
              <c16:uniqueId val="{0000000A-C819-409C-B82C-A9E64293B69F}"/>
            </c:ext>
          </c:extLst>
        </c:ser>
        <c:ser>
          <c:idx val="11"/>
          <c:order val="11"/>
          <c:tx>
            <c:strRef>
              <c:f>'CASH, END'!$C$13</c:f>
              <c:strCache>
                <c:ptCount val="1"/>
                <c:pt idx="0">
                  <c:v>T-ENDING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END'!$D$13:$Q$13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B-C819-409C-B82C-A9E64293B69F}"/>
            </c:ext>
          </c:extLst>
        </c:ser>
        <c:ser>
          <c:idx val="12"/>
          <c:order val="12"/>
          <c:tx>
            <c:strRef>
              <c:f>'CASH, END'!$C$14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'CASH, END'!$D$1:$Q$1</c:f>
              <c:numCache>
                <c:formatCode>General</c:formatCode>
                <c:ptCount val="14"/>
              </c:numCache>
            </c:numRef>
          </c:cat>
          <c:val>
            <c:numRef>
              <c:f>'CASH, END'!$D$14:$Q$14</c:f>
              <c:numCache>
                <c:formatCode>_(* #,##0.00_);_(* \(#,##0.00\);_(* "-"??_);_(@_)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C-C819-409C-B82C-A9E64293B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598767"/>
        <c:axId val="1737599247"/>
      </c:barChart>
      <c:catAx>
        <c:axId val="173759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99247"/>
        <c:crosses val="autoZero"/>
        <c:auto val="1"/>
        <c:lblAlgn val="ctr"/>
        <c:lblOffset val="100"/>
        <c:noMultiLvlLbl val="0"/>
      </c:catAx>
      <c:valAx>
        <c:axId val="17375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9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433CF9-277C-49E8-8249-B2518A2744B2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54539</xdr:colOff>
      <xdr:row>0</xdr:row>
      <xdr:rowOff>116215</xdr:rowOff>
    </xdr:from>
    <xdr:to>
      <xdr:col>8</xdr:col>
      <xdr:colOff>638907</xdr:colOff>
      <xdr:row>3</xdr:row>
      <xdr:rowOff>61008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61A393-8D88-E72F-C818-4A62D189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970" y="116215"/>
          <a:ext cx="584368" cy="583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763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A72FC-A73B-4B8A-2AAF-43C2DFC376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a92760d46d7c6af/RECEIVABLES%20MONITORING%20FOLDER/DHPP%20TRANSACTIONS/General_Journal_DHPP%20TRANSACTIONS-%20OCT%201-7-ALYWIN-DESKTOP-R8RRKSJ.xlsx" TargetMode="External"/><Relationship Id="rId1" Type="http://schemas.openxmlformats.org/officeDocument/2006/relationships/externalLinkPath" Target="https://d.docs.live.net/7a92760d46d7c6af/RECEIVABLES%20MONITORING%20FOLDER/DHPP%20TRANSACTIONS/General_Journal_DHPP%20TRANSACTIONS-%20OCT%201-7-ALYWIN-DESKTOP-R8RRKS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BALANCE"/>
      <sheetName val="Chart of Accounts"/>
      <sheetName val="PAYMENT RECEIPTS"/>
      <sheetName val="UPON DELIVERY"/>
      <sheetName val="FUEL INVENTORY"/>
      <sheetName val="AR-SUPPLIER"/>
      <sheetName val="Copyright-2"/>
      <sheetName val="JOURNAL ENTRY"/>
      <sheetName val="SUPPLIER CODE"/>
    </sheetNames>
    <sheetDataSet>
      <sheetData sheetId="0"/>
      <sheetData sheetId="1">
        <row r="7">
          <cell r="B7">
            <v>1000</v>
          </cell>
          <cell r="C7" t="str">
            <v>ASSETS</v>
          </cell>
        </row>
        <row r="8">
          <cell r="B8">
            <v>1100</v>
          </cell>
          <cell r="C8" t="str">
            <v>Current Assets</v>
          </cell>
        </row>
        <row r="9">
          <cell r="B9">
            <v>1110</v>
          </cell>
          <cell r="C9" t="str">
            <v>CASH - Office</v>
          </cell>
        </row>
        <row r="10">
          <cell r="B10">
            <v>1113</v>
          </cell>
          <cell r="C10" t="str">
            <v>CASH - PNB</v>
          </cell>
        </row>
        <row r="11">
          <cell r="B11">
            <v>1115</v>
          </cell>
          <cell r="C11" t="str">
            <v>CASH - 1st Valley Bank</v>
          </cell>
        </row>
        <row r="12">
          <cell r="B12">
            <v>1117</v>
          </cell>
          <cell r="C12" t="str">
            <v>CASH - MBTC Bank</v>
          </cell>
        </row>
        <row r="13">
          <cell r="B13">
            <v>1119</v>
          </cell>
          <cell r="C13" t="str">
            <v>CASH - EW Bank</v>
          </cell>
        </row>
        <row r="14">
          <cell r="B14">
            <v>1121</v>
          </cell>
          <cell r="C14" t="str">
            <v>CASH - Katipunan Bank</v>
          </cell>
        </row>
        <row r="15">
          <cell r="B15">
            <v>1123</v>
          </cell>
          <cell r="C15" t="str">
            <v>CASH - PSBC</v>
          </cell>
        </row>
        <row r="16">
          <cell r="B16">
            <v>1125</v>
          </cell>
          <cell r="C16" t="str">
            <v>CASH - BDO Network Bank</v>
          </cell>
        </row>
        <row r="17">
          <cell r="B17">
            <v>1127</v>
          </cell>
          <cell r="C17" t="str">
            <v>CASH - Ilaya</v>
          </cell>
        </row>
        <row r="21">
          <cell r="B21">
            <v>1200</v>
          </cell>
          <cell r="C21" t="str">
            <v>RECEIVABLES</v>
          </cell>
        </row>
        <row r="22">
          <cell r="B22">
            <v>1250</v>
          </cell>
          <cell r="C22" t="str">
            <v>A/Receivables- Fuel Clients</v>
          </cell>
        </row>
        <row r="23">
          <cell r="B23">
            <v>1260</v>
          </cell>
          <cell r="C23" t="str">
            <v>A/Receivables- MTHSI</v>
          </cell>
        </row>
        <row r="25">
          <cell r="B25">
            <v>1300</v>
          </cell>
          <cell r="C25" t="str">
            <v>INVENTORIES</v>
          </cell>
        </row>
        <row r="26">
          <cell r="B26">
            <v>1310</v>
          </cell>
          <cell r="C26" t="str">
            <v>Fuel Inventory</v>
          </cell>
        </row>
        <row r="27">
          <cell r="B27">
            <v>1315</v>
          </cell>
          <cell r="C27" t="str">
            <v>Fuel Inventory - Dohinob</v>
          </cell>
        </row>
        <row r="28">
          <cell r="B28">
            <v>1320</v>
          </cell>
          <cell r="C28" t="str">
            <v>Fuel Inventory - Office</v>
          </cell>
        </row>
        <row r="30">
          <cell r="B30">
            <v>1400</v>
          </cell>
          <cell r="C30" t="str">
            <v>PREPAID EXPENSES and OTHER CURRENT ASSETS</v>
          </cell>
        </row>
        <row r="31">
          <cell r="B31">
            <v>1410</v>
          </cell>
          <cell r="C31" t="str">
            <v>PREPAID - Insurance</v>
          </cell>
        </row>
        <row r="32">
          <cell r="B32">
            <v>1420</v>
          </cell>
          <cell r="C32" t="str">
            <v>PREPAID - Rent</v>
          </cell>
        </row>
        <row r="34">
          <cell r="B34">
            <v>1500</v>
          </cell>
          <cell r="C34" t="str">
            <v>FIXED ASSETS</v>
          </cell>
        </row>
        <row r="35">
          <cell r="B35">
            <v>1510</v>
          </cell>
          <cell r="C35" t="str">
            <v>PPE - Computer Equipment</v>
          </cell>
        </row>
        <row r="36">
          <cell r="B36">
            <v>1520</v>
          </cell>
          <cell r="C36" t="str">
            <v>PPE - Machinery and Equipment</v>
          </cell>
        </row>
        <row r="37">
          <cell r="B37">
            <v>1530</v>
          </cell>
          <cell r="C37" t="str">
            <v>PPE - Furniture and Fixtures</v>
          </cell>
        </row>
        <row r="38">
          <cell r="B38">
            <v>1540</v>
          </cell>
          <cell r="C38" t="str">
            <v>PPE - Vehicles</v>
          </cell>
        </row>
        <row r="39">
          <cell r="B39">
            <v>1550</v>
          </cell>
          <cell r="C39" t="str">
            <v>PPE - Leasehold Improvements</v>
          </cell>
        </row>
        <row r="40">
          <cell r="B40">
            <v>1560</v>
          </cell>
          <cell r="C40" t="str">
            <v>PPE - Buildings and Lands</v>
          </cell>
        </row>
        <row r="42">
          <cell r="B42">
            <v>1600</v>
          </cell>
          <cell r="C42" t="str">
            <v>ACCUMULATED DEPRECIATION and AMORTIZATION</v>
          </cell>
        </row>
        <row r="43">
          <cell r="B43">
            <v>1610</v>
          </cell>
          <cell r="C43" t="str">
            <v>ACCUM DEPR - Computer Equipment</v>
          </cell>
        </row>
        <row r="44">
          <cell r="B44">
            <v>1620</v>
          </cell>
          <cell r="C44" t="str">
            <v>ACCUM DEPR - Machinery and Equipment</v>
          </cell>
        </row>
        <row r="45">
          <cell r="B45">
            <v>1630</v>
          </cell>
          <cell r="C45" t="str">
            <v>ACCUM DEPR - Furniture and Fixtures</v>
          </cell>
        </row>
        <row r="46">
          <cell r="B46">
            <v>1640</v>
          </cell>
          <cell r="C46" t="str">
            <v>ACCUM DEPR - Vehicles</v>
          </cell>
        </row>
        <row r="48">
          <cell r="B48">
            <v>2000</v>
          </cell>
          <cell r="C48" t="str">
            <v>LIABILITIES</v>
          </cell>
        </row>
        <row r="50">
          <cell r="B50">
            <v>2100</v>
          </cell>
          <cell r="C50" t="str">
            <v>PAYABLES</v>
          </cell>
        </row>
        <row r="51">
          <cell r="B51">
            <v>2110</v>
          </cell>
          <cell r="C51" t="str">
            <v>A/Payables - Fuel Clients</v>
          </cell>
        </row>
        <row r="52">
          <cell r="B52">
            <v>2120</v>
          </cell>
          <cell r="C52" t="str">
            <v>A/Payables - MTHSI</v>
          </cell>
        </row>
        <row r="53">
          <cell r="B53">
            <v>2130</v>
          </cell>
          <cell r="C53" t="str">
            <v>VAT - Input</v>
          </cell>
        </row>
        <row r="54">
          <cell r="B54">
            <v>2140</v>
          </cell>
          <cell r="C54" t="str">
            <v>VAT - Output</v>
          </cell>
        </row>
        <row r="56">
          <cell r="B56">
            <v>2700</v>
          </cell>
          <cell r="C56" t="str">
            <v>DEBTS</v>
          </cell>
        </row>
        <row r="57">
          <cell r="B57">
            <v>2710</v>
          </cell>
          <cell r="C57" t="str">
            <v>Central Bank Long Term Debts</v>
          </cell>
        </row>
        <row r="58">
          <cell r="B58">
            <v>2720</v>
          </cell>
          <cell r="C58" t="str">
            <v>Financial Company Short Term Debts</v>
          </cell>
        </row>
        <row r="60">
          <cell r="B60">
            <v>3000</v>
          </cell>
          <cell r="C60" t="str">
            <v>OWNER'S EQUITIES</v>
          </cell>
        </row>
        <row r="61">
          <cell r="B61">
            <v>3100</v>
          </cell>
          <cell r="C61" t="str">
            <v>Owner's Capital</v>
          </cell>
        </row>
        <row r="62">
          <cell r="B62">
            <v>3200</v>
          </cell>
          <cell r="C62" t="str">
            <v>Retained Earnings</v>
          </cell>
        </row>
        <row r="63">
          <cell r="B63">
            <v>3300</v>
          </cell>
          <cell r="C63" t="str">
            <v>Current Earnings</v>
          </cell>
        </row>
        <row r="64">
          <cell r="B64">
            <v>3400</v>
          </cell>
          <cell r="C64" t="str">
            <v>Owner's Withdrawal</v>
          </cell>
        </row>
        <row r="66">
          <cell r="B66">
            <v>4000</v>
          </cell>
          <cell r="C66" t="str">
            <v>REVENUE</v>
          </cell>
        </row>
        <row r="67">
          <cell r="B67">
            <v>4100</v>
          </cell>
          <cell r="C67" t="str">
            <v>SALES - Fuel</v>
          </cell>
        </row>
        <row r="68">
          <cell r="B68">
            <v>4101</v>
          </cell>
          <cell r="C68" t="str">
            <v>REVENUE - Product 1</v>
          </cell>
        </row>
        <row r="69">
          <cell r="B69">
            <v>4102</v>
          </cell>
          <cell r="C69" t="str">
            <v>REVENUE - Product 2</v>
          </cell>
        </row>
        <row r="70">
          <cell r="B70">
            <v>4103</v>
          </cell>
          <cell r="C70" t="str">
            <v>REVENUE - Product 3</v>
          </cell>
        </row>
        <row r="71">
          <cell r="B71">
            <v>4200</v>
          </cell>
          <cell r="C71" t="str">
            <v>Sales Discounts - All Products</v>
          </cell>
        </row>
        <row r="72">
          <cell r="B72">
            <v>4201</v>
          </cell>
          <cell r="C72" t="str">
            <v>Sales Discounts - Product 1</v>
          </cell>
        </row>
        <row r="73">
          <cell r="B73">
            <v>4202</v>
          </cell>
          <cell r="C73" t="str">
            <v>Sales Discounts - Product 2</v>
          </cell>
        </row>
        <row r="74">
          <cell r="B74">
            <v>4203</v>
          </cell>
          <cell r="C74" t="str">
            <v>Sales Discounts - Product 3</v>
          </cell>
        </row>
        <row r="75">
          <cell r="B75">
            <v>4300</v>
          </cell>
          <cell r="C75" t="str">
            <v>Sales Returns and Allowances - All Products</v>
          </cell>
        </row>
        <row r="76">
          <cell r="B76">
            <v>4301</v>
          </cell>
          <cell r="C76" t="str">
            <v>Sales Returns and Allowances - Product 1</v>
          </cell>
        </row>
        <row r="77">
          <cell r="B77">
            <v>4302</v>
          </cell>
          <cell r="C77" t="str">
            <v>Sales Returns and Allowances - Product 2</v>
          </cell>
        </row>
        <row r="78">
          <cell r="B78">
            <v>4303</v>
          </cell>
          <cell r="C78" t="str">
            <v>Sales Returns and Allowances - Product 3</v>
          </cell>
        </row>
        <row r="80">
          <cell r="B80">
            <v>5000</v>
          </cell>
          <cell r="C80" t="str">
            <v>COST of GOODS SOLD</v>
          </cell>
        </row>
        <row r="81">
          <cell r="B81">
            <v>5100</v>
          </cell>
          <cell r="C81" t="str">
            <v>COGS - Fuel</v>
          </cell>
        </row>
        <row r="82">
          <cell r="B82">
            <v>5101</v>
          </cell>
          <cell r="C82" t="str">
            <v>COGS - Product 1</v>
          </cell>
        </row>
        <row r="83">
          <cell r="B83">
            <v>5102</v>
          </cell>
          <cell r="C83" t="str">
            <v>COGS - Product 2</v>
          </cell>
        </row>
        <row r="84">
          <cell r="B84">
            <v>5103</v>
          </cell>
          <cell r="C84" t="str">
            <v>COGS - Product 3</v>
          </cell>
        </row>
        <row r="85">
          <cell r="B85">
            <v>5200</v>
          </cell>
          <cell r="C85" t="str">
            <v>Purchase - All Products</v>
          </cell>
        </row>
        <row r="86">
          <cell r="B86">
            <v>5201</v>
          </cell>
          <cell r="C86" t="str">
            <v>Purchase - Product 1</v>
          </cell>
        </row>
        <row r="87">
          <cell r="B87">
            <v>5202</v>
          </cell>
          <cell r="C87" t="str">
            <v>Purchase - Product 2</v>
          </cell>
        </row>
        <row r="88">
          <cell r="B88">
            <v>5203</v>
          </cell>
          <cell r="C88" t="str">
            <v>Purchase - Product 3</v>
          </cell>
        </row>
        <row r="89">
          <cell r="B89">
            <v>5300</v>
          </cell>
          <cell r="C89" t="str">
            <v>Purchase Discounts - All Products</v>
          </cell>
        </row>
        <row r="90">
          <cell r="B90">
            <v>5301</v>
          </cell>
          <cell r="C90" t="str">
            <v>Purchase Discounts - Product 1</v>
          </cell>
        </row>
        <row r="91">
          <cell r="B91">
            <v>5302</v>
          </cell>
          <cell r="C91" t="str">
            <v>Purchase Discounts - Product 2</v>
          </cell>
        </row>
        <row r="92">
          <cell r="B92">
            <v>5303</v>
          </cell>
          <cell r="C92" t="str">
            <v>Purchase Discounts - Product 3</v>
          </cell>
        </row>
        <row r="93">
          <cell r="B93">
            <v>5400</v>
          </cell>
          <cell r="C93" t="str">
            <v>Purchase Returns and Allowances - All Products</v>
          </cell>
        </row>
        <row r="94">
          <cell r="B94">
            <v>5401</v>
          </cell>
          <cell r="C94" t="str">
            <v>Purchase Returns and Allowances - Product 1</v>
          </cell>
        </row>
        <row r="95">
          <cell r="B95">
            <v>5402</v>
          </cell>
          <cell r="C95" t="str">
            <v>Purchase Returns and Allowances - Product 2</v>
          </cell>
        </row>
        <row r="96">
          <cell r="B96">
            <v>5403</v>
          </cell>
          <cell r="C96" t="str">
            <v>Purchase Returns and Allowances - Product 3</v>
          </cell>
        </row>
        <row r="98">
          <cell r="B98">
            <v>6000</v>
          </cell>
          <cell r="C98" t="str">
            <v>OPERATING EXPENSES</v>
          </cell>
        </row>
        <row r="99">
          <cell r="B99">
            <v>6100</v>
          </cell>
          <cell r="C99" t="str">
            <v>EXP - Salaries</v>
          </cell>
        </row>
        <row r="100">
          <cell r="B100">
            <v>6110</v>
          </cell>
          <cell r="C100" t="str">
            <v>EXP - Administration</v>
          </cell>
        </row>
        <row r="101">
          <cell r="B101">
            <v>6120</v>
          </cell>
          <cell r="C101" t="str">
            <v>EXP - Electricity, Water, Phone</v>
          </cell>
        </row>
        <row r="102">
          <cell r="B102">
            <v>6130</v>
          </cell>
          <cell r="C102" t="str">
            <v>EXP - Rent</v>
          </cell>
        </row>
        <row r="103">
          <cell r="B103">
            <v>6140</v>
          </cell>
          <cell r="C103" t="str">
            <v>EXP - Insurance</v>
          </cell>
        </row>
        <row r="104">
          <cell r="B104">
            <v>6150</v>
          </cell>
          <cell r="C104" t="str">
            <v>EXP - Repair and Maintenance</v>
          </cell>
        </row>
        <row r="105">
          <cell r="B105">
            <v>6160</v>
          </cell>
          <cell r="C105" t="str">
            <v>EXP - Office Supplies</v>
          </cell>
        </row>
        <row r="106">
          <cell r="B106">
            <v>6170</v>
          </cell>
          <cell r="C106" t="str">
            <v>EXP - Depreciation Equipment</v>
          </cell>
        </row>
        <row r="107">
          <cell r="B107">
            <v>6180</v>
          </cell>
          <cell r="C107" t="str">
            <v>EXP - Depreciation Vehicles</v>
          </cell>
        </row>
        <row r="108">
          <cell r="B108">
            <v>6190</v>
          </cell>
          <cell r="C108" t="str">
            <v>EXP - Gasoline Expenses</v>
          </cell>
        </row>
        <row r="110">
          <cell r="B110">
            <v>7000</v>
          </cell>
          <cell r="C110" t="str">
            <v>OTHER INCOME</v>
          </cell>
        </row>
        <row r="111">
          <cell r="B111">
            <v>7100</v>
          </cell>
          <cell r="C111" t="str">
            <v>Finance Charge Income</v>
          </cell>
        </row>
        <row r="113">
          <cell r="B113">
            <v>8000</v>
          </cell>
          <cell r="C113" t="str">
            <v>OTHER EXPENSES</v>
          </cell>
        </row>
        <row r="114">
          <cell r="B114">
            <v>8100</v>
          </cell>
          <cell r="C114" t="str">
            <v>EXP - Interests</v>
          </cell>
        </row>
        <row r="115">
          <cell r="B115">
            <v>8200</v>
          </cell>
          <cell r="C115" t="str">
            <v>EXP - Bank Charges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2510-5D37-42CE-8721-9CDA58BA274B}">
  <sheetPr>
    <tabColor rgb="FFFFFF00"/>
  </sheetPr>
  <dimension ref="A1:L31"/>
  <sheetViews>
    <sheetView zoomScale="115" zoomScaleNormal="115" zoomScaleSheetLayoutView="115" workbookViewId="0">
      <selection activeCell="B3" sqref="B3:I3"/>
    </sheetView>
  </sheetViews>
  <sheetFormatPr defaultRowHeight="14.4" x14ac:dyDescent="0.3"/>
  <cols>
    <col min="1" max="1" width="7.6640625" customWidth="1"/>
    <col min="3" max="3" width="11.33203125" bestFit="1" customWidth="1"/>
    <col min="4" max="4" width="13.6640625" customWidth="1"/>
    <col min="5" max="5" width="15.109375" customWidth="1"/>
    <col min="6" max="6" width="1.5546875" hidden="1" customWidth="1"/>
    <col min="8" max="9" width="11.6640625" bestFit="1" customWidth="1"/>
    <col min="10" max="10" width="14.33203125" bestFit="1" customWidth="1"/>
    <col min="11" max="11" width="13.88671875" customWidth="1"/>
    <col min="12" max="12" width="9.33203125" bestFit="1" customWidth="1"/>
  </cols>
  <sheetData>
    <row r="1" spans="1:12" x14ac:dyDescent="0.3">
      <c r="B1" s="153"/>
      <c r="C1" s="153"/>
      <c r="D1" s="153"/>
      <c r="E1" s="153"/>
      <c r="F1" s="153"/>
      <c r="G1" s="153"/>
      <c r="H1" s="153"/>
      <c r="I1" s="153"/>
    </row>
    <row r="2" spans="1:12" ht="18" x14ac:dyDescent="0.35">
      <c r="A2" s="27"/>
      <c r="B2" s="169" t="s">
        <v>121</v>
      </c>
      <c r="C2" s="169"/>
      <c r="D2" s="169"/>
      <c r="E2" s="169"/>
      <c r="F2" s="169"/>
      <c r="G2" s="169"/>
      <c r="H2" s="169"/>
      <c r="I2" s="169"/>
      <c r="J2" s="27"/>
    </row>
    <row r="3" spans="1:12" ht="18" x14ac:dyDescent="0.35">
      <c r="A3" s="28"/>
      <c r="B3" s="170" t="s">
        <v>0</v>
      </c>
      <c r="C3" s="170"/>
      <c r="D3" s="170"/>
      <c r="E3" s="170"/>
      <c r="F3" s="170"/>
      <c r="G3" s="170"/>
      <c r="H3" s="170"/>
      <c r="I3" s="170"/>
      <c r="J3" s="28"/>
    </row>
    <row r="4" spans="1:12" x14ac:dyDescent="0.3">
      <c r="A4" s="29"/>
      <c r="B4" s="171" t="s">
        <v>120</v>
      </c>
      <c r="C4" s="171"/>
      <c r="D4" s="171"/>
      <c r="E4" s="171"/>
      <c r="F4" s="171"/>
      <c r="G4" s="171"/>
      <c r="H4" s="171"/>
      <c r="I4" s="171"/>
      <c r="J4" s="29"/>
    </row>
    <row r="5" spans="1:12" x14ac:dyDescent="0.3">
      <c r="A5" s="1"/>
      <c r="B5" s="154"/>
      <c r="C5" s="154"/>
      <c r="D5" s="154"/>
      <c r="E5" s="154"/>
      <c r="F5" s="154"/>
      <c r="G5" s="154"/>
      <c r="H5" s="175" t="s">
        <v>1</v>
      </c>
      <c r="I5" s="175"/>
      <c r="J5" s="1"/>
    </row>
    <row r="6" spans="1:12" x14ac:dyDescent="0.3">
      <c r="A6" s="2"/>
      <c r="B6" s="155" t="s">
        <v>2</v>
      </c>
      <c r="C6" s="156"/>
      <c r="D6" s="156"/>
      <c r="E6" s="156"/>
      <c r="F6" s="156"/>
      <c r="G6" s="156"/>
      <c r="H6" s="173"/>
      <c r="I6" s="173"/>
      <c r="J6" s="2"/>
      <c r="K6" s="2"/>
    </row>
    <row r="7" spans="1:12" x14ac:dyDescent="0.3">
      <c r="A7" s="2"/>
      <c r="B7" s="157" t="s">
        <v>3</v>
      </c>
      <c r="C7" s="157"/>
      <c r="D7" s="157"/>
      <c r="E7" s="157"/>
      <c r="F7" s="157"/>
      <c r="G7" s="157"/>
      <c r="H7" s="172">
        <f>'CASH, END'!R17</f>
        <v>0</v>
      </c>
      <c r="I7" s="172"/>
      <c r="J7" s="2"/>
      <c r="K7" s="2"/>
    </row>
    <row r="8" spans="1:12" x14ac:dyDescent="0.3">
      <c r="A8" s="2"/>
      <c r="B8" s="157" t="s">
        <v>4</v>
      </c>
      <c r="C8" s="157"/>
      <c r="D8" s="157"/>
      <c r="E8" s="157"/>
      <c r="F8" s="157"/>
      <c r="G8" s="157"/>
      <c r="H8" s="172">
        <f>'CASH, END'!Q18</f>
        <v>0</v>
      </c>
      <c r="I8" s="172"/>
      <c r="J8" s="2"/>
      <c r="K8" s="16">
        <f>H6+H8</f>
        <v>0</v>
      </c>
    </row>
    <row r="9" spans="1:12" x14ac:dyDescent="0.3">
      <c r="A9" s="2"/>
      <c r="B9" s="157" t="s">
        <v>5</v>
      </c>
      <c r="C9" s="157"/>
      <c r="D9" s="157"/>
      <c r="E9" s="157"/>
      <c r="F9" s="157"/>
      <c r="G9" s="157"/>
      <c r="H9" s="172">
        <f>-'CASH, END'!Q20</f>
        <v>0</v>
      </c>
      <c r="I9" s="172"/>
      <c r="J9" s="16"/>
      <c r="K9" s="16">
        <f>H7+H9</f>
        <v>0</v>
      </c>
    </row>
    <row r="10" spans="1:12" x14ac:dyDescent="0.3">
      <c r="A10" s="2"/>
      <c r="B10" s="157" t="s">
        <v>6</v>
      </c>
      <c r="C10" s="157"/>
      <c r="D10" s="157"/>
      <c r="E10" s="157"/>
      <c r="F10" s="157"/>
      <c r="G10" s="157"/>
      <c r="H10" s="172">
        <f>-'CASH, END'!Q21</f>
        <v>0</v>
      </c>
      <c r="I10" s="172"/>
      <c r="J10" s="2"/>
      <c r="K10" s="46">
        <f>H10</f>
        <v>0</v>
      </c>
    </row>
    <row r="11" spans="1:12" x14ac:dyDescent="0.3">
      <c r="A11" s="2"/>
      <c r="B11" s="157" t="s">
        <v>7</v>
      </c>
      <c r="C11" s="157"/>
      <c r="D11" s="157"/>
      <c r="E11" s="157"/>
      <c r="F11" s="157"/>
      <c r="G11" s="157"/>
      <c r="H11" s="172">
        <f>-'CASH, END'!Q22</f>
        <v>0</v>
      </c>
      <c r="I11" s="172"/>
      <c r="J11" s="2"/>
      <c r="K11" s="46">
        <f>H11</f>
        <v>0</v>
      </c>
    </row>
    <row r="12" spans="1:12" x14ac:dyDescent="0.3">
      <c r="A12" s="2"/>
      <c r="B12" s="157" t="s">
        <v>8</v>
      </c>
      <c r="C12" s="157"/>
      <c r="D12" s="157"/>
      <c r="E12" s="157"/>
      <c r="F12" s="157"/>
      <c r="G12" s="157"/>
      <c r="H12" s="167">
        <f>-'CASH, END'!$Q$25</f>
        <v>0</v>
      </c>
      <c r="I12" s="167"/>
      <c r="J12" s="2"/>
      <c r="K12" s="46">
        <f>H12</f>
        <v>0</v>
      </c>
    </row>
    <row r="13" spans="1:12" x14ac:dyDescent="0.3">
      <c r="A13" s="2"/>
      <c r="B13" s="158" t="s">
        <v>9</v>
      </c>
      <c r="C13" s="159"/>
      <c r="D13" s="159"/>
      <c r="E13" s="159"/>
      <c r="F13" s="159"/>
      <c r="G13" s="159"/>
      <c r="H13" s="168">
        <f>H7+H8+H9+H10+H11+H12</f>
        <v>0</v>
      </c>
      <c r="I13" s="168"/>
      <c r="J13" s="2"/>
      <c r="K13" s="16">
        <f>K9+K10+K11+K12+K8</f>
        <v>0</v>
      </c>
      <c r="L13" s="18">
        <f>H13-K13</f>
        <v>0</v>
      </c>
    </row>
    <row r="14" spans="1:12" x14ac:dyDescent="0.3">
      <c r="A14" s="2"/>
      <c r="B14" s="155" t="s">
        <v>10</v>
      </c>
      <c r="C14" s="156"/>
      <c r="D14" s="156"/>
      <c r="E14" s="156"/>
      <c r="F14" s="156"/>
      <c r="G14" s="156"/>
      <c r="H14" s="173"/>
      <c r="I14" s="173"/>
      <c r="J14" s="2"/>
      <c r="K14" s="2"/>
    </row>
    <row r="15" spans="1:12" x14ac:dyDescent="0.3">
      <c r="A15" s="2"/>
      <c r="B15" s="160"/>
      <c r="C15" s="161"/>
      <c r="D15" s="161"/>
      <c r="E15" s="161"/>
      <c r="F15" s="161"/>
      <c r="G15" s="161"/>
      <c r="H15" s="172">
        <v>0</v>
      </c>
      <c r="I15" s="172"/>
      <c r="J15" s="2"/>
      <c r="K15" s="2"/>
    </row>
    <row r="16" spans="1:12" x14ac:dyDescent="0.3">
      <c r="A16" s="2"/>
      <c r="B16" s="160"/>
      <c r="C16" s="161"/>
      <c r="D16" s="161"/>
      <c r="E16" s="161"/>
      <c r="F16" s="161"/>
      <c r="G16" s="161"/>
      <c r="H16" s="167">
        <v>0</v>
      </c>
      <c r="I16" s="167"/>
      <c r="J16" s="2"/>
      <c r="K16" s="2"/>
    </row>
    <row r="17" spans="1:11" x14ac:dyDescent="0.3">
      <c r="A17" s="2"/>
      <c r="B17" s="159" t="s">
        <v>11</v>
      </c>
      <c r="C17" s="159"/>
      <c r="D17" s="159"/>
      <c r="E17" s="159"/>
      <c r="F17" s="159"/>
      <c r="G17" s="159"/>
      <c r="H17" s="168">
        <f>H15+H16</f>
        <v>0</v>
      </c>
      <c r="I17" s="168"/>
      <c r="J17" s="2"/>
      <c r="K17" s="2"/>
    </row>
    <row r="18" spans="1:11" x14ac:dyDescent="0.3">
      <c r="A18" s="2"/>
      <c r="B18" s="155" t="s">
        <v>12</v>
      </c>
      <c r="C18" s="156"/>
      <c r="D18" s="156"/>
      <c r="E18" s="156"/>
      <c r="F18" s="156"/>
      <c r="G18" s="156"/>
      <c r="H18" s="174"/>
      <c r="I18" s="174"/>
      <c r="J18" s="2"/>
      <c r="K18" s="2"/>
    </row>
    <row r="19" spans="1:11" x14ac:dyDescent="0.3">
      <c r="A19" s="2"/>
      <c r="B19" s="157" t="s">
        <v>13</v>
      </c>
      <c r="C19" s="157"/>
      <c r="D19" s="157"/>
      <c r="E19" s="157"/>
      <c r="F19" s="157"/>
      <c r="G19" s="157"/>
      <c r="H19" s="172">
        <f>'CASH, END'!Q19</f>
        <v>0</v>
      </c>
      <c r="I19" s="172"/>
      <c r="J19" s="2"/>
      <c r="K19" s="2"/>
    </row>
    <row r="20" spans="1:11" x14ac:dyDescent="0.3">
      <c r="A20" s="2"/>
      <c r="B20" s="157" t="s">
        <v>14</v>
      </c>
      <c r="C20" s="157"/>
      <c r="D20" s="157"/>
      <c r="E20" s="157"/>
      <c r="F20" s="157"/>
      <c r="G20" s="157"/>
      <c r="H20" s="167">
        <f>-'CASH, END'!Q26</f>
        <v>0</v>
      </c>
      <c r="I20" s="167"/>
      <c r="J20" s="2"/>
      <c r="K20" s="2"/>
    </row>
    <row r="21" spans="1:11" x14ac:dyDescent="0.3">
      <c r="A21" s="2"/>
      <c r="B21" s="158" t="s">
        <v>15</v>
      </c>
      <c r="C21" s="159"/>
      <c r="D21" s="159"/>
      <c r="E21" s="159"/>
      <c r="F21" s="159"/>
      <c r="G21" s="159"/>
      <c r="H21" s="168">
        <f>H20+H19</f>
        <v>0</v>
      </c>
      <c r="I21" s="168"/>
      <c r="J21" s="2"/>
      <c r="K21" s="2"/>
    </row>
    <row r="22" spans="1:11" x14ac:dyDescent="0.3">
      <c r="A22" s="2"/>
      <c r="B22" s="162" t="s">
        <v>16</v>
      </c>
      <c r="C22" s="159"/>
      <c r="D22" s="159"/>
      <c r="E22" s="159"/>
      <c r="F22" s="159"/>
      <c r="G22" s="159"/>
      <c r="H22" s="168">
        <f>H21+H17+H13</f>
        <v>0</v>
      </c>
      <c r="I22" s="168"/>
      <c r="J22" s="2"/>
      <c r="K22" s="2"/>
    </row>
    <row r="23" spans="1:11" x14ac:dyDescent="0.3">
      <c r="A23" s="2"/>
      <c r="B23" s="163" t="s">
        <v>17</v>
      </c>
      <c r="C23" s="156"/>
      <c r="D23" s="156"/>
      <c r="E23" s="156"/>
      <c r="F23" s="156"/>
      <c r="G23" s="156"/>
      <c r="H23" s="168">
        <f>'CASH, END'!Q3</f>
        <v>0</v>
      </c>
      <c r="I23" s="168"/>
      <c r="J23" s="2"/>
      <c r="K23" s="2"/>
    </row>
    <row r="24" spans="1:11" x14ac:dyDescent="0.3">
      <c r="A24" s="2"/>
      <c r="B24" s="163" t="s">
        <v>18</v>
      </c>
      <c r="C24" s="156"/>
      <c r="D24" s="156"/>
      <c r="E24" s="156"/>
      <c r="F24" s="156"/>
      <c r="G24" s="156"/>
      <c r="H24" s="168">
        <f>-'CASH, END'!Q4</f>
        <v>0</v>
      </c>
      <c r="I24" s="168"/>
      <c r="J24" s="2"/>
      <c r="K24" s="2"/>
    </row>
    <row r="25" spans="1:11" ht="21" customHeight="1" x14ac:dyDescent="0.3">
      <c r="A25" s="2"/>
      <c r="B25" s="164" t="s">
        <v>19</v>
      </c>
      <c r="C25" s="165"/>
      <c r="D25" s="165"/>
      <c r="E25" s="165"/>
      <c r="F25" s="165"/>
      <c r="G25" s="165"/>
      <c r="H25" s="166">
        <f>H22+H23+H24</f>
        <v>0</v>
      </c>
      <c r="I25" s="166"/>
      <c r="J25" s="123">
        <f>'CASH, END'!Q8</f>
        <v>0</v>
      </c>
      <c r="K25" s="123">
        <f>H25-J25</f>
        <v>0</v>
      </c>
    </row>
    <row r="26" spans="1:11" x14ac:dyDescent="0.3">
      <c r="J26" s="124">
        <f>H25-H24</f>
        <v>0</v>
      </c>
    </row>
    <row r="27" spans="1:11" x14ac:dyDescent="0.3">
      <c r="J27" s="18">
        <f>J25-J26</f>
        <v>0</v>
      </c>
    </row>
    <row r="28" spans="1:11" x14ac:dyDescent="0.3">
      <c r="B28" s="31"/>
    </row>
    <row r="29" spans="1:11" x14ac:dyDescent="0.3">
      <c r="C29" s="58"/>
      <c r="D29" s="18"/>
    </row>
    <row r="30" spans="1:11" x14ac:dyDescent="0.3">
      <c r="C30" s="58"/>
      <c r="D30" s="110"/>
    </row>
    <row r="31" spans="1:11" x14ac:dyDescent="0.3">
      <c r="C31" s="58"/>
      <c r="D31" s="36"/>
    </row>
  </sheetData>
  <mergeCells count="24">
    <mergeCell ref="H19:I19"/>
    <mergeCell ref="H24:I24"/>
    <mergeCell ref="H9:I9"/>
    <mergeCell ref="H11:I11"/>
    <mergeCell ref="H12:I12"/>
    <mergeCell ref="H10:I10"/>
    <mergeCell ref="H13:I13"/>
    <mergeCell ref="H21:I21"/>
    <mergeCell ref="H25:I25"/>
    <mergeCell ref="H20:I20"/>
    <mergeCell ref="H22:I22"/>
    <mergeCell ref="H23:I23"/>
    <mergeCell ref="B2:I2"/>
    <mergeCell ref="B3:I3"/>
    <mergeCell ref="B4:I4"/>
    <mergeCell ref="H15:I15"/>
    <mergeCell ref="H16:I16"/>
    <mergeCell ref="H14:I14"/>
    <mergeCell ref="H18:I18"/>
    <mergeCell ref="H5:I5"/>
    <mergeCell ref="H6:I6"/>
    <mergeCell ref="H7:I7"/>
    <mergeCell ref="H8:I8"/>
    <mergeCell ref="H17:I17"/>
  </mergeCells>
  <pageMargins left="0.92" right="0.7" top="0.75" bottom="0.75" header="0.3" footer="0.3"/>
  <pageSetup paperSize="9" scale="9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318E-6403-4E72-940F-CC56EC73DB5D}">
  <sheetPr>
    <pageSetUpPr fitToPage="1"/>
  </sheetPr>
  <dimension ref="B1:P31"/>
  <sheetViews>
    <sheetView zoomScaleNormal="100" workbookViewId="0">
      <selection activeCell="N8" sqref="N8"/>
    </sheetView>
  </sheetViews>
  <sheetFormatPr defaultRowHeight="14.4" x14ac:dyDescent="0.3"/>
  <cols>
    <col min="2" max="2" width="15.6640625" customWidth="1"/>
    <col min="3" max="3" width="40.6640625" customWidth="1"/>
    <col min="4" max="4" width="22.5546875" customWidth="1"/>
    <col min="5" max="5" width="1.6640625" customWidth="1"/>
    <col min="6" max="6" width="64.6640625" customWidth="1"/>
    <col min="7" max="7" width="20.6640625" customWidth="1"/>
    <col min="8" max="8" width="2.33203125" customWidth="1"/>
    <col min="9" max="9" width="12.6640625" bestFit="1" customWidth="1"/>
    <col min="11" max="11" width="10.33203125" bestFit="1" customWidth="1"/>
    <col min="13" max="13" width="11.44140625" customWidth="1"/>
    <col min="14" max="14" width="19.33203125" customWidth="1"/>
    <col min="16" max="16" width="14.33203125" customWidth="1"/>
  </cols>
  <sheetData>
    <row r="1" spans="2:16" ht="18" x14ac:dyDescent="0.35">
      <c r="C1" s="176" t="s">
        <v>20</v>
      </c>
      <c r="D1" s="177"/>
      <c r="F1" s="178" t="s">
        <v>21</v>
      </c>
      <c r="G1" s="179"/>
    </row>
    <row r="2" spans="2:16" ht="21.6" customHeight="1" x14ac:dyDescent="0.3">
      <c r="C2" s="57" t="s">
        <v>22</v>
      </c>
      <c r="D2" s="180" t="s">
        <v>23</v>
      </c>
      <c r="F2" s="57" t="s">
        <v>22</v>
      </c>
      <c r="G2" s="182" t="s">
        <v>23</v>
      </c>
    </row>
    <row r="3" spans="2:16" ht="18" x14ac:dyDescent="0.35">
      <c r="C3" s="47" t="s">
        <v>24</v>
      </c>
      <c r="D3" s="181"/>
      <c r="F3" s="56" t="s">
        <v>24</v>
      </c>
      <c r="G3" s="183"/>
      <c r="L3" t="s">
        <v>25</v>
      </c>
    </row>
    <row r="4" spans="2:16" ht="18" x14ac:dyDescent="0.35">
      <c r="B4" s="61"/>
      <c r="C4" s="50" t="s">
        <v>26</v>
      </c>
      <c r="D4" s="52">
        <f>D9</f>
        <v>6615525</v>
      </c>
      <c r="F4" s="54" t="s">
        <v>27</v>
      </c>
      <c r="G4" s="55">
        <f>'CASH, END'!Q17+'CASH, END'!Q18-'CASH, END'!Q24</f>
        <v>0</v>
      </c>
      <c r="I4" s="18">
        <f>D12-G4</f>
        <v>6512925</v>
      </c>
      <c r="M4" s="60" t="s">
        <v>28</v>
      </c>
    </row>
    <row r="5" spans="2:16" ht="15" thickBot="1" x14ac:dyDescent="0.35">
      <c r="B5" s="61"/>
      <c r="C5" s="51" t="s">
        <v>29</v>
      </c>
      <c r="D5" s="65">
        <v>6315100</v>
      </c>
      <c r="F5" s="54" t="s">
        <v>30</v>
      </c>
      <c r="G5" s="109">
        <v>0</v>
      </c>
      <c r="M5" s="58" t="s">
        <v>31</v>
      </c>
      <c r="N5" s="26">
        <f>G4</f>
        <v>0</v>
      </c>
    </row>
    <row r="6" spans="2:16" ht="16.2" thickBot="1" x14ac:dyDescent="0.35">
      <c r="B6" s="61"/>
      <c r="C6" s="53" t="s">
        <v>32</v>
      </c>
      <c r="D6" s="64">
        <f>D4-D5</f>
        <v>300425</v>
      </c>
      <c r="F6" s="90" t="s">
        <v>33</v>
      </c>
      <c r="G6" s="89">
        <f>'CASH, END'!Q20</f>
        <v>0</v>
      </c>
      <c r="I6" s="18">
        <f>D5-G6</f>
        <v>6315100</v>
      </c>
      <c r="M6" s="58" t="s">
        <v>34</v>
      </c>
      <c r="N6" s="21">
        <v>5050</v>
      </c>
    </row>
    <row r="7" spans="2:16" ht="15" thickBot="1" x14ac:dyDescent="0.35">
      <c r="F7" s="91" t="s">
        <v>35</v>
      </c>
      <c r="G7" s="102">
        <f>G4-G6</f>
        <v>0</v>
      </c>
      <c r="M7" s="58" t="s">
        <v>36</v>
      </c>
      <c r="N7" s="21">
        <v>-292.55</v>
      </c>
      <c r="P7" s="18">
        <f>N5+N6+N7+N8+N9+N10+N11</f>
        <v>-39042.550000000003</v>
      </c>
    </row>
    <row r="8" spans="2:16" ht="15" thickBot="1" x14ac:dyDescent="0.35">
      <c r="F8" s="92" t="s">
        <v>37</v>
      </c>
      <c r="G8" s="93">
        <f>CF!H23+CF!H24</f>
        <v>0</v>
      </c>
      <c r="M8" s="58" t="s">
        <v>38</v>
      </c>
      <c r="N8" s="21">
        <f>-43800</f>
        <v>-43800</v>
      </c>
    </row>
    <row r="9" spans="2:16" ht="15" thickBot="1" x14ac:dyDescent="0.35">
      <c r="B9" s="62"/>
      <c r="C9" s="31" t="s">
        <v>27</v>
      </c>
      <c r="D9" s="21">
        <v>6615525</v>
      </c>
      <c r="F9" s="95" t="s">
        <v>39</v>
      </c>
      <c r="G9" s="101">
        <f>SUM(G7:G8)</f>
        <v>0</v>
      </c>
    </row>
    <row r="10" spans="2:16" ht="16.2" customHeight="1" thickBot="1" x14ac:dyDescent="0.35">
      <c r="B10" s="62"/>
      <c r="C10" t="s">
        <v>40</v>
      </c>
      <c r="D10" s="21">
        <v>0</v>
      </c>
      <c r="F10" s="94" t="s">
        <v>41</v>
      </c>
      <c r="G10" s="99">
        <f>SUM(G11:G14)</f>
        <v>0</v>
      </c>
    </row>
    <row r="11" spans="2:16" ht="16.2" customHeight="1" x14ac:dyDescent="0.3">
      <c r="B11" s="62"/>
      <c r="C11" t="s">
        <v>42</v>
      </c>
      <c r="D11" s="110">
        <v>102600</v>
      </c>
      <c r="F11" s="107" t="s">
        <v>6</v>
      </c>
      <c r="G11" s="96">
        <f>-'CASH, END'!$Q$21</f>
        <v>0</v>
      </c>
      <c r="P11" s="18">
        <f>N12-P7</f>
        <v>7724522.5499999998</v>
      </c>
    </row>
    <row r="12" spans="2:16" ht="16.2" customHeight="1" x14ac:dyDescent="0.3">
      <c r="B12" s="62"/>
      <c r="C12" t="s">
        <v>26</v>
      </c>
      <c r="D12" s="36">
        <f>D9-D10-D11</f>
        <v>6512925</v>
      </c>
      <c r="F12" s="108" t="s">
        <v>7</v>
      </c>
      <c r="G12" s="97">
        <f>-'CASH, END'!$Q$22</f>
        <v>0</v>
      </c>
      <c r="I12" s="18"/>
      <c r="M12" t="s">
        <v>43</v>
      </c>
      <c r="N12" s="112">
        <v>7685480</v>
      </c>
    </row>
    <row r="13" spans="2:16" ht="16.2" customHeight="1" x14ac:dyDescent="0.3">
      <c r="F13" s="108" t="s">
        <v>14</v>
      </c>
      <c r="G13" s="97">
        <f>-'CASH, END'!$Q$26</f>
        <v>0</v>
      </c>
    </row>
    <row r="14" spans="2:16" ht="23.4" customHeight="1" thickBot="1" x14ac:dyDescent="0.35">
      <c r="F14" s="106" t="s">
        <v>44</v>
      </c>
      <c r="G14" s="98">
        <f>-'CASH, END'!$Q$25</f>
        <v>0</v>
      </c>
      <c r="H14" s="2"/>
    </row>
    <row r="15" spans="2:16" ht="16.2" thickBot="1" x14ac:dyDescent="0.35">
      <c r="D15" s="21"/>
      <c r="F15" s="100" t="s">
        <v>45</v>
      </c>
      <c r="G15" s="104">
        <f>G9+G10</f>
        <v>0</v>
      </c>
      <c r="I15" s="63">
        <f>CF!H25</f>
        <v>0</v>
      </c>
      <c r="J15" s="18">
        <v>0</v>
      </c>
    </row>
    <row r="16" spans="2:16" x14ac:dyDescent="0.3">
      <c r="F16" s="74" t="s">
        <v>46</v>
      </c>
      <c r="G16" s="73">
        <f>-349405</f>
        <v>-349405</v>
      </c>
      <c r="I16" s="2" t="s">
        <v>47</v>
      </c>
    </row>
    <row r="17" spans="2:11" ht="16.2" thickBot="1" x14ac:dyDescent="0.35">
      <c r="F17" s="103" t="str">
        <f>"ACTUAL CASH " &amp; IF(G17&lt;0, "DEFICIT", IF(G17&gt;0, "EXCESS", "BREAKEVEN")) &amp; " FOR THE CYCLE"</f>
        <v>ACTUAL CASH DEFICIT FOR THE CYCLE</v>
      </c>
      <c r="G17" s="49">
        <f>G15+G16</f>
        <v>-349405</v>
      </c>
    </row>
    <row r="18" spans="2:11" ht="15" thickTop="1" x14ac:dyDescent="0.3"/>
    <row r="19" spans="2:11" x14ac:dyDescent="0.3">
      <c r="F19" s="54" t="s">
        <v>27</v>
      </c>
      <c r="G19" s="66">
        <f>G4</f>
        <v>0</v>
      </c>
    </row>
    <row r="20" spans="2:11" x14ac:dyDescent="0.3">
      <c r="F20" s="54" t="s">
        <v>48</v>
      </c>
      <c r="G20" s="67">
        <f>SUM(G21:G24)</f>
        <v>-597827.55000000005</v>
      </c>
    </row>
    <row r="21" spans="2:11" x14ac:dyDescent="0.3">
      <c r="F21" s="75" t="s">
        <v>49</v>
      </c>
      <c r="G21" s="76">
        <f>G16</f>
        <v>-349405</v>
      </c>
      <c r="H21" t="s">
        <v>50</v>
      </c>
      <c r="I21" s="59"/>
    </row>
    <row r="22" spans="2:11" x14ac:dyDescent="0.3">
      <c r="B22" t="s">
        <v>51</v>
      </c>
      <c r="C22" s="21">
        <v>700000</v>
      </c>
      <c r="F22" s="77" t="s">
        <v>52</v>
      </c>
      <c r="G22" s="78">
        <f>-232750</f>
        <v>-232750</v>
      </c>
    </row>
    <row r="23" spans="2:11" x14ac:dyDescent="0.3">
      <c r="C23" s="115">
        <v>300000</v>
      </c>
      <c r="F23" s="77" t="s">
        <v>53</v>
      </c>
      <c r="G23" s="78">
        <f>-15380</f>
        <v>-15380</v>
      </c>
    </row>
    <row r="24" spans="2:11" x14ac:dyDescent="0.3">
      <c r="C24" s="21">
        <f>C23/C22</f>
        <v>0.42857142857142855</v>
      </c>
      <c r="F24" s="79" t="s">
        <v>54</v>
      </c>
      <c r="G24" s="80">
        <f>-292.55</f>
        <v>-292.55</v>
      </c>
      <c r="I24" s="18">
        <v>8574420</v>
      </c>
    </row>
    <row r="25" spans="2:11" x14ac:dyDescent="0.3">
      <c r="C25" s="21">
        <v>0.25</v>
      </c>
      <c r="F25" s="82" t="s">
        <v>55</v>
      </c>
      <c r="G25" s="68">
        <f>G19+G20</f>
        <v>-597827.55000000005</v>
      </c>
      <c r="I25" s="21">
        <v>8670950</v>
      </c>
      <c r="J25" t="s">
        <v>56</v>
      </c>
    </row>
    <row r="26" spans="2:11" x14ac:dyDescent="0.3">
      <c r="F26" s="69" t="s">
        <v>57</v>
      </c>
      <c r="G26" s="70">
        <f>D12</f>
        <v>6512925</v>
      </c>
      <c r="I26" s="18">
        <v>96530</v>
      </c>
      <c r="J26" t="s">
        <v>58</v>
      </c>
    </row>
    <row r="27" spans="2:11" x14ac:dyDescent="0.3">
      <c r="C27" s="60"/>
      <c r="D27" s="36"/>
      <c r="F27" s="113" t="s">
        <v>59</v>
      </c>
      <c r="G27" s="114">
        <v>968125</v>
      </c>
      <c r="I27" s="21">
        <v>5000</v>
      </c>
      <c r="J27" t="s">
        <v>60</v>
      </c>
    </row>
    <row r="28" spans="2:11" ht="15" thickBot="1" x14ac:dyDescent="0.35">
      <c r="C28" s="58"/>
      <c r="D28" s="39"/>
      <c r="F28" s="71" t="s">
        <v>61</v>
      </c>
      <c r="G28" s="72">
        <f>G25-G26+G27</f>
        <v>-6142627.5499999998</v>
      </c>
      <c r="I28" s="21">
        <v>15000</v>
      </c>
      <c r="J28" t="s">
        <v>62</v>
      </c>
      <c r="K28" s="26">
        <v>78900</v>
      </c>
    </row>
    <row r="29" spans="2:11" ht="15" thickTop="1" x14ac:dyDescent="0.3">
      <c r="C29" s="58"/>
      <c r="D29" s="21"/>
      <c r="I29" s="21">
        <v>51500</v>
      </c>
      <c r="J29" t="s">
        <v>63</v>
      </c>
      <c r="K29" s="18">
        <v>17630</v>
      </c>
    </row>
    <row r="30" spans="2:11" x14ac:dyDescent="0.3">
      <c r="C30" s="58"/>
      <c r="D30" s="21"/>
      <c r="G30" s="18"/>
      <c r="I30" s="18">
        <v>7400</v>
      </c>
      <c r="J30" t="s">
        <v>34</v>
      </c>
    </row>
    <row r="31" spans="2:11" x14ac:dyDescent="0.3">
      <c r="C31" s="58"/>
      <c r="D31" s="21"/>
    </row>
  </sheetData>
  <mergeCells count="4">
    <mergeCell ref="C1:D1"/>
    <mergeCell ref="F1:G1"/>
    <mergeCell ref="D2:D3"/>
    <mergeCell ref="G2:G3"/>
  </mergeCells>
  <conditionalFormatting sqref="G17">
    <cfRule type="cellIs" dxfId="7" priority="1" operator="greaterThan">
      <formula>1</formula>
    </cfRule>
    <cfRule type="cellIs" dxfId="6" priority="2" operator="lessThan">
      <formula>0</formula>
    </cfRule>
    <cfRule type="cellIs" dxfId="5" priority="3" operator="lessThan">
      <formula>-599866.11</formula>
    </cfRule>
  </conditionalFormatting>
  <pageMargins left="0.7" right="0.7" top="0.75" bottom="0.75" header="0.3" footer="0.3"/>
  <pageSetup paperSize="9" scale="63" orientation="landscape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FE6E-DE11-4646-9029-580A3A1BAFE8}">
  <sheetPr>
    <pageSetUpPr fitToPage="1"/>
  </sheetPr>
  <dimension ref="B1:P28"/>
  <sheetViews>
    <sheetView zoomScaleNormal="100" workbookViewId="0">
      <selection activeCell="G16" sqref="G16"/>
    </sheetView>
  </sheetViews>
  <sheetFormatPr defaultRowHeight="14.4" x14ac:dyDescent="0.3"/>
  <cols>
    <col min="2" max="2" width="15.6640625" customWidth="1"/>
    <col min="3" max="3" width="40.6640625" customWidth="1"/>
    <col min="4" max="4" width="22.5546875" customWidth="1"/>
    <col min="5" max="5" width="1.6640625" customWidth="1"/>
    <col min="6" max="6" width="64.6640625" customWidth="1"/>
    <col min="7" max="7" width="20.6640625" customWidth="1"/>
    <col min="8" max="8" width="2.33203125" customWidth="1"/>
    <col min="9" max="9" width="12.6640625" bestFit="1" customWidth="1"/>
    <col min="10" max="10" width="13.5546875" bestFit="1" customWidth="1"/>
    <col min="11" max="11" width="10.33203125" bestFit="1" customWidth="1"/>
    <col min="13" max="13" width="11.44140625" customWidth="1"/>
    <col min="14" max="14" width="19.33203125" customWidth="1"/>
    <col min="16" max="16" width="14.33203125" customWidth="1"/>
  </cols>
  <sheetData>
    <row r="1" spans="2:16" ht="18" x14ac:dyDescent="0.3">
      <c r="C1" s="176" t="s">
        <v>20</v>
      </c>
      <c r="D1" s="177"/>
      <c r="F1" s="184" t="s">
        <v>21</v>
      </c>
      <c r="G1" s="185"/>
    </row>
    <row r="2" spans="2:16" ht="21.6" customHeight="1" x14ac:dyDescent="0.3">
      <c r="C2" s="57" t="s">
        <v>64</v>
      </c>
      <c r="D2" s="180" t="s">
        <v>23</v>
      </c>
      <c r="F2" s="57" t="s">
        <v>65</v>
      </c>
      <c r="G2" s="182" t="s">
        <v>23</v>
      </c>
    </row>
    <row r="3" spans="2:16" ht="18" x14ac:dyDescent="0.35">
      <c r="C3" s="47" t="s">
        <v>24</v>
      </c>
      <c r="D3" s="181"/>
      <c r="F3" s="56" t="s">
        <v>24</v>
      </c>
      <c r="G3" s="183"/>
      <c r="L3" t="s">
        <v>25</v>
      </c>
    </row>
    <row r="4" spans="2:16" ht="18" x14ac:dyDescent="0.35">
      <c r="B4" s="61"/>
      <c r="C4" s="50" t="s">
        <v>26</v>
      </c>
      <c r="D4" s="52">
        <f>D12</f>
        <v>9398277</v>
      </c>
      <c r="F4" s="54" t="s">
        <v>66</v>
      </c>
      <c r="G4" s="55">
        <f>'CASH, END'!Q17+'CASH, END'!Q18-'CASH, END'!Q24</f>
        <v>0</v>
      </c>
      <c r="I4" s="18">
        <f>D12-G4</f>
        <v>9398277</v>
      </c>
      <c r="M4" s="60" t="s">
        <v>28</v>
      </c>
    </row>
    <row r="5" spans="2:16" ht="15" thickBot="1" x14ac:dyDescent="0.35">
      <c r="B5" s="61"/>
      <c r="C5" s="51" t="s">
        <v>67</v>
      </c>
      <c r="D5" s="65">
        <v>9068800</v>
      </c>
      <c r="F5" s="54" t="s">
        <v>30</v>
      </c>
      <c r="G5" s="109">
        <f>'CASH, END'!$Q$19</f>
        <v>0</v>
      </c>
      <c r="M5" s="58" t="s">
        <v>31</v>
      </c>
      <c r="N5" s="26">
        <f>G4</f>
        <v>0</v>
      </c>
    </row>
    <row r="6" spans="2:16" ht="16.2" thickBot="1" x14ac:dyDescent="0.35">
      <c r="B6" s="61"/>
      <c r="C6" s="53" t="s">
        <v>32</v>
      </c>
      <c r="D6" s="64">
        <f>D4-D5</f>
        <v>329477</v>
      </c>
      <c r="F6" s="90" t="s">
        <v>68</v>
      </c>
      <c r="G6" s="89">
        <f>'CASH, END'!Q20</f>
        <v>0</v>
      </c>
      <c r="I6" s="18">
        <f>D5-G6</f>
        <v>9068800</v>
      </c>
      <c r="M6" s="58" t="s">
        <v>34</v>
      </c>
      <c r="N6" s="21">
        <v>17450</v>
      </c>
    </row>
    <row r="7" spans="2:16" ht="15" thickBot="1" x14ac:dyDescent="0.35">
      <c r="F7" s="91" t="s">
        <v>69</v>
      </c>
      <c r="G7" s="102">
        <f>G4+G5-G6</f>
        <v>0</v>
      </c>
      <c r="M7" s="58" t="s">
        <v>36</v>
      </c>
      <c r="N7" s="21">
        <f>-105.19</f>
        <v>-105.19</v>
      </c>
      <c r="P7" s="18">
        <f>N5+N6+N7+N8+N9+N10+N11</f>
        <v>17344.810000000001</v>
      </c>
    </row>
    <row r="8" spans="2:16" ht="15" thickBot="1" x14ac:dyDescent="0.35">
      <c r="F8" s="92" t="s">
        <v>70</v>
      </c>
      <c r="G8" s="93">
        <f>CF!H23+CF!H24</f>
        <v>0</v>
      </c>
      <c r="M8" s="58" t="s">
        <v>38</v>
      </c>
      <c r="N8" s="21">
        <v>0</v>
      </c>
    </row>
    <row r="9" spans="2:16" ht="15" thickBot="1" x14ac:dyDescent="0.35">
      <c r="B9" s="62"/>
      <c r="C9" s="31" t="s">
        <v>27</v>
      </c>
      <c r="D9" s="21">
        <v>9424327</v>
      </c>
      <c r="F9" s="95" t="s">
        <v>71</v>
      </c>
      <c r="G9" s="101">
        <f>SUM(G7:G8)</f>
        <v>0</v>
      </c>
      <c r="M9" s="58" t="s">
        <v>60</v>
      </c>
      <c r="N9" s="21">
        <v>0</v>
      </c>
      <c r="P9" s="18"/>
    </row>
    <row r="10" spans="2:16" ht="16.2" customHeight="1" thickBot="1" x14ac:dyDescent="0.35">
      <c r="B10" s="62"/>
      <c r="C10" t="s">
        <v>40</v>
      </c>
      <c r="D10" s="21">
        <v>26050</v>
      </c>
      <c r="F10" s="94" t="s">
        <v>72</v>
      </c>
      <c r="G10" s="99">
        <f>SUM(G11:G14)</f>
        <v>0</v>
      </c>
      <c r="M10" s="58"/>
      <c r="N10" s="21"/>
    </row>
    <row r="11" spans="2:16" ht="16.2" customHeight="1" x14ac:dyDescent="0.3">
      <c r="B11" s="62"/>
      <c r="C11" t="s">
        <v>42</v>
      </c>
      <c r="D11" s="110">
        <v>0</v>
      </c>
      <c r="F11" s="107" t="s">
        <v>6</v>
      </c>
      <c r="G11" s="96">
        <f>-'CASH, END'!$Q$21</f>
        <v>0</v>
      </c>
      <c r="M11" s="58" t="s">
        <v>73</v>
      </c>
      <c r="N11" s="21"/>
      <c r="P11" s="18">
        <f>N12-P7</f>
        <v>7056400.1900000004</v>
      </c>
    </row>
    <row r="12" spans="2:16" ht="16.2" customHeight="1" x14ac:dyDescent="0.3">
      <c r="B12" s="62"/>
      <c r="C12" t="s">
        <v>26</v>
      </c>
      <c r="D12" s="36">
        <f>D9-D10-D11</f>
        <v>9398277</v>
      </c>
      <c r="F12" s="108" t="s">
        <v>7</v>
      </c>
      <c r="G12" s="97">
        <f>-'CASH, END'!$Q$22</f>
        <v>0</v>
      </c>
      <c r="I12" s="18"/>
      <c r="M12" t="s">
        <v>43</v>
      </c>
      <c r="N12" s="112">
        <v>7073745</v>
      </c>
    </row>
    <row r="13" spans="2:16" ht="16.2" customHeight="1" x14ac:dyDescent="0.3">
      <c r="F13" s="108" t="s">
        <v>14</v>
      </c>
      <c r="G13" s="97">
        <f>-'CASH, END'!$Q$26</f>
        <v>0</v>
      </c>
    </row>
    <row r="14" spans="2:16" ht="23.4" customHeight="1" thickBot="1" x14ac:dyDescent="0.35">
      <c r="F14" s="106" t="s">
        <v>44</v>
      </c>
      <c r="G14" s="98">
        <f>-'CASH, END'!$Q$25</f>
        <v>0</v>
      </c>
      <c r="H14" s="2"/>
    </row>
    <row r="15" spans="2:16" ht="16.2" thickBot="1" x14ac:dyDescent="0.35">
      <c r="C15" s="60" t="s">
        <v>74</v>
      </c>
      <c r="D15" s="21">
        <f>D6</f>
        <v>329477</v>
      </c>
      <c r="F15" s="100" t="s">
        <v>75</v>
      </c>
      <c r="G15" s="104">
        <f>G9+G10</f>
        <v>0</v>
      </c>
      <c r="I15" s="63">
        <f>CF!H25</f>
        <v>0</v>
      </c>
      <c r="J15" s="18">
        <v>0</v>
      </c>
    </row>
    <row r="16" spans="2:16" x14ac:dyDescent="0.3">
      <c r="C16" s="60" t="s">
        <v>76</v>
      </c>
      <c r="D16" s="26">
        <f>G11+G12+G14</f>
        <v>0</v>
      </c>
      <c r="F16" s="74" t="s">
        <v>77</v>
      </c>
      <c r="G16" s="73">
        <f>-53100</f>
        <v>-53100</v>
      </c>
      <c r="I16" s="2" t="s">
        <v>47</v>
      </c>
    </row>
    <row r="17" spans="3:10" ht="16.2" thickBot="1" x14ac:dyDescent="0.35">
      <c r="C17" s="60" t="s">
        <v>78</v>
      </c>
      <c r="D17" s="36">
        <f>D15+D16</f>
        <v>329477</v>
      </c>
      <c r="F17" s="103" t="str">
        <f>"ACTUAL CASH " &amp; IF(G17&lt;0, "DEFICIT", IF(G17&gt;0, "EXCESS", "BREAKEVEN")) &amp; " AS OF THE END THE CYCLE" &amp; J17</f>
        <v>ACTUAL CASH DEFICIT AS OF THE END THE CYCLE NOV. 17, 2025</v>
      </c>
      <c r="G17" s="49">
        <f>G15+G16</f>
        <v>-53100</v>
      </c>
      <c r="J17" t="s">
        <v>79</v>
      </c>
    </row>
    <row r="18" spans="3:10" ht="15" thickTop="1" x14ac:dyDescent="0.3">
      <c r="G18" s="21">
        <v>0</v>
      </c>
    </row>
    <row r="19" spans="3:10" x14ac:dyDescent="0.3">
      <c r="F19" s="60" t="s">
        <v>80</v>
      </c>
      <c r="G19" s="18">
        <f>G18-G17</f>
        <v>53100</v>
      </c>
    </row>
    <row r="24" spans="3:10" x14ac:dyDescent="0.3">
      <c r="F24" s="21">
        <v>150000</v>
      </c>
    </row>
    <row r="25" spans="3:10" x14ac:dyDescent="0.3">
      <c r="F25" s="18">
        <v>4</v>
      </c>
    </row>
    <row r="26" spans="3:10" x14ac:dyDescent="0.3">
      <c r="D26">
        <v>150</v>
      </c>
      <c r="F26" s="21">
        <f>F24*F25</f>
        <v>600000</v>
      </c>
    </row>
    <row r="27" spans="3:10" x14ac:dyDescent="0.3">
      <c r="D27">
        <v>150</v>
      </c>
      <c r="F27" s="21">
        <v>300000</v>
      </c>
    </row>
    <row r="28" spans="3:10" x14ac:dyDescent="0.3">
      <c r="F28">
        <f>F27/F26</f>
        <v>0.5</v>
      </c>
    </row>
  </sheetData>
  <mergeCells count="4">
    <mergeCell ref="C1:D1"/>
    <mergeCell ref="F1:G1"/>
    <mergeCell ref="D2:D3"/>
    <mergeCell ref="G2:G3"/>
  </mergeCells>
  <conditionalFormatting sqref="G17">
    <cfRule type="cellIs" dxfId="4" priority="1" operator="greaterThan">
      <formula>1</formula>
    </cfRule>
    <cfRule type="cellIs" dxfId="3" priority="2" operator="lessThan">
      <formula>0</formula>
    </cfRule>
    <cfRule type="cellIs" dxfId="2" priority="3" operator="lessThan">
      <formula>-599866.11</formula>
    </cfRule>
  </conditionalFormatting>
  <pageMargins left="0.7" right="0.7" top="0.75" bottom="0.75" header="0.3" footer="0.3"/>
  <pageSetup paperSize="9" scale="48" orientation="landscape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BCC7-4FC7-48AA-91DF-B3746526554B}">
  <sheetPr>
    <tabColor rgb="FF92D050"/>
    <pageSetUpPr fitToPage="1"/>
  </sheetPr>
  <dimension ref="C1:Y39"/>
  <sheetViews>
    <sheetView tabSelected="1" topLeftCell="D1" zoomScale="85" zoomScaleNormal="85" workbookViewId="0">
      <pane ySplit="3" topLeftCell="A4" activePane="bottomLeft" state="frozen"/>
      <selection pane="bottomLeft" activeCell="R9" sqref="R9"/>
    </sheetView>
  </sheetViews>
  <sheetFormatPr defaultRowHeight="14.4" x14ac:dyDescent="0.3"/>
  <cols>
    <col min="3" max="3" width="39.88671875" customWidth="1"/>
    <col min="4" max="4" width="15" customWidth="1"/>
    <col min="5" max="5" width="16.88671875" customWidth="1"/>
    <col min="6" max="6" width="12.44140625" customWidth="1"/>
    <col min="7" max="7" width="13.88671875" bestFit="1" customWidth="1"/>
    <col min="8" max="9" width="13.33203125" bestFit="1" customWidth="1"/>
    <col min="10" max="10" width="15.33203125" customWidth="1"/>
    <col min="11" max="11" width="14.88671875" customWidth="1"/>
    <col min="12" max="12" width="14.6640625" customWidth="1"/>
    <col min="13" max="13" width="12.44140625" customWidth="1"/>
    <col min="14" max="14" width="13.88671875" customWidth="1"/>
    <col min="15" max="15" width="14.33203125" customWidth="1"/>
    <col min="16" max="16" width="13.33203125" customWidth="1"/>
    <col min="17" max="17" width="19.33203125" customWidth="1"/>
    <col min="18" max="18" width="15.5546875" customWidth="1"/>
    <col min="19" max="19" width="15" customWidth="1"/>
    <col min="20" max="20" width="12.44140625" customWidth="1"/>
    <col min="21" max="21" width="20" customWidth="1"/>
    <col min="23" max="23" width="11.33203125" customWidth="1"/>
    <col min="24" max="24" width="17.88671875" customWidth="1"/>
  </cols>
  <sheetData>
    <row r="1" spans="3:25" x14ac:dyDescent="0.3"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3:25" ht="28.95" customHeight="1" x14ac:dyDescent="0.3">
      <c r="C2" s="83" t="s">
        <v>81</v>
      </c>
      <c r="D2" s="88" t="s">
        <v>116</v>
      </c>
      <c r="E2" s="88" t="s">
        <v>119</v>
      </c>
      <c r="F2" s="88" t="s">
        <v>83</v>
      </c>
      <c r="G2" s="88" t="s">
        <v>84</v>
      </c>
      <c r="H2" s="88" t="s">
        <v>114</v>
      </c>
      <c r="I2" s="88" t="s">
        <v>115</v>
      </c>
      <c r="J2" s="88" t="s">
        <v>86</v>
      </c>
      <c r="K2" s="88" t="s">
        <v>87</v>
      </c>
      <c r="L2" s="88" t="s">
        <v>88</v>
      </c>
      <c r="M2" s="88" t="s">
        <v>89</v>
      </c>
      <c r="N2" s="88" t="s">
        <v>90</v>
      </c>
      <c r="O2" s="88" t="s">
        <v>91</v>
      </c>
      <c r="P2" s="105" t="s">
        <v>92</v>
      </c>
      <c r="Q2" s="88" t="s">
        <v>93</v>
      </c>
    </row>
    <row r="3" spans="3:25" ht="22.95" customHeight="1" x14ac:dyDescent="0.3">
      <c r="C3" s="3" t="s">
        <v>117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3:25" x14ac:dyDescent="0.3">
      <c r="C4" s="6" t="s">
        <v>95</v>
      </c>
      <c r="D4" s="7"/>
      <c r="E4" s="7"/>
      <c r="F4" s="7"/>
      <c r="G4" s="7"/>
      <c r="H4" s="7"/>
      <c r="I4" s="7"/>
      <c r="J4" s="41"/>
      <c r="K4" s="7"/>
      <c r="L4" s="7"/>
      <c r="M4" s="7"/>
      <c r="N4" s="7"/>
      <c r="O4" s="7"/>
      <c r="P4" s="7"/>
      <c r="Q4" s="8"/>
      <c r="R4" s="18"/>
    </row>
    <row r="5" spans="3:25" x14ac:dyDescent="0.3">
      <c r="C5" s="9" t="s">
        <v>96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spans="3:25" x14ac:dyDescent="0.3">
      <c r="C6" s="12" t="s">
        <v>97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8"/>
      <c r="S6" s="18"/>
      <c r="Y6" s="131">
        <v>49000</v>
      </c>
    </row>
    <row r="7" spans="3:25" x14ac:dyDescent="0.3">
      <c r="C7" s="12" t="s">
        <v>98</v>
      </c>
      <c r="D7" s="116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3"/>
      <c r="P7" s="117"/>
      <c r="Q7" s="8"/>
      <c r="R7" s="18"/>
      <c r="S7" s="18"/>
      <c r="Y7">
        <v>51900</v>
      </c>
    </row>
    <row r="8" spans="3:25" s="2" customFormat="1" ht="21.6" customHeight="1" thickBot="1" x14ac:dyDescent="0.35">
      <c r="C8" s="85" t="s">
        <v>118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S8" s="16"/>
      <c r="T8" s="16"/>
      <c r="Y8" s="2">
        <v>1300</v>
      </c>
    </row>
    <row r="9" spans="3:25" s="2" customFormat="1" ht="21.6" customHeight="1" thickTop="1" x14ac:dyDescent="0.3">
      <c r="C9" s="19" t="s">
        <v>100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S9" s="16"/>
      <c r="T9" s="16"/>
    </row>
    <row r="10" spans="3:25" s="2" customFormat="1" ht="21.6" customHeight="1" x14ac:dyDescent="0.3">
      <c r="C10" s="86" t="s">
        <v>101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16"/>
      <c r="S10" s="16"/>
      <c r="T10" s="16"/>
    </row>
    <row r="11" spans="3:25" hidden="1" x14ac:dyDescent="0.3">
      <c r="D11" s="17" t="e">
        <f t="shared" ref="D11:N11" si="0">D8/$Q$8</f>
        <v>#DIV/0!</v>
      </c>
      <c r="E11" s="17" t="e">
        <f t="shared" si="0"/>
        <v>#DIV/0!</v>
      </c>
      <c r="F11" s="17" t="e">
        <f t="shared" si="0"/>
        <v>#DIV/0!</v>
      </c>
      <c r="G11" s="17" t="e">
        <f t="shared" si="0"/>
        <v>#DIV/0!</v>
      </c>
      <c r="H11" s="17" t="e">
        <f t="shared" si="0"/>
        <v>#DIV/0!</v>
      </c>
      <c r="I11" s="17" t="e">
        <f t="shared" si="0"/>
        <v>#DIV/0!</v>
      </c>
      <c r="J11" s="17" t="e">
        <f t="shared" si="0"/>
        <v>#DIV/0!</v>
      </c>
      <c r="K11" s="17" t="e">
        <f t="shared" si="0"/>
        <v>#DIV/0!</v>
      </c>
      <c r="L11" s="17" t="e">
        <f t="shared" si="0"/>
        <v>#DIV/0!</v>
      </c>
      <c r="M11" s="17" t="e">
        <f t="shared" si="0"/>
        <v>#DIV/0!</v>
      </c>
      <c r="N11" s="17" t="e">
        <f t="shared" si="0"/>
        <v>#DIV/0!</v>
      </c>
      <c r="O11" s="17"/>
      <c r="P11" s="17"/>
    </row>
    <row r="12" spans="3:25" hidden="1" x14ac:dyDescent="0.3">
      <c r="H12" s="18">
        <f>H5+H4</f>
        <v>0</v>
      </c>
      <c r="I12" s="18">
        <f>I5+I4</f>
        <v>0</v>
      </c>
      <c r="J12" s="18">
        <f>J5+J4</f>
        <v>0</v>
      </c>
      <c r="K12" s="18">
        <f>K5+K4</f>
        <v>0</v>
      </c>
      <c r="L12" s="18">
        <f>L5+L4</f>
        <v>0</v>
      </c>
    </row>
    <row r="13" spans="3:25" x14ac:dyDescent="0.3">
      <c r="C13" s="20" t="s">
        <v>102</v>
      </c>
      <c r="D13" s="127"/>
      <c r="E13" s="127"/>
      <c r="F13" s="127"/>
      <c r="G13" s="128"/>
      <c r="H13" s="127"/>
      <c r="I13" s="127"/>
      <c r="J13" s="128"/>
      <c r="K13" s="128"/>
      <c r="L13" s="128"/>
      <c r="M13" s="127"/>
      <c r="N13" s="127"/>
      <c r="O13" s="127"/>
      <c r="P13" s="127"/>
      <c r="Q13" s="127"/>
    </row>
    <row r="14" spans="3:25" x14ac:dyDescent="0.3">
      <c r="C14" s="22" t="s">
        <v>103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3:25" x14ac:dyDescent="0.3">
      <c r="F15" s="18"/>
    </row>
    <row r="16" spans="3:25" x14ac:dyDescent="0.3">
      <c r="D16" s="111"/>
      <c r="E16" s="111"/>
      <c r="F16" s="111"/>
      <c r="G16" s="111"/>
      <c r="H16" s="43"/>
      <c r="I16" s="43"/>
      <c r="J16" s="43"/>
      <c r="K16" s="43"/>
      <c r="L16" s="111"/>
      <c r="M16" s="43"/>
      <c r="N16" s="43"/>
      <c r="O16" s="43"/>
      <c r="P16" s="43"/>
      <c r="Q16" s="43"/>
      <c r="R16" s="43"/>
    </row>
    <row r="17" spans="3:24" ht="27.6" x14ac:dyDescent="0.3">
      <c r="C17" s="132" t="s">
        <v>104</v>
      </c>
      <c r="D17" s="145"/>
      <c r="E17" s="145"/>
      <c r="F17" s="145"/>
      <c r="G17" s="146"/>
      <c r="H17" s="145"/>
      <c r="I17" s="145"/>
      <c r="J17" s="145"/>
      <c r="K17" s="147"/>
      <c r="L17" s="145"/>
      <c r="M17" s="148"/>
      <c r="N17" s="149"/>
      <c r="O17" s="149"/>
      <c r="P17" s="149"/>
      <c r="Q17" s="122"/>
      <c r="R17" s="16">
        <f>Q17-Q24-Q23</f>
        <v>0</v>
      </c>
      <c r="S17" s="16"/>
    </row>
    <row r="18" spans="3:24" ht="27.6" x14ac:dyDescent="0.3">
      <c r="C18" s="23" t="s">
        <v>4</v>
      </c>
      <c r="D18" s="150"/>
      <c r="E18" s="150"/>
      <c r="F18" s="145"/>
      <c r="G18" s="150"/>
      <c r="H18" s="150"/>
      <c r="I18" s="150"/>
      <c r="J18" s="150"/>
      <c r="K18" s="150"/>
      <c r="L18" s="150"/>
      <c r="M18" s="151"/>
      <c r="N18" s="152"/>
      <c r="O18" s="151"/>
      <c r="P18" s="151"/>
      <c r="Q18" s="122"/>
      <c r="R18" s="26"/>
      <c r="S18" s="26"/>
    </row>
    <row r="19" spans="3:24" x14ac:dyDescent="0.3">
      <c r="C19" s="24" t="s">
        <v>13</v>
      </c>
      <c r="D19" s="30"/>
      <c r="E19" s="30"/>
      <c r="F19" s="30"/>
      <c r="G19" s="30"/>
      <c r="H19" s="30"/>
      <c r="I19" s="30"/>
      <c r="J19" s="40"/>
      <c r="K19" s="30"/>
      <c r="L19" s="40"/>
      <c r="M19" s="25"/>
      <c r="N19" s="25"/>
      <c r="O19" s="25"/>
      <c r="P19" s="120"/>
      <c r="Q19" s="122"/>
    </row>
    <row r="20" spans="3:24" ht="19.5" customHeight="1" x14ac:dyDescent="0.3">
      <c r="C20" s="23" t="s">
        <v>5</v>
      </c>
      <c r="D20" s="119"/>
      <c r="E20" s="118"/>
      <c r="F20" s="42"/>
      <c r="G20" s="118"/>
      <c r="H20" s="42"/>
      <c r="I20" s="42"/>
      <c r="J20" s="129"/>
      <c r="K20" s="119"/>
      <c r="L20" s="118"/>
      <c r="M20" s="119"/>
      <c r="N20" s="119"/>
      <c r="O20" s="118"/>
      <c r="P20" s="119"/>
      <c r="Q20" s="122"/>
      <c r="U20" s="18"/>
      <c r="X20" s="18"/>
    </row>
    <row r="21" spans="3:24" ht="27.6" x14ac:dyDescent="0.3">
      <c r="C21" s="23" t="s">
        <v>105</v>
      </c>
      <c r="D21" s="40"/>
      <c r="E21" s="40"/>
      <c r="F21" s="40"/>
      <c r="G21" s="40"/>
      <c r="H21" s="40"/>
      <c r="I21" s="40"/>
      <c r="J21" s="40"/>
      <c r="K21" s="40"/>
      <c r="L21" s="40"/>
      <c r="M21" s="120"/>
      <c r="N21" s="121"/>
      <c r="O21" s="121"/>
      <c r="P21" s="121"/>
      <c r="Q21" s="122"/>
      <c r="U21" s="63"/>
      <c r="X21" s="26"/>
    </row>
    <row r="22" spans="3:24" x14ac:dyDescent="0.3">
      <c r="C22" s="23" t="s">
        <v>7</v>
      </c>
      <c r="D22" s="30"/>
      <c r="E22" s="30"/>
      <c r="F22" s="30"/>
      <c r="G22" s="30"/>
      <c r="H22" s="30"/>
      <c r="I22" s="30"/>
      <c r="J22" s="40"/>
      <c r="K22" s="30"/>
      <c r="L22" s="40"/>
      <c r="M22" s="25"/>
      <c r="N22" s="25"/>
      <c r="O22" s="25"/>
      <c r="P22" s="121"/>
      <c r="Q22" s="122"/>
      <c r="U22" s="21"/>
    </row>
    <row r="23" spans="3:24" x14ac:dyDescent="0.3">
      <c r="C23" s="81" t="s">
        <v>106</v>
      </c>
      <c r="D23" s="30"/>
      <c r="E23" s="30"/>
      <c r="F23" s="30"/>
      <c r="G23" s="30"/>
      <c r="H23" s="30"/>
      <c r="I23" s="30"/>
      <c r="J23" s="40"/>
      <c r="K23" s="30"/>
      <c r="L23" s="40"/>
      <c r="M23" s="25"/>
      <c r="N23" s="25"/>
      <c r="O23" s="25"/>
      <c r="P23" s="25"/>
      <c r="Q23" s="122"/>
    </row>
    <row r="24" spans="3:24" x14ac:dyDescent="0.3">
      <c r="C24" s="81" t="s">
        <v>107</v>
      </c>
      <c r="D24" s="30"/>
      <c r="E24" s="30"/>
      <c r="F24" s="40"/>
      <c r="G24" s="30"/>
      <c r="H24" s="30"/>
      <c r="I24" s="30"/>
      <c r="J24" s="40"/>
      <c r="K24" s="30"/>
      <c r="L24" s="40"/>
      <c r="M24" s="25"/>
      <c r="N24" s="25"/>
      <c r="O24" s="25"/>
      <c r="P24" s="25"/>
      <c r="Q24" s="122"/>
      <c r="U24" s="21"/>
      <c r="X24" s="26"/>
    </row>
    <row r="25" spans="3:24" ht="27.6" x14ac:dyDescent="0.3">
      <c r="C25" s="23" t="s">
        <v>108</v>
      </c>
      <c r="D25" s="48"/>
      <c r="E25" s="48"/>
      <c r="F25" s="30"/>
      <c r="G25" s="48"/>
      <c r="H25" s="30"/>
      <c r="I25" s="30"/>
      <c r="J25" s="126"/>
      <c r="K25" s="48"/>
      <c r="L25" s="40"/>
      <c r="M25" s="48"/>
      <c r="N25" s="48"/>
      <c r="O25" s="48"/>
      <c r="P25" s="48"/>
      <c r="Q25" s="122"/>
    </row>
    <row r="26" spans="3:24" x14ac:dyDescent="0.3">
      <c r="C26" s="24" t="s">
        <v>109</v>
      </c>
      <c r="D26" s="130"/>
      <c r="E26" s="130"/>
      <c r="F26" s="30"/>
      <c r="G26" s="30"/>
      <c r="H26" s="30"/>
      <c r="I26" s="30"/>
      <c r="J26" s="40"/>
      <c r="K26" s="40"/>
      <c r="L26" s="40"/>
      <c r="M26" s="25"/>
      <c r="N26" s="25"/>
      <c r="O26" s="25"/>
      <c r="P26" s="25"/>
      <c r="Q26" s="122"/>
      <c r="R26" s="18"/>
      <c r="U26" s="21"/>
      <c r="X26" s="18"/>
    </row>
    <row r="27" spans="3:24" x14ac:dyDescent="0.3">
      <c r="C27" s="34" t="s">
        <v>110</v>
      </c>
      <c r="D27" s="26">
        <f>D17+D18+D19-D20-D21-D22-D23-D24-D25-D26</f>
        <v>0</v>
      </c>
      <c r="E27" s="26">
        <f>E17-E20-E21-E24</f>
        <v>0</v>
      </c>
      <c r="F27" s="26">
        <f t="shared" ref="F27:O27" si="1">F17+F18+F19-F20-F21-F22-F23-F24-F25-F26</f>
        <v>0</v>
      </c>
      <c r="G27" s="26">
        <f t="shared" si="1"/>
        <v>0</v>
      </c>
      <c r="H27" s="26">
        <f t="shared" ref="H27" si="2">H17+H18+H19-H20-H21-H22-H23-H24-H25-H26</f>
        <v>0</v>
      </c>
      <c r="I27" s="26">
        <f t="shared" si="1"/>
        <v>0</v>
      </c>
      <c r="J27" s="26">
        <f>J17+J18+J19-J20-J21-J22-J23-J24-J25-J26</f>
        <v>0</v>
      </c>
      <c r="K27" s="26">
        <f t="shared" si="1"/>
        <v>0</v>
      </c>
      <c r="L27" s="26">
        <f t="shared" si="1"/>
        <v>0</v>
      </c>
      <c r="M27" s="26">
        <f t="shared" si="1"/>
        <v>0</v>
      </c>
      <c r="N27" s="26">
        <f>N17+N18+N19-N20-N21-N22-N23-N24-N25-N26</f>
        <v>0</v>
      </c>
      <c r="O27" s="26">
        <f t="shared" si="1"/>
        <v>0</v>
      </c>
      <c r="P27" s="26">
        <f>P17+P18+P19-P20-P21-P22-P23-P24-P25-P26</f>
        <v>0</v>
      </c>
      <c r="Q27" s="26">
        <f>Q17+Q18+Q19-Q20-Q21-Q22-Q23-Q24-Q25-Q26</f>
        <v>0</v>
      </c>
      <c r="U27" s="21"/>
    </row>
    <row r="28" spans="3:24" x14ac:dyDescent="0.3">
      <c r="C28" s="35" t="s">
        <v>111</v>
      </c>
      <c r="D28" s="18">
        <f t="shared" ref="D28" si="3">D3</f>
        <v>0</v>
      </c>
      <c r="E28" s="18">
        <f t="shared" ref="E28:O28" si="4">E3</f>
        <v>0</v>
      </c>
      <c r="F28" s="18">
        <f t="shared" si="4"/>
        <v>0</v>
      </c>
      <c r="G28" s="18">
        <f t="shared" si="4"/>
        <v>0</v>
      </c>
      <c r="H28" s="18">
        <f t="shared" ref="H28" si="5">H3</f>
        <v>0</v>
      </c>
      <c r="I28" s="18">
        <f t="shared" si="4"/>
        <v>0</v>
      </c>
      <c r="J28" s="18">
        <f t="shared" si="4"/>
        <v>0</v>
      </c>
      <c r="K28" s="18">
        <f t="shared" si="4"/>
        <v>0</v>
      </c>
      <c r="L28" s="18">
        <f t="shared" si="4"/>
        <v>0</v>
      </c>
      <c r="M28" s="18">
        <f t="shared" si="4"/>
        <v>0</v>
      </c>
      <c r="N28" s="18">
        <f>N3</f>
        <v>0</v>
      </c>
      <c r="O28" s="18">
        <f t="shared" si="4"/>
        <v>0</v>
      </c>
      <c r="P28" s="18">
        <f t="shared" ref="P28" si="6">P3</f>
        <v>0</v>
      </c>
      <c r="Q28" s="18">
        <f>Q3</f>
        <v>0</v>
      </c>
      <c r="U28" s="21"/>
    </row>
    <row r="29" spans="3:24" x14ac:dyDescent="0.3">
      <c r="C29" s="35" t="s">
        <v>112</v>
      </c>
      <c r="D29" s="18">
        <f>D10</f>
        <v>0</v>
      </c>
      <c r="E29" s="18">
        <f>E10</f>
        <v>0</v>
      </c>
      <c r="F29" s="18">
        <f>F10</f>
        <v>0</v>
      </c>
      <c r="G29" s="18">
        <f t="shared" ref="G29:O29" si="7">G10</f>
        <v>0</v>
      </c>
      <c r="H29" s="18">
        <f t="shared" ref="H29" si="8">H10</f>
        <v>0</v>
      </c>
      <c r="I29" s="18">
        <f t="shared" si="7"/>
        <v>0</v>
      </c>
      <c r="J29" s="18">
        <f t="shared" si="7"/>
        <v>0</v>
      </c>
      <c r="K29" s="18">
        <f>K10</f>
        <v>0</v>
      </c>
      <c r="L29" s="18">
        <f t="shared" si="7"/>
        <v>0</v>
      </c>
      <c r="M29" s="18">
        <f t="shared" si="7"/>
        <v>0</v>
      </c>
      <c r="N29" s="18">
        <f>N10</f>
        <v>0</v>
      </c>
      <c r="O29" s="18">
        <f t="shared" si="7"/>
        <v>0</v>
      </c>
      <c r="P29" s="18">
        <f t="shared" ref="P29" si="9">P10</f>
        <v>0</v>
      </c>
      <c r="Q29" s="18">
        <f>Q10</f>
        <v>0</v>
      </c>
    </row>
    <row r="30" spans="3:24" s="31" customFormat="1" x14ac:dyDescent="0.3">
      <c r="C30" s="34" t="s">
        <v>113</v>
      </c>
      <c r="D30" s="18">
        <f>D27+D28-D29</f>
        <v>0</v>
      </c>
      <c r="E30" s="18">
        <f>E27+E28-E29</f>
        <v>0</v>
      </c>
      <c r="F30" s="18">
        <f t="shared" ref="F30:O30" si="10">F27+F28-F29</f>
        <v>0</v>
      </c>
      <c r="G30" s="18">
        <f t="shared" si="10"/>
        <v>0</v>
      </c>
      <c r="H30" s="18">
        <f t="shared" ref="H30" si="11">H27+H28-H29</f>
        <v>0</v>
      </c>
      <c r="I30" s="18">
        <f t="shared" si="10"/>
        <v>0</v>
      </c>
      <c r="J30" s="18">
        <f t="shared" si="10"/>
        <v>0</v>
      </c>
      <c r="K30" s="18">
        <f t="shared" si="10"/>
        <v>0</v>
      </c>
      <c r="L30" s="18">
        <f t="shared" si="10"/>
        <v>0</v>
      </c>
      <c r="M30" s="18">
        <f t="shared" si="10"/>
        <v>0</v>
      </c>
      <c r="N30" s="18">
        <f>N27+N28-N29</f>
        <v>0</v>
      </c>
      <c r="O30" s="18">
        <f t="shared" si="10"/>
        <v>0</v>
      </c>
      <c r="P30" s="18">
        <f t="shared" ref="P30" si="12">P27+P28-P29</f>
        <v>0</v>
      </c>
      <c r="Q30" s="18">
        <f>Q27+Q28-Q29</f>
        <v>0</v>
      </c>
      <c r="U30" s="18"/>
      <c r="V30"/>
      <c r="W30"/>
    </row>
    <row r="31" spans="3:24" x14ac:dyDescent="0.3">
      <c r="W31" s="18"/>
    </row>
    <row r="32" spans="3:24" x14ac:dyDescent="0.3">
      <c r="D32" s="18">
        <f>D6-SUM(D17:D19)</f>
        <v>0</v>
      </c>
      <c r="E32" s="18">
        <f>E6-SUM(E17:E19)</f>
        <v>0</v>
      </c>
      <c r="F32" s="18">
        <f t="shared" ref="F32:Q32" si="13">F6-SUM(F17:F19)</f>
        <v>0</v>
      </c>
      <c r="G32" s="18">
        <f t="shared" si="13"/>
        <v>0</v>
      </c>
      <c r="H32" s="18">
        <f t="shared" ref="H32" si="14">H6-SUM(H17:H19)</f>
        <v>0</v>
      </c>
      <c r="I32" s="18">
        <f t="shared" si="13"/>
        <v>0</v>
      </c>
      <c r="J32" s="18">
        <f t="shared" si="13"/>
        <v>0</v>
      </c>
      <c r="K32" s="18">
        <f t="shared" si="13"/>
        <v>0</v>
      </c>
      <c r="L32" s="18">
        <f>L6-SUM(L17:L19)</f>
        <v>0</v>
      </c>
      <c r="M32" s="18">
        <f t="shared" si="13"/>
        <v>0</v>
      </c>
      <c r="N32" s="18">
        <f t="shared" si="13"/>
        <v>0</v>
      </c>
      <c r="O32" s="18">
        <f t="shared" si="13"/>
        <v>0</v>
      </c>
      <c r="P32" s="18">
        <f t="shared" ref="P32" si="15">P6-SUM(P17:P19)</f>
        <v>0</v>
      </c>
      <c r="Q32" s="18">
        <f t="shared" si="13"/>
        <v>0</v>
      </c>
      <c r="U32" s="21"/>
    </row>
    <row r="33" spans="4:21" x14ac:dyDescent="0.3">
      <c r="D33" s="18">
        <f>D7-SUM(D20:D26)</f>
        <v>0</v>
      </c>
      <c r="E33" s="18">
        <f>E7-SUM(E20:E26)</f>
        <v>0</v>
      </c>
      <c r="F33" s="18">
        <f t="shared" ref="F33:Q33" si="16">F7-SUM(F20:F26)</f>
        <v>0</v>
      </c>
      <c r="G33" s="18">
        <f t="shared" si="16"/>
        <v>0</v>
      </c>
      <c r="H33" s="18">
        <f t="shared" ref="H33" si="17">H7-SUM(H20:H26)</f>
        <v>0</v>
      </c>
      <c r="I33" s="18">
        <f t="shared" si="16"/>
        <v>0</v>
      </c>
      <c r="J33" s="18">
        <f t="shared" si="16"/>
        <v>0</v>
      </c>
      <c r="K33" s="18">
        <f t="shared" si="16"/>
        <v>0</v>
      </c>
      <c r="L33" s="18">
        <f t="shared" si="16"/>
        <v>0</v>
      </c>
      <c r="M33" s="18">
        <f t="shared" si="16"/>
        <v>0</v>
      </c>
      <c r="N33" s="18">
        <f t="shared" si="16"/>
        <v>0</v>
      </c>
      <c r="O33" s="18">
        <f t="shared" si="16"/>
        <v>0</v>
      </c>
      <c r="P33" s="18">
        <f t="shared" ref="P33" si="18">P7-SUM(P20:P26)</f>
        <v>0</v>
      </c>
      <c r="Q33" s="18">
        <f t="shared" si="16"/>
        <v>0</v>
      </c>
    </row>
    <row r="34" spans="4:21" x14ac:dyDescent="0.3">
      <c r="F34" s="31"/>
      <c r="G34" s="38"/>
      <c r="H34" s="21"/>
      <c r="I34" s="21"/>
      <c r="U34" s="18"/>
    </row>
    <row r="35" spans="4:21" x14ac:dyDescent="0.3">
      <c r="D35" s="31"/>
      <c r="E35" s="31"/>
      <c r="F35" s="31"/>
      <c r="G35" s="21"/>
      <c r="H35" s="21"/>
      <c r="I35" s="21"/>
    </row>
    <row r="36" spans="4:21" x14ac:dyDescent="0.3">
      <c r="D36" s="37"/>
      <c r="E36" s="37"/>
      <c r="F36" s="32"/>
      <c r="G36" s="18"/>
      <c r="H36" s="21"/>
      <c r="I36" s="21"/>
      <c r="U36" s="18"/>
    </row>
    <row r="37" spans="4:21" x14ac:dyDescent="0.3">
      <c r="D37" s="31"/>
      <c r="E37" s="31"/>
      <c r="F37" s="29"/>
      <c r="G37" s="36"/>
      <c r="H37" s="21"/>
      <c r="I37" s="21"/>
    </row>
    <row r="38" spans="4:21" x14ac:dyDescent="0.3">
      <c r="F38" s="33"/>
      <c r="H38" s="21"/>
      <c r="I38" s="21"/>
    </row>
    <row r="39" spans="4:21" x14ac:dyDescent="0.3">
      <c r="H39" s="21"/>
      <c r="I39" s="21"/>
    </row>
  </sheetData>
  <conditionalFormatting sqref="D8:Q10">
    <cfRule type="cellIs" dxfId="1" priority="1" operator="lessThan">
      <formula>0</formula>
    </cfRule>
  </conditionalFormatting>
  <conditionalFormatting sqref="M17:N17">
    <cfRule type="colorScale" priority="2">
      <colorScale>
        <cfvo type="min"/>
        <cfvo type="max"/>
        <color rgb="FFF8696B"/>
        <color rgb="FFFCFCFF"/>
      </colorScale>
    </cfRule>
  </conditionalFormatting>
  <conditionalFormatting sqref="M18:N18 M19:O19 M21:P26">
    <cfRule type="colorScale" priority="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scale="33" orientation="landscape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1277-10CD-418B-8B01-5C58FFCCE187}">
  <sheetPr>
    <tabColor rgb="FF92D050"/>
    <pageSetUpPr fitToPage="1"/>
  </sheetPr>
  <dimension ref="C1:W39"/>
  <sheetViews>
    <sheetView zoomScale="70" zoomScaleNormal="70" workbookViewId="0">
      <pane ySplit="3" topLeftCell="A4" activePane="bottomLeft" state="frozen"/>
      <selection pane="bottomLeft" activeCell="H18" sqref="H18"/>
    </sheetView>
  </sheetViews>
  <sheetFormatPr defaultRowHeight="14.4" x14ac:dyDescent="0.3"/>
  <cols>
    <col min="3" max="3" width="39.88671875" customWidth="1"/>
    <col min="4" max="4" width="14.44140625" customWidth="1"/>
    <col min="5" max="5" width="12.44140625" customWidth="1"/>
    <col min="6" max="6" width="13.88671875" bestFit="1" customWidth="1"/>
    <col min="7" max="7" width="13.33203125" bestFit="1" customWidth="1"/>
    <col min="8" max="8" width="15.33203125" customWidth="1"/>
    <col min="9" max="9" width="13.6640625" customWidth="1"/>
    <col min="10" max="10" width="14.6640625" customWidth="1"/>
    <col min="11" max="11" width="12.44140625" customWidth="1"/>
    <col min="12" max="12" width="13.88671875" customWidth="1"/>
    <col min="13" max="13" width="12.44140625" customWidth="1"/>
    <col min="14" max="14" width="13.33203125" customWidth="1"/>
    <col min="15" max="15" width="19.33203125" customWidth="1"/>
    <col min="16" max="16" width="15.5546875" customWidth="1"/>
    <col min="17" max="17" width="15" customWidth="1"/>
    <col min="18" max="18" width="12.44140625" customWidth="1"/>
  </cols>
  <sheetData>
    <row r="1" spans="3:23" x14ac:dyDescent="0.3">
      <c r="D1" s="125" t="s">
        <v>50</v>
      </c>
      <c r="E1" s="125" t="s">
        <v>50</v>
      </c>
      <c r="F1" s="125" t="s">
        <v>50</v>
      </c>
      <c r="G1" s="125" t="s">
        <v>50</v>
      </c>
      <c r="H1" s="125" t="s">
        <v>50</v>
      </c>
      <c r="I1" s="125" t="s">
        <v>50</v>
      </c>
      <c r="J1" s="125" t="s">
        <v>50</v>
      </c>
      <c r="K1" s="125" t="s">
        <v>50</v>
      </c>
      <c r="L1" s="125" t="s">
        <v>50</v>
      </c>
      <c r="M1" s="125" t="s">
        <v>50</v>
      </c>
      <c r="N1" s="125" t="s">
        <v>50</v>
      </c>
      <c r="O1" s="125"/>
    </row>
    <row r="2" spans="3:23" ht="28.95" customHeight="1" x14ac:dyDescent="0.3">
      <c r="C2" s="83" t="s">
        <v>81</v>
      </c>
      <c r="D2" s="88" t="s">
        <v>82</v>
      </c>
      <c r="E2" s="88" t="s">
        <v>83</v>
      </c>
      <c r="F2" s="88" t="s">
        <v>84</v>
      </c>
      <c r="G2" s="88" t="s">
        <v>85</v>
      </c>
      <c r="H2" s="88" t="s">
        <v>86</v>
      </c>
      <c r="I2" s="88" t="s">
        <v>87</v>
      </c>
      <c r="J2" s="88" t="s">
        <v>88</v>
      </c>
      <c r="K2" s="88" t="s">
        <v>89</v>
      </c>
      <c r="L2" s="88" t="s">
        <v>90</v>
      </c>
      <c r="M2" s="88" t="s">
        <v>91</v>
      </c>
      <c r="N2" s="105" t="s">
        <v>92</v>
      </c>
      <c r="O2" s="88" t="s">
        <v>93</v>
      </c>
    </row>
    <row r="3" spans="3:23" ht="22.95" customHeight="1" x14ac:dyDescent="0.3">
      <c r="C3" s="3" t="s">
        <v>94</v>
      </c>
      <c r="D3" s="4">
        <v>168787.02</v>
      </c>
      <c r="E3" s="4">
        <v>18981.36</v>
      </c>
      <c r="F3" s="4">
        <v>127742.74</v>
      </c>
      <c r="G3" s="4">
        <v>59030.43</v>
      </c>
      <c r="H3" s="4">
        <v>8838.8799999999992</v>
      </c>
      <c r="I3" s="4">
        <v>408733.08</v>
      </c>
      <c r="J3" s="4">
        <v>139004.14000000001</v>
      </c>
      <c r="K3" s="4">
        <v>11097.11</v>
      </c>
      <c r="L3" s="4">
        <v>5000</v>
      </c>
      <c r="M3" s="4"/>
      <c r="N3" s="4">
        <v>192075</v>
      </c>
      <c r="O3" s="5">
        <f>SUM(D3:N3)</f>
        <v>1139289.76</v>
      </c>
    </row>
    <row r="4" spans="3:23" x14ac:dyDescent="0.3">
      <c r="C4" s="6" t="s">
        <v>95</v>
      </c>
      <c r="D4" s="7">
        <v>50000</v>
      </c>
      <c r="E4" s="7">
        <v>5000</v>
      </c>
      <c r="F4" s="7">
        <v>5000</v>
      </c>
      <c r="G4" s="7">
        <v>5000</v>
      </c>
      <c r="H4" s="41">
        <v>5000</v>
      </c>
      <c r="I4" s="7">
        <v>5000</v>
      </c>
      <c r="J4" s="7">
        <v>50000</v>
      </c>
      <c r="K4" s="7">
        <v>5000</v>
      </c>
      <c r="L4" s="7">
        <v>5000</v>
      </c>
      <c r="M4" s="7">
        <v>0</v>
      </c>
      <c r="N4" s="7">
        <v>20000</v>
      </c>
      <c r="O4" s="8">
        <f t="shared" ref="O4:O10" si="0">SUM(D4:N4)</f>
        <v>155000</v>
      </c>
      <c r="P4" s="18"/>
    </row>
    <row r="5" spans="3:23" x14ac:dyDescent="0.3">
      <c r="C5" s="9" t="s">
        <v>96</v>
      </c>
      <c r="D5" s="10">
        <f>D3-D4</f>
        <v>118787.01999999999</v>
      </c>
      <c r="E5" s="10">
        <f t="shared" ref="E5:N5" si="1">E3-E4</f>
        <v>13981.36</v>
      </c>
      <c r="F5" s="10">
        <f t="shared" si="1"/>
        <v>122742.74</v>
      </c>
      <c r="G5" s="10">
        <f>G3-G4</f>
        <v>54030.43</v>
      </c>
      <c r="H5" s="10">
        <f t="shared" si="1"/>
        <v>3838.8799999999992</v>
      </c>
      <c r="I5" s="10">
        <f t="shared" si="1"/>
        <v>403733.08</v>
      </c>
      <c r="J5" s="10">
        <f t="shared" si="1"/>
        <v>89004.140000000014</v>
      </c>
      <c r="K5" s="10">
        <f t="shared" si="1"/>
        <v>6097.1100000000006</v>
      </c>
      <c r="L5" s="10">
        <f t="shared" si="1"/>
        <v>0</v>
      </c>
      <c r="M5" s="10">
        <f t="shared" si="1"/>
        <v>0</v>
      </c>
      <c r="N5" s="10">
        <f t="shared" si="1"/>
        <v>172075</v>
      </c>
      <c r="O5" s="11">
        <f t="shared" si="0"/>
        <v>984289.76</v>
      </c>
    </row>
    <row r="6" spans="3:23" x14ac:dyDescent="0.3">
      <c r="C6" s="12" t="s">
        <v>97</v>
      </c>
      <c r="D6" s="13">
        <v>3487525</v>
      </c>
      <c r="E6" s="13">
        <v>6850</v>
      </c>
      <c r="F6" s="13">
        <v>432650</v>
      </c>
      <c r="G6" s="13">
        <v>476400</v>
      </c>
      <c r="H6" s="13">
        <v>3209050</v>
      </c>
      <c r="I6" s="13">
        <v>156006.26999999999</v>
      </c>
      <c r="J6" s="13">
        <v>2204550</v>
      </c>
      <c r="K6" s="13">
        <v>14470</v>
      </c>
      <c r="L6" s="13">
        <v>0</v>
      </c>
      <c r="M6" s="13">
        <v>150000</v>
      </c>
      <c r="N6" s="13">
        <f>108350+471600</f>
        <v>579950</v>
      </c>
      <c r="O6" s="11">
        <f t="shared" si="0"/>
        <v>10717451.27</v>
      </c>
      <c r="P6" s="18">
        <f>O17+O18+O19</f>
        <v>10717451.27</v>
      </c>
      <c r="Q6" s="18">
        <f>O6-P6</f>
        <v>0</v>
      </c>
      <c r="W6" s="131">
        <v>49000</v>
      </c>
    </row>
    <row r="7" spans="3:23" x14ac:dyDescent="0.3">
      <c r="C7" s="12" t="s">
        <v>98</v>
      </c>
      <c r="D7" s="116">
        <v>3410382.61</v>
      </c>
      <c r="E7" s="117">
        <v>17435</v>
      </c>
      <c r="F7" s="117">
        <v>552575.75</v>
      </c>
      <c r="G7" s="117">
        <v>526400</v>
      </c>
      <c r="H7" s="117">
        <v>3209350</v>
      </c>
      <c r="I7" s="117">
        <v>558001.25</v>
      </c>
      <c r="J7" s="117">
        <v>2171163.9500000002</v>
      </c>
      <c r="K7" s="117">
        <v>0</v>
      </c>
      <c r="L7" s="117">
        <v>0</v>
      </c>
      <c r="M7" s="13">
        <v>150000</v>
      </c>
      <c r="N7" s="117">
        <f>172075+471600</f>
        <v>643675</v>
      </c>
      <c r="O7" s="8">
        <f t="shared" si="0"/>
        <v>11238983.559999999</v>
      </c>
      <c r="P7" s="18">
        <f>O20+O21+O22+O24+O25+O26+O23</f>
        <v>11238983.560000001</v>
      </c>
      <c r="Q7" s="18">
        <f>O7-P7</f>
        <v>0</v>
      </c>
      <c r="W7">
        <v>51900</v>
      </c>
    </row>
    <row r="8" spans="3:23" s="2" customFormat="1" ht="21.6" customHeight="1" x14ac:dyDescent="0.3">
      <c r="C8" s="85" t="s">
        <v>99</v>
      </c>
      <c r="D8" s="14">
        <f t="shared" ref="D8:N8" si="2">D5+D6-D7</f>
        <v>195929.41000000015</v>
      </c>
      <c r="E8" s="14">
        <f t="shared" si="2"/>
        <v>3396.3600000000006</v>
      </c>
      <c r="F8" s="14">
        <f t="shared" si="2"/>
        <v>2816.9899999999907</v>
      </c>
      <c r="G8" s="14">
        <f t="shared" si="2"/>
        <v>4030.4300000000512</v>
      </c>
      <c r="H8" s="14">
        <f t="shared" si="2"/>
        <v>3538.8799999998882</v>
      </c>
      <c r="I8" s="14">
        <f>I5+I6-I7</f>
        <v>1738.0999999999767</v>
      </c>
      <c r="J8" s="14">
        <f t="shared" si="2"/>
        <v>122390.18999999994</v>
      </c>
      <c r="K8" s="14">
        <f t="shared" si="2"/>
        <v>20567.11</v>
      </c>
      <c r="L8" s="14">
        <f>L5+L6-L7</f>
        <v>0</v>
      </c>
      <c r="M8" s="14">
        <f t="shared" si="2"/>
        <v>0</v>
      </c>
      <c r="N8" s="14">
        <f t="shared" si="2"/>
        <v>108350</v>
      </c>
      <c r="O8" s="15">
        <f t="shared" si="0"/>
        <v>462757.47</v>
      </c>
      <c r="Q8" s="16">
        <f>O3-O4+O6-O7</f>
        <v>462757.47000000067</v>
      </c>
      <c r="R8" s="16">
        <f>O8-Q8</f>
        <v>-6.9849193096160889E-10</v>
      </c>
      <c r="W8" s="2">
        <v>1300</v>
      </c>
    </row>
    <row r="9" spans="3:23" s="2" customFormat="1" ht="21.6" customHeight="1" x14ac:dyDescent="0.3">
      <c r="C9" s="19" t="s">
        <v>100</v>
      </c>
      <c r="D9" s="84">
        <f>D4</f>
        <v>50000</v>
      </c>
      <c r="E9" s="84">
        <f t="shared" ref="E9:I9" si="3">E4</f>
        <v>5000</v>
      </c>
      <c r="F9" s="84">
        <f t="shared" si="3"/>
        <v>5000</v>
      </c>
      <c r="G9" s="84">
        <f t="shared" si="3"/>
        <v>5000</v>
      </c>
      <c r="H9" s="84">
        <f t="shared" si="3"/>
        <v>5000</v>
      </c>
      <c r="I9" s="84">
        <f t="shared" si="3"/>
        <v>5000</v>
      </c>
      <c r="J9" s="84">
        <f>J4</f>
        <v>50000</v>
      </c>
      <c r="K9" s="84">
        <f t="shared" ref="K9:N9" si="4">K4</f>
        <v>5000</v>
      </c>
      <c r="L9" s="84">
        <f t="shared" si="4"/>
        <v>5000</v>
      </c>
      <c r="M9" s="84">
        <f t="shared" si="4"/>
        <v>0</v>
      </c>
      <c r="N9" s="84">
        <f t="shared" si="4"/>
        <v>20000</v>
      </c>
      <c r="O9" s="84">
        <f t="shared" si="0"/>
        <v>155000</v>
      </c>
      <c r="Q9" s="16"/>
      <c r="R9" s="16"/>
    </row>
    <row r="10" spans="3:23" s="2" customFormat="1" ht="21.6" customHeight="1" x14ac:dyDescent="0.3">
      <c r="C10" s="86" t="s">
        <v>101</v>
      </c>
      <c r="D10" s="87">
        <f t="shared" ref="D10:N10" si="5">D8+D9</f>
        <v>245929.41000000015</v>
      </c>
      <c r="E10" s="87">
        <f t="shared" si="5"/>
        <v>8396.36</v>
      </c>
      <c r="F10" s="87">
        <f t="shared" si="5"/>
        <v>7816.9899999999907</v>
      </c>
      <c r="G10" s="87">
        <f t="shared" si="5"/>
        <v>9030.4300000000512</v>
      </c>
      <c r="H10" s="87">
        <f t="shared" si="5"/>
        <v>8538.8799999998882</v>
      </c>
      <c r="I10" s="87">
        <f>I8+I9</f>
        <v>6738.0999999999767</v>
      </c>
      <c r="J10" s="87">
        <f t="shared" si="5"/>
        <v>172390.18999999994</v>
      </c>
      <c r="K10" s="87">
        <f t="shared" si="5"/>
        <v>25567.11</v>
      </c>
      <c r="L10" s="87">
        <f t="shared" si="5"/>
        <v>5000</v>
      </c>
      <c r="M10" s="87">
        <f t="shared" si="5"/>
        <v>0</v>
      </c>
      <c r="N10" s="87">
        <f t="shared" si="5"/>
        <v>128350</v>
      </c>
      <c r="O10" s="87">
        <f t="shared" si="0"/>
        <v>617757.47</v>
      </c>
      <c r="P10" s="16">
        <f>O8+O9</f>
        <v>617757.47</v>
      </c>
      <c r="Q10" s="16">
        <f>O10-P10</f>
        <v>0</v>
      </c>
      <c r="R10" s="16"/>
    </row>
    <row r="11" spans="3:23" hidden="1" x14ac:dyDescent="0.3">
      <c r="D11" s="17">
        <f t="shared" ref="D11:L11" si="6">D8/$O$8</f>
        <v>0.42339545593937178</v>
      </c>
      <c r="E11" s="17">
        <f t="shared" si="6"/>
        <v>7.3393952992266143E-3</v>
      </c>
      <c r="F11" s="17">
        <f t="shared" si="6"/>
        <v>6.0874003827533912E-3</v>
      </c>
      <c r="G11" s="17">
        <f t="shared" si="6"/>
        <v>8.7095946825019414E-3</v>
      </c>
      <c r="H11" s="17">
        <f t="shared" si="6"/>
        <v>7.6473752006637266E-3</v>
      </c>
      <c r="I11" s="17">
        <f t="shared" si="6"/>
        <v>3.755963139827817E-3</v>
      </c>
      <c r="J11" s="17">
        <f t="shared" si="6"/>
        <v>0.26448020385278698</v>
      </c>
      <c r="K11" s="17">
        <f t="shared" si="6"/>
        <v>4.4444685031232452E-2</v>
      </c>
      <c r="L11" s="17">
        <f t="shared" si="6"/>
        <v>0</v>
      </c>
      <c r="M11" s="17"/>
      <c r="N11" s="17"/>
    </row>
    <row r="12" spans="3:23" hidden="1" x14ac:dyDescent="0.3">
      <c r="G12" s="18">
        <f>G5+G4</f>
        <v>59030.43</v>
      </c>
      <c r="H12" s="18">
        <f>H5+H4</f>
        <v>8838.8799999999992</v>
      </c>
      <c r="I12" s="18">
        <f>I5+I4</f>
        <v>408733.08</v>
      </c>
      <c r="J12" s="18">
        <f>J5+J4</f>
        <v>139004.14000000001</v>
      </c>
    </row>
    <row r="13" spans="3:23" x14ac:dyDescent="0.3">
      <c r="C13" s="20" t="s">
        <v>102</v>
      </c>
      <c r="D13" s="127">
        <v>245929.41</v>
      </c>
      <c r="E13" s="127">
        <v>8396.36</v>
      </c>
      <c r="F13" s="128">
        <v>7816.99</v>
      </c>
      <c r="G13" s="127">
        <v>9030.43</v>
      </c>
      <c r="H13" s="128">
        <v>8538.8799999999992</v>
      </c>
      <c r="I13" s="128">
        <v>6738.1</v>
      </c>
      <c r="J13" s="128">
        <v>172390.19</v>
      </c>
      <c r="K13" s="127">
        <v>25567.11</v>
      </c>
      <c r="L13" s="127">
        <v>5000</v>
      </c>
      <c r="M13" s="127">
        <v>0</v>
      </c>
      <c r="N13" s="127">
        <f>108350+20000</f>
        <v>128350</v>
      </c>
      <c r="O13" s="44">
        <f>SUM(D13:N13)</f>
        <v>617757.47</v>
      </c>
    </row>
    <row r="14" spans="3:23" x14ac:dyDescent="0.3">
      <c r="C14" s="22" t="s">
        <v>103</v>
      </c>
      <c r="D14" s="18">
        <f>D10-D13</f>
        <v>0</v>
      </c>
      <c r="E14" s="18">
        <f>E10-E13</f>
        <v>0</v>
      </c>
      <c r="F14" s="18">
        <f>F10-F13</f>
        <v>-9.0949470177292824E-12</v>
      </c>
      <c r="G14" s="18">
        <f t="shared" ref="G14:N14" si="7">G10-G13</f>
        <v>5.0931703299283981E-11</v>
      </c>
      <c r="H14" s="18">
        <f t="shared" si="7"/>
        <v>-1.1095835361629725E-10</v>
      </c>
      <c r="I14" s="18">
        <f t="shared" si="7"/>
        <v>-2.3646862246096134E-11</v>
      </c>
      <c r="J14" s="18">
        <f t="shared" si="7"/>
        <v>0</v>
      </c>
      <c r="K14" s="18">
        <f t="shared" si="7"/>
        <v>0</v>
      </c>
      <c r="L14" s="18">
        <f t="shared" si="7"/>
        <v>0</v>
      </c>
      <c r="M14" s="18">
        <f t="shared" si="7"/>
        <v>0</v>
      </c>
      <c r="N14" s="18">
        <f t="shared" si="7"/>
        <v>0</v>
      </c>
      <c r="O14" s="18">
        <f>O10-O13</f>
        <v>0</v>
      </c>
    </row>
    <row r="15" spans="3:23" x14ac:dyDescent="0.3">
      <c r="E15" s="18"/>
    </row>
    <row r="16" spans="3:23" x14ac:dyDescent="0.3">
      <c r="D16" s="111"/>
      <c r="E16" s="111"/>
      <c r="F16" s="111"/>
      <c r="G16" s="43"/>
      <c r="H16" s="43"/>
      <c r="I16" s="43"/>
      <c r="J16" s="111"/>
      <c r="K16" s="43"/>
      <c r="L16" s="43"/>
      <c r="M16" s="43"/>
      <c r="N16" s="43"/>
      <c r="O16" s="43"/>
      <c r="P16" s="43"/>
    </row>
    <row r="17" spans="3:17" ht="27.6" x14ac:dyDescent="0.3">
      <c r="C17" s="132" t="s">
        <v>104</v>
      </c>
      <c r="D17" s="138">
        <v>3437525</v>
      </c>
      <c r="E17" s="135"/>
      <c r="F17" s="142">
        <v>422650</v>
      </c>
      <c r="G17" s="138">
        <v>476400</v>
      </c>
      <c r="H17" s="138">
        <v>3209050</v>
      </c>
      <c r="I17" s="138">
        <v>156000</v>
      </c>
      <c r="J17" s="138">
        <v>1840030</v>
      </c>
      <c r="K17" s="136"/>
      <c r="L17" s="137"/>
      <c r="M17" s="141">
        <v>150000</v>
      </c>
      <c r="N17" s="137">
        <v>108350</v>
      </c>
      <c r="O17" s="122">
        <f>SUM(D17:N17)</f>
        <v>9800005</v>
      </c>
      <c r="P17" s="16">
        <f>O17-O24-O23</f>
        <v>9041530</v>
      </c>
      <c r="Q17" s="16">
        <f>O17+O18+O19-O20-O21-O22-O23-O24-O25-O26</f>
        <v>-521532.29000000039</v>
      </c>
    </row>
    <row r="18" spans="3:17" ht="27.6" x14ac:dyDescent="0.3">
      <c r="C18" s="23" t="s">
        <v>4</v>
      </c>
      <c r="D18" s="139">
        <v>50000</v>
      </c>
      <c r="E18" s="138">
        <v>6850</v>
      </c>
      <c r="F18" s="139">
        <v>10000</v>
      </c>
      <c r="G18" s="133"/>
      <c r="H18" s="134"/>
      <c r="I18" s="133">
        <v>6.27</v>
      </c>
      <c r="J18" s="140">
        <v>364520</v>
      </c>
      <c r="K18" s="143">
        <v>14470</v>
      </c>
      <c r="L18" s="25"/>
      <c r="M18" s="45"/>
      <c r="N18" s="45"/>
      <c r="O18" s="122">
        <f>SUM(D18:N18)</f>
        <v>445846.27</v>
      </c>
      <c r="P18" s="26"/>
      <c r="Q18" s="26">
        <f>O17+O18-O23-O24</f>
        <v>9487376.2699999996</v>
      </c>
    </row>
    <row r="19" spans="3:17" x14ac:dyDescent="0.3">
      <c r="C19" s="24" t="s">
        <v>13</v>
      </c>
      <c r="D19" s="30"/>
      <c r="E19" s="30"/>
      <c r="F19" s="30"/>
      <c r="G19" s="30"/>
      <c r="H19" s="40"/>
      <c r="I19" s="30"/>
      <c r="J19" s="40"/>
      <c r="K19" s="25"/>
      <c r="L19" s="25"/>
      <c r="M19" s="25"/>
      <c r="N19" s="120">
        <v>471600</v>
      </c>
      <c r="O19" s="122">
        <f>SUM(D19:N19)</f>
        <v>471600</v>
      </c>
    </row>
    <row r="20" spans="3:17" ht="19.5" customHeight="1" x14ac:dyDescent="0.3">
      <c r="C20" s="23" t="s">
        <v>5</v>
      </c>
      <c r="D20" s="118">
        <v>2926700</v>
      </c>
      <c r="E20" s="42"/>
      <c r="F20" s="118">
        <v>412300</v>
      </c>
      <c r="G20" s="42"/>
      <c r="H20" s="129">
        <f>135900+83600+500000+680000+381050+356000+530000+336800+106000</f>
        <v>3109350</v>
      </c>
      <c r="I20" s="119">
        <f>155000+103000</f>
        <v>258000</v>
      </c>
      <c r="J20" s="118">
        <v>1676750</v>
      </c>
      <c r="K20" s="119"/>
      <c r="L20" s="119"/>
      <c r="M20" s="118">
        <v>150000</v>
      </c>
      <c r="N20" s="119">
        <v>471600</v>
      </c>
      <c r="O20" s="122">
        <f>SUM(D20:N20)</f>
        <v>9004700</v>
      </c>
    </row>
    <row r="21" spans="3:17" ht="27.6" x14ac:dyDescent="0.3">
      <c r="C21" s="23" t="s">
        <v>105</v>
      </c>
      <c r="D21" s="40">
        <f>93740.13+57242.28+2100+25576.74+45000+5923.46+100</f>
        <v>229682.61</v>
      </c>
      <c r="E21" s="40"/>
      <c r="F21" s="40">
        <f>120000+11772</f>
        <v>131772</v>
      </c>
      <c r="G21" s="40"/>
      <c r="H21" s="40">
        <v>100000</v>
      </c>
      <c r="I21" s="40">
        <f>300000+1.25</f>
        <v>300001.25</v>
      </c>
      <c r="J21" s="40">
        <f>12725+80000+63227.78+63225.87+42695.07</f>
        <v>261873.72</v>
      </c>
      <c r="K21" s="120"/>
      <c r="L21" s="121"/>
      <c r="M21" s="121"/>
      <c r="N21" s="121"/>
      <c r="O21" s="122">
        <f>SUM(D21:N21)</f>
        <v>1023329.58</v>
      </c>
    </row>
    <row r="22" spans="3:17" x14ac:dyDescent="0.3">
      <c r="C22" s="23" t="s">
        <v>7</v>
      </c>
      <c r="D22" s="30"/>
      <c r="E22" s="30">
        <v>7435</v>
      </c>
      <c r="F22" s="30">
        <v>8503.75</v>
      </c>
      <c r="G22" s="30"/>
      <c r="H22" s="40"/>
      <c r="I22" s="30"/>
      <c r="J22" s="40">
        <f>8987.6+7840.63</f>
        <v>16828.23</v>
      </c>
      <c r="K22" s="25"/>
      <c r="L22" s="25"/>
      <c r="M22" s="25"/>
      <c r="N22" s="25"/>
      <c r="O22" s="122">
        <f t="shared" ref="O22:O26" si="8">SUM(D22:N22)</f>
        <v>32766.98</v>
      </c>
    </row>
    <row r="23" spans="3:17" hidden="1" x14ac:dyDescent="0.3">
      <c r="C23" s="81" t="s">
        <v>106</v>
      </c>
      <c r="D23" s="30"/>
      <c r="E23" s="30"/>
      <c r="F23" s="30"/>
      <c r="G23" s="30"/>
      <c r="H23" s="40"/>
      <c r="I23" s="30"/>
      <c r="J23" s="40"/>
      <c r="K23" s="25"/>
      <c r="L23" s="25"/>
      <c r="M23" s="25"/>
      <c r="N23" s="25"/>
      <c r="O23" s="122">
        <f t="shared" si="8"/>
        <v>0</v>
      </c>
    </row>
    <row r="24" spans="3:17" x14ac:dyDescent="0.3">
      <c r="C24" s="81" t="s">
        <v>107</v>
      </c>
      <c r="D24" s="144">
        <f>50000</f>
        <v>50000</v>
      </c>
      <c r="E24" s="40">
        <v>10000</v>
      </c>
      <c r="F24" s="30"/>
      <c r="G24" s="144">
        <f>51450+15000+320200+53750+36000+50000</f>
        <v>526400</v>
      </c>
      <c r="H24" s="40"/>
      <c r="I24" s="30"/>
      <c r="J24" s="40"/>
      <c r="K24" s="25"/>
      <c r="L24" s="25"/>
      <c r="M24" s="25"/>
      <c r="N24" s="25">
        <v>172075</v>
      </c>
      <c r="O24" s="122">
        <f t="shared" si="8"/>
        <v>758475</v>
      </c>
    </row>
    <row r="25" spans="3:17" ht="27.6" x14ac:dyDescent="0.3">
      <c r="C25" s="23" t="s">
        <v>108</v>
      </c>
      <c r="D25" s="48">
        <f>29000+175000</f>
        <v>204000</v>
      </c>
      <c r="E25" s="30"/>
      <c r="F25" s="48"/>
      <c r="G25" s="30"/>
      <c r="H25" s="126"/>
      <c r="I25" s="48"/>
      <c r="J25" s="40">
        <v>115712</v>
      </c>
      <c r="K25" s="48"/>
      <c r="L25" s="48"/>
      <c r="M25" s="48"/>
      <c r="N25" s="48"/>
      <c r="O25" s="122">
        <f t="shared" si="8"/>
        <v>319712</v>
      </c>
    </row>
    <row r="26" spans="3:17" x14ac:dyDescent="0.3">
      <c r="C26" s="24" t="s">
        <v>109</v>
      </c>
      <c r="D26" s="130"/>
      <c r="E26" s="30"/>
      <c r="F26" s="30"/>
      <c r="G26" s="30"/>
      <c r="H26" s="40"/>
      <c r="I26" s="40"/>
      <c r="J26" s="40">
        <f>100000</f>
        <v>100000</v>
      </c>
      <c r="K26" s="25"/>
      <c r="L26" s="25"/>
      <c r="M26" s="25"/>
      <c r="N26" s="25"/>
      <c r="O26" s="122">
        <f t="shared" si="8"/>
        <v>100000</v>
      </c>
      <c r="P26" s="18">
        <f>O17+O18-O20-O21-O22-O25-O26</f>
        <v>-234657.29000000042</v>
      </c>
    </row>
    <row r="27" spans="3:17" x14ac:dyDescent="0.3">
      <c r="C27" s="34" t="s">
        <v>110</v>
      </c>
      <c r="D27" s="26">
        <f t="shared" ref="D27:M27" si="9">D17+D18+D19-D20-D21-D22-D23-D24-D25-D26</f>
        <v>77142.390000000014</v>
      </c>
      <c r="E27" s="26">
        <f t="shared" si="9"/>
        <v>-10585</v>
      </c>
      <c r="F27" s="26">
        <f t="shared" si="9"/>
        <v>-119925.75</v>
      </c>
      <c r="G27" s="26">
        <f t="shared" si="9"/>
        <v>-50000</v>
      </c>
      <c r="H27" s="26">
        <f>H17+H18+H19-H20-H21-H22-H23-H24-H25-H26</f>
        <v>-300</v>
      </c>
      <c r="I27" s="26">
        <f t="shared" si="9"/>
        <v>-401994.98</v>
      </c>
      <c r="J27" s="26">
        <f t="shared" si="9"/>
        <v>33386.050000000017</v>
      </c>
      <c r="K27" s="26">
        <f t="shared" si="9"/>
        <v>14470</v>
      </c>
      <c r="L27" s="26">
        <f t="shared" si="9"/>
        <v>0</v>
      </c>
      <c r="M27" s="26">
        <f t="shared" si="9"/>
        <v>0</v>
      </c>
      <c r="N27" s="26">
        <f>N17+N18+N19-N20-N21-N22-N23-N24-N25-N26</f>
        <v>-63725</v>
      </c>
      <c r="O27" s="26">
        <f>O17+O18+O19-O20-O21-O22-O23-O24-O25-O26</f>
        <v>-521532.29000000039</v>
      </c>
    </row>
    <row r="28" spans="3:17" x14ac:dyDescent="0.3">
      <c r="C28" s="35" t="s">
        <v>111</v>
      </c>
      <c r="D28" s="18">
        <f t="shared" ref="D28:O28" si="10">D3</f>
        <v>168787.02</v>
      </c>
      <c r="E28" s="18">
        <f t="shared" si="10"/>
        <v>18981.36</v>
      </c>
      <c r="F28" s="18">
        <f t="shared" si="10"/>
        <v>127742.74</v>
      </c>
      <c r="G28" s="18">
        <f t="shared" si="10"/>
        <v>59030.43</v>
      </c>
      <c r="H28" s="18">
        <f t="shared" si="10"/>
        <v>8838.8799999999992</v>
      </c>
      <c r="I28" s="18">
        <f t="shared" si="10"/>
        <v>408733.08</v>
      </c>
      <c r="J28" s="18">
        <f t="shared" si="10"/>
        <v>139004.14000000001</v>
      </c>
      <c r="K28" s="18">
        <f t="shared" si="10"/>
        <v>11097.11</v>
      </c>
      <c r="L28" s="18">
        <f t="shared" si="10"/>
        <v>5000</v>
      </c>
      <c r="M28" s="18">
        <f t="shared" si="10"/>
        <v>0</v>
      </c>
      <c r="N28" s="18">
        <f t="shared" si="10"/>
        <v>192075</v>
      </c>
      <c r="O28" s="18">
        <f t="shared" si="10"/>
        <v>1139289.76</v>
      </c>
    </row>
    <row r="29" spans="3:17" x14ac:dyDescent="0.3">
      <c r="C29" s="35" t="s">
        <v>112</v>
      </c>
      <c r="D29" s="18">
        <f>D10</f>
        <v>245929.41000000015</v>
      </c>
      <c r="E29" s="18">
        <f>E10</f>
        <v>8396.36</v>
      </c>
      <c r="F29" s="18">
        <f t="shared" ref="F29:O29" si="11">F10</f>
        <v>7816.9899999999907</v>
      </c>
      <c r="G29" s="18">
        <f t="shared" si="11"/>
        <v>9030.4300000000512</v>
      </c>
      <c r="H29" s="18">
        <f t="shared" si="11"/>
        <v>8538.8799999998882</v>
      </c>
      <c r="I29" s="18">
        <f>I10</f>
        <v>6738.0999999999767</v>
      </c>
      <c r="J29" s="18">
        <f t="shared" si="11"/>
        <v>172390.18999999994</v>
      </c>
      <c r="K29" s="18">
        <f t="shared" si="11"/>
        <v>25567.11</v>
      </c>
      <c r="L29" s="18">
        <f t="shared" si="11"/>
        <v>5000</v>
      </c>
      <c r="M29" s="18">
        <f t="shared" si="11"/>
        <v>0</v>
      </c>
      <c r="N29" s="18">
        <f t="shared" si="11"/>
        <v>128350</v>
      </c>
      <c r="O29" s="18">
        <f t="shared" si="11"/>
        <v>617757.47</v>
      </c>
    </row>
    <row r="30" spans="3:17" s="31" customFormat="1" x14ac:dyDescent="0.3">
      <c r="C30" s="34" t="s">
        <v>113</v>
      </c>
      <c r="D30" s="18">
        <f>D27+D28-D29</f>
        <v>0</v>
      </c>
      <c r="E30" s="18">
        <f t="shared" ref="E30:O30" si="12">E27+E28-E29</f>
        <v>0</v>
      </c>
      <c r="F30" s="18">
        <f t="shared" si="12"/>
        <v>1.4551915228366852E-11</v>
      </c>
      <c r="G30" s="18">
        <f t="shared" si="12"/>
        <v>-5.0931703299283981E-11</v>
      </c>
      <c r="H30" s="18">
        <f t="shared" si="12"/>
        <v>1.1095835361629725E-10</v>
      </c>
      <c r="I30" s="18">
        <f t="shared" si="12"/>
        <v>5.8207660913467407E-11</v>
      </c>
      <c r="J30" s="18">
        <f t="shared" si="12"/>
        <v>0</v>
      </c>
      <c r="K30" s="18">
        <f t="shared" si="12"/>
        <v>0</v>
      </c>
      <c r="L30" s="18">
        <f t="shared" si="12"/>
        <v>0</v>
      </c>
      <c r="M30" s="18">
        <f t="shared" si="12"/>
        <v>0</v>
      </c>
      <c r="N30" s="18">
        <f t="shared" si="12"/>
        <v>0</v>
      </c>
      <c r="O30" s="18">
        <f t="shared" si="12"/>
        <v>0</v>
      </c>
    </row>
    <row r="32" spans="3:17" x14ac:dyDescent="0.3">
      <c r="D32" s="18">
        <f>D6-SUM(D17:D19)</f>
        <v>0</v>
      </c>
      <c r="E32" s="18">
        <f t="shared" ref="E32:O32" si="13">E6-SUM(E17:E19)</f>
        <v>0</v>
      </c>
      <c r="F32" s="18">
        <f t="shared" si="13"/>
        <v>0</v>
      </c>
      <c r="G32" s="18">
        <f t="shared" si="13"/>
        <v>0</v>
      </c>
      <c r="H32" s="18">
        <f t="shared" si="13"/>
        <v>0</v>
      </c>
      <c r="I32" s="18">
        <f t="shared" si="13"/>
        <v>0</v>
      </c>
      <c r="J32" s="18">
        <f>J6-SUM(J17:J19)</f>
        <v>0</v>
      </c>
      <c r="K32" s="18">
        <f t="shared" si="13"/>
        <v>0</v>
      </c>
      <c r="L32" s="18">
        <f t="shared" si="13"/>
        <v>0</v>
      </c>
      <c r="M32" s="18">
        <f t="shared" si="13"/>
        <v>0</v>
      </c>
      <c r="N32" s="18">
        <f t="shared" si="13"/>
        <v>0</v>
      </c>
      <c r="O32" s="18">
        <f t="shared" si="13"/>
        <v>0</v>
      </c>
    </row>
    <row r="33" spans="4:15" x14ac:dyDescent="0.3">
      <c r="D33" s="18">
        <f>D7-SUM(D20:D26)</f>
        <v>0</v>
      </c>
      <c r="E33" s="18">
        <f t="shared" ref="E33:O33" si="14">E7-SUM(E20:E26)</f>
        <v>0</v>
      </c>
      <c r="F33" s="18">
        <f t="shared" si="14"/>
        <v>0</v>
      </c>
      <c r="G33" s="18">
        <f t="shared" si="14"/>
        <v>0</v>
      </c>
      <c r="H33" s="18">
        <f t="shared" si="14"/>
        <v>0</v>
      </c>
      <c r="I33" s="18">
        <f t="shared" si="14"/>
        <v>0</v>
      </c>
      <c r="J33" s="18">
        <f t="shared" si="14"/>
        <v>0</v>
      </c>
      <c r="K33" s="18">
        <f t="shared" si="14"/>
        <v>0</v>
      </c>
      <c r="L33" s="18">
        <f t="shared" si="14"/>
        <v>0</v>
      </c>
      <c r="M33" s="18">
        <f t="shared" si="14"/>
        <v>0</v>
      </c>
      <c r="N33" s="18">
        <f t="shared" si="14"/>
        <v>0</v>
      </c>
      <c r="O33" s="18">
        <f t="shared" si="14"/>
        <v>0</v>
      </c>
    </row>
    <row r="34" spans="4:15" x14ac:dyDescent="0.3">
      <c r="E34" s="31"/>
      <c r="F34" s="38"/>
      <c r="G34" s="21"/>
    </row>
    <row r="35" spans="4:15" x14ac:dyDescent="0.3">
      <c r="D35" s="31"/>
      <c r="E35" s="31"/>
      <c r="F35" s="21"/>
      <c r="G35" s="21"/>
    </row>
    <row r="36" spans="4:15" x14ac:dyDescent="0.3">
      <c r="D36" s="37"/>
      <c r="E36" s="32"/>
      <c r="F36" s="18"/>
      <c r="G36" s="21"/>
    </row>
    <row r="37" spans="4:15" x14ac:dyDescent="0.3">
      <c r="D37" s="31"/>
      <c r="E37" s="29"/>
      <c r="F37" s="36"/>
      <c r="G37" s="21"/>
    </row>
    <row r="38" spans="4:15" x14ac:dyDescent="0.3">
      <c r="E38" s="33"/>
      <c r="G38" s="21"/>
    </row>
    <row r="39" spans="4:15" x14ac:dyDescent="0.3">
      <c r="G39" s="21"/>
    </row>
  </sheetData>
  <conditionalFormatting sqref="D8:O10">
    <cfRule type="cellIs" dxfId="0" priority="3" operator="lessThan">
      <formula>0</formula>
    </cfRule>
  </conditionalFormatting>
  <conditionalFormatting sqref="K17:L17">
    <cfRule type="colorScale" priority="1">
      <colorScale>
        <cfvo type="min"/>
        <cfvo type="max"/>
        <color rgb="FFF8696B"/>
        <color rgb="FFFCFCFF"/>
      </colorScale>
    </cfRule>
  </conditionalFormatting>
  <conditionalFormatting sqref="K18:L18 K19:M19 K21:N26"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scale="4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CF</vt:lpstr>
      <vt:lpstr>COLLECTIBLES</vt:lpstr>
      <vt:lpstr>CASH SHORT</vt:lpstr>
      <vt:lpstr>CASH, END</vt:lpstr>
      <vt:lpstr>trial;</vt:lpstr>
      <vt:lpstr>Chart1</vt:lpstr>
      <vt:lpstr>CF!Print_Area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Alywin Aidan Baje</dc:creator>
  <cp:keywords/>
  <dc:description/>
  <cp:lastModifiedBy>Alywin Aidan Baje</cp:lastModifiedBy>
  <cp:revision/>
  <dcterms:created xsi:type="dcterms:W3CDTF">2025-06-02T09:53:49Z</dcterms:created>
  <dcterms:modified xsi:type="dcterms:W3CDTF">2026-07-18T00:55:44Z</dcterms:modified>
  <cp:category/>
  <cp:contentStatus/>
</cp:coreProperties>
</file>