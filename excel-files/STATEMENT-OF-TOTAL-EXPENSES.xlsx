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ywi\Downloads\"/>
    </mc:Choice>
  </mc:AlternateContent>
  <xr:revisionPtr revIDLastSave="0" documentId="13_ncr:1_{08364951-2315-49D7-B838-5DEAA8F935F5}" xr6:coauthVersionLast="47" xr6:coauthVersionMax="47" xr10:uidLastSave="{00000000-0000-0000-0000-000000000000}"/>
  <bookViews>
    <workbookView xWindow="-108" yWindow="-108" windowWidth="23256" windowHeight="12456" xr2:uid="{76A60FA1-2675-423F-8382-D1C89E55A5F9}"/>
  </bookViews>
  <sheets>
    <sheet name="MARCH 2026 CGSE" sheetId="1" r:id="rId1"/>
  </sheets>
  <externalReferences>
    <externalReference r:id="rId2"/>
  </externalReferences>
  <definedNames>
    <definedName name="_xlnm.Print_Area" localSheetId="0">'MARCH 2026 CGSE'!$A$1:$J$47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H9" i="1"/>
  <c r="H12" i="1" s="1"/>
  <c r="H10" i="1"/>
  <c r="H11" i="1"/>
  <c r="B12" i="1"/>
  <c r="C12" i="1"/>
  <c r="B13" i="1"/>
  <c r="C13" i="1"/>
  <c r="H14" i="1"/>
  <c r="H15" i="1"/>
  <c r="H16" i="1"/>
  <c r="H33" i="1" s="1"/>
  <c r="H37" i="1" s="1"/>
  <c r="H18" i="1"/>
  <c r="H19" i="1"/>
  <c r="H20" i="1"/>
  <c r="H21" i="1"/>
  <c r="N21" i="1"/>
  <c r="H22" i="1"/>
  <c r="H23" i="1"/>
  <c r="H24" i="1"/>
  <c r="H25" i="1"/>
  <c r="H26" i="1"/>
  <c r="H27" i="1"/>
  <c r="H28" i="1"/>
  <c r="H29" i="1"/>
  <c r="H30" i="1"/>
  <c r="H32" i="1"/>
  <c r="B33" i="1"/>
  <c r="B37" i="1" s="1"/>
  <c r="B41" i="1" s="1"/>
  <c r="C33" i="1"/>
  <c r="H34" i="1"/>
  <c r="H36" i="1" s="1"/>
  <c r="H35" i="1"/>
  <c r="B36" i="1"/>
  <c r="C36" i="1"/>
  <c r="H38" i="1"/>
  <c r="H39" i="1"/>
  <c r="H40" i="1"/>
  <c r="C37" i="1" l="1"/>
</calcChain>
</file>

<file path=xl/sharedStrings.xml><?xml version="1.0" encoding="utf-8"?>
<sst xmlns="http://schemas.openxmlformats.org/spreadsheetml/2006/main" count="50" uniqueCount="47">
  <si>
    <t>OPS - Other Products and Services</t>
  </si>
  <si>
    <t>DMIE - Distribution of Machineries and Industrial Equipment</t>
  </si>
  <si>
    <t>DHPP - Distribution and Hauling of Petroleum Products</t>
  </si>
  <si>
    <t>Legend:</t>
  </si>
  <si>
    <t>UNIT COST PER LITER FOR THE CYCLE</t>
  </si>
  <si>
    <t>Fuel Delivered in Liters _3rd party</t>
  </si>
  <si>
    <t>Fuel Delivered in Liters _STMIET</t>
  </si>
  <si>
    <t>Fuel Delivered in Liters _IPPC</t>
  </si>
  <si>
    <t>TOTAL OPERATING COSTS</t>
  </si>
  <si>
    <t>Total Non-Operating Expenses</t>
  </si>
  <si>
    <t>Other Expense/Miscellaneous Exp.</t>
  </si>
  <si>
    <t>Other Gen. &amp; Admin. Expense</t>
  </si>
  <si>
    <t>Total Operating Expenses</t>
  </si>
  <si>
    <t>Other Operating Expenses</t>
  </si>
  <si>
    <t>Representation Expense</t>
  </si>
  <si>
    <t>Withholding Taxes</t>
  </si>
  <si>
    <t>Utilities Expense</t>
  </si>
  <si>
    <t>Travel Related Expenses</t>
  </si>
  <si>
    <t>Taxes, Licenses, Penalties</t>
  </si>
  <si>
    <t>Salary and Company Benefits</t>
  </si>
  <si>
    <t>Office Supplies Expense</t>
  </si>
  <si>
    <t>Loan Related Expenses</t>
  </si>
  <si>
    <t>Legal &amp; Professional Fees</t>
  </si>
  <si>
    <t>Interest Expenses</t>
  </si>
  <si>
    <t>Insurance Fees</t>
  </si>
  <si>
    <t>Impairment of Assets</t>
  </si>
  <si>
    <t>Employer Mandatory Contribution</t>
  </si>
  <si>
    <t>Depreciation Expense (Others)</t>
  </si>
  <si>
    <t>Accommodation Fees</t>
  </si>
  <si>
    <t>Bank Fees</t>
  </si>
  <si>
    <t>Bad Debts</t>
  </si>
  <si>
    <t>Direct Cost per Liter</t>
  </si>
  <si>
    <t>Total Cost of Sales</t>
  </si>
  <si>
    <t>COGS - OPS</t>
  </si>
  <si>
    <t>COGS - DMIE</t>
  </si>
  <si>
    <t>COGS - DHPP</t>
  </si>
  <si>
    <t>STMIET</t>
  </si>
  <si>
    <t>TOTAL</t>
  </si>
  <si>
    <t>STPC</t>
  </si>
  <si>
    <t>IPPC</t>
  </si>
  <si>
    <t>ACCOUNT TITLES</t>
  </si>
  <si>
    <t>Segment C 
(OPS)</t>
  </si>
  <si>
    <t>Segment B 
(DMIE)</t>
  </si>
  <si>
    <r>
      <rPr>
        <b/>
        <i/>
        <sz val="16"/>
        <color theme="0"/>
        <rFont val="Calibri"/>
        <family val="2"/>
        <scheme val="minor"/>
      </rPr>
      <t xml:space="preserve">Segment A
</t>
    </r>
    <r>
      <rPr>
        <b/>
        <i/>
        <sz val="10"/>
        <color theme="0"/>
        <rFont val="Calibri"/>
        <family val="2"/>
        <scheme val="minor"/>
      </rPr>
      <t>(DHPP)</t>
    </r>
  </si>
  <si>
    <t>GRAND TOTAL</t>
  </si>
  <si>
    <t xml:space="preserve">MONTH OF MARCH 2026
</t>
  </si>
  <si>
    <r>
      <rPr>
        <b/>
        <i/>
        <sz val="16"/>
        <color rgb="FFFFFF00"/>
        <rFont val="Calibri"/>
        <family val="2"/>
        <scheme val="minor"/>
      </rPr>
      <t xml:space="preserve">
</t>
    </r>
    <r>
      <rPr>
        <b/>
        <i/>
        <sz val="20"/>
        <color theme="0"/>
        <rFont val="Calibri"/>
        <family val="2"/>
        <scheme val="minor"/>
      </rPr>
      <t>SEVEN-TRENT MACHINERIES INDUSTRIAL EQUIPMENT TRADING</t>
    </r>
    <r>
      <rPr>
        <b/>
        <i/>
        <sz val="16"/>
        <color theme="0"/>
        <rFont val="Calibri"/>
        <family val="2"/>
        <scheme val="minor"/>
      </rPr>
      <t xml:space="preserve">
Statement of Total Expenses</t>
    </r>
    <r>
      <rPr>
        <b/>
        <i/>
        <sz val="12"/>
        <color rgb="FFFFC000"/>
        <rFont val="Calibri"/>
        <family val="2"/>
        <scheme val="minor"/>
      </rPr>
      <t xml:space="preserve">
</t>
    </r>
    <r>
      <rPr>
        <b/>
        <i/>
        <sz val="16"/>
        <color theme="0"/>
        <rFont val="Calibri"/>
        <family val="2"/>
        <scheme val="minor"/>
      </rPr>
      <t xml:space="preserve">For the MONTH OF MARCH 2026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</si>
</sst>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₱&quot;* #,##0.00_-;\-&quot;₱&quot;* #,##0.00_-;_-&quot;₱&quot;* &quot;-&quot;??_-;_-@_-"/>
    <numFmt numFmtId="43" formatCode="_-* #,##0.00_-;\-* #,##0.00_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i/>
      <sz val="12"/>
      <color rgb="FFFFFF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i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9"/>
      <name val="Tahoma"/>
      <family val="2"/>
    </font>
    <font>
      <i/>
      <sz val="11"/>
      <color rgb="FF0000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9"/>
      <color rgb="FFFFCC66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rgb="FFFFFF00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i/>
      <sz val="12"/>
      <color rgb="FFFFC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9" tint="0.3995483260597552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58494827112647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1" fillId="0" borderId="0" applyAlignment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4" fillId="0" borderId="0" xfId="0" applyFont="1"/>
    <xf numFmtId="0" fontId="3" fillId="0" borderId="0" xfId="0" applyFont="1"/>
    <xf numFmtId="43" fontId="0" fillId="0" borderId="0" xfId="0" applyNumberFormat="1"/>
    <xf numFmtId="0" fontId="5" fillId="0" borderId="0" xfId="0" applyFont="1" applyAlignment="1">
      <alignment horizontal="left" vertical="top"/>
    </xf>
    <xf numFmtId="43" fontId="3" fillId="0" borderId="0" xfId="1" applyFont="1"/>
    <xf numFmtId="0" fontId="6" fillId="0" borderId="0" xfId="0" applyFont="1" applyAlignment="1">
      <alignment horizontal="left" vertical="top"/>
    </xf>
    <xf numFmtId="0" fontId="7" fillId="0" borderId="0" xfId="0" applyFont="1"/>
    <xf numFmtId="43" fontId="8" fillId="2" borderId="1" xfId="0" applyNumberFormat="1" applyFont="1" applyFill="1" applyBorder="1" applyAlignment="1">
      <alignment horizontal="center" vertical="center"/>
    </xf>
    <xf numFmtId="43" fontId="8" fillId="2" borderId="2" xfId="0" applyNumberFormat="1" applyFont="1" applyFill="1" applyBorder="1" applyAlignment="1">
      <alignment horizontal="center" vertical="center"/>
    </xf>
    <xf numFmtId="43" fontId="9" fillId="2" borderId="1" xfId="0" applyNumberFormat="1" applyFont="1" applyFill="1" applyBorder="1" applyAlignment="1">
      <alignment horizontal="center" vertical="center"/>
    </xf>
    <xf numFmtId="43" fontId="10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43" fontId="12" fillId="3" borderId="3" xfId="1" applyFont="1" applyFill="1" applyBorder="1" applyAlignment="1">
      <alignment horizontal="center" vertical="center"/>
    </xf>
    <xf numFmtId="43" fontId="12" fillId="3" borderId="4" xfId="1" applyFont="1" applyFill="1" applyBorder="1" applyAlignment="1">
      <alignment horizontal="center" vertical="center"/>
    </xf>
    <xf numFmtId="43" fontId="12" fillId="4" borderId="4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43" fontId="12" fillId="3" borderId="5" xfId="1" applyFont="1" applyFill="1" applyBorder="1" applyAlignment="1">
      <alignment horizontal="center"/>
    </xf>
    <xf numFmtId="43" fontId="7" fillId="3" borderId="5" xfId="1" applyFont="1" applyFill="1" applyBorder="1" applyAlignment="1">
      <alignment horizontal="center"/>
    </xf>
    <xf numFmtId="43" fontId="4" fillId="4" borderId="6" xfId="1" applyFont="1" applyFill="1" applyBorder="1" applyAlignment="1">
      <alignment horizontal="center"/>
    </xf>
    <xf numFmtId="43" fontId="13" fillId="3" borderId="5" xfId="1" applyFont="1" applyFill="1" applyBorder="1" applyAlignment="1">
      <alignment horizontal="center"/>
    </xf>
    <xf numFmtId="0" fontId="5" fillId="0" borderId="5" xfId="0" applyFont="1" applyBorder="1" applyAlignment="1">
      <alignment horizontal="left" vertical="top"/>
    </xf>
    <xf numFmtId="43" fontId="12" fillId="3" borderId="7" xfId="1" applyFont="1" applyFill="1" applyBorder="1" applyAlignment="1">
      <alignment horizontal="center"/>
    </xf>
    <xf numFmtId="43" fontId="7" fillId="3" borderId="7" xfId="1" applyFont="1" applyFill="1" applyBorder="1" applyAlignment="1">
      <alignment horizontal="center"/>
    </xf>
    <xf numFmtId="43" fontId="7" fillId="4" borderId="7" xfId="1" applyFont="1" applyFill="1" applyBorder="1" applyAlignment="1">
      <alignment horizontal="center"/>
    </xf>
    <xf numFmtId="0" fontId="5" fillId="0" borderId="7" xfId="0" applyFont="1" applyBorder="1" applyAlignment="1">
      <alignment horizontal="left" vertical="top"/>
    </xf>
    <xf numFmtId="44" fontId="14" fillId="2" borderId="8" xfId="2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left" vertical="center"/>
    </xf>
    <xf numFmtId="44" fontId="15" fillId="5" borderId="9" xfId="2" applyFont="1" applyFill="1" applyBorder="1" applyAlignment="1">
      <alignment horizontal="center" vertical="center"/>
    </xf>
    <xf numFmtId="44" fontId="16" fillId="5" borderId="9" xfId="2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left" vertical="center"/>
    </xf>
    <xf numFmtId="43" fontId="18" fillId="3" borderId="6" xfId="1" applyFont="1" applyFill="1" applyBorder="1" applyAlignment="1">
      <alignment horizontal="center" vertical="center"/>
    </xf>
    <xf numFmtId="43" fontId="19" fillId="3" borderId="10" xfId="1" applyFont="1" applyFill="1" applyBorder="1" applyAlignment="1">
      <alignment horizontal="center" vertical="center"/>
    </xf>
    <xf numFmtId="43" fontId="20" fillId="3" borderId="10" xfId="1" applyFont="1" applyFill="1" applyBorder="1" applyAlignment="1">
      <alignment horizontal="center" vertical="center"/>
    </xf>
    <xf numFmtId="43" fontId="3" fillId="4" borderId="11" xfId="1" applyFont="1" applyFill="1" applyBorder="1" applyAlignment="1">
      <alignment horizontal="center" vertical="center"/>
    </xf>
    <xf numFmtId="43" fontId="20" fillId="3" borderId="12" xfId="1" applyFont="1" applyFill="1" applyBorder="1" applyAlignment="1">
      <alignment horizontal="center" vertical="center"/>
    </xf>
    <xf numFmtId="43" fontId="18" fillId="3" borderId="12" xfId="1" applyFont="1" applyFill="1" applyBorder="1" applyAlignment="1">
      <alignment horizontal="center" vertical="center"/>
    </xf>
    <xf numFmtId="0" fontId="22" fillId="0" borderId="6" xfId="3" applyFont="1" applyBorder="1" applyAlignment="1"/>
    <xf numFmtId="43" fontId="3" fillId="3" borderId="11" xfId="0" applyNumberFormat="1" applyFont="1" applyFill="1" applyBorder="1" applyAlignment="1">
      <alignment horizontal="center" vertical="center"/>
    </xf>
    <xf numFmtId="43" fontId="0" fillId="3" borderId="11" xfId="1" applyFont="1" applyFill="1" applyBorder="1" applyAlignment="1">
      <alignment horizontal="center" vertical="center"/>
    </xf>
    <xf numFmtId="43" fontId="0" fillId="3" borderId="13" xfId="1" applyFont="1" applyFill="1" applyBorder="1" applyAlignment="1">
      <alignment horizontal="center" vertical="center"/>
    </xf>
    <xf numFmtId="0" fontId="22" fillId="0" borderId="11" xfId="3" applyFont="1" applyBorder="1" applyAlignment="1"/>
    <xf numFmtId="44" fontId="23" fillId="5" borderId="14" xfId="2" applyFont="1" applyFill="1" applyBorder="1" applyAlignment="1">
      <alignment horizontal="center" vertical="center"/>
    </xf>
    <xf numFmtId="44" fontId="23" fillId="5" borderId="15" xfId="2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left" vertical="center"/>
    </xf>
    <xf numFmtId="43" fontId="3" fillId="3" borderId="6" xfId="0" applyNumberFormat="1" applyFont="1" applyFill="1" applyBorder="1" applyAlignment="1">
      <alignment horizontal="center" vertical="center"/>
    </xf>
    <xf numFmtId="43" fontId="24" fillId="3" borderId="5" xfId="1" applyFont="1" applyFill="1" applyBorder="1" applyAlignment="1">
      <alignment horizontal="center" vertical="center"/>
    </xf>
    <xf numFmtId="43" fontId="24" fillId="3" borderId="16" xfId="1" applyFont="1" applyFill="1" applyBorder="1" applyAlignment="1">
      <alignment horizontal="center" vertical="center"/>
    </xf>
    <xf numFmtId="43" fontId="3" fillId="4" borderId="6" xfId="1" applyFont="1" applyFill="1" applyBorder="1" applyAlignment="1">
      <alignment horizontal="center" vertical="center"/>
    </xf>
    <xf numFmtId="43" fontId="0" fillId="3" borderId="5" xfId="1" applyFont="1" applyFill="1" applyBorder="1" applyAlignment="1">
      <alignment horizontal="center" vertical="center"/>
    </xf>
    <xf numFmtId="0" fontId="22" fillId="0" borderId="12" xfId="3" applyFont="1" applyBorder="1" applyAlignment="1"/>
    <xf numFmtId="43" fontId="24" fillId="3" borderId="6" xfId="1" applyFont="1" applyFill="1" applyBorder="1" applyAlignment="1">
      <alignment horizontal="center" vertical="center"/>
    </xf>
    <xf numFmtId="43" fontId="24" fillId="3" borderId="17" xfId="1" applyFont="1" applyFill="1" applyBorder="1" applyAlignment="1">
      <alignment horizontal="center" vertical="center"/>
    </xf>
    <xf numFmtId="43" fontId="0" fillId="3" borderId="6" xfId="1" applyFont="1" applyFill="1" applyBorder="1" applyAlignment="1">
      <alignment horizontal="center" vertical="center"/>
    </xf>
    <xf numFmtId="0" fontId="22" fillId="0" borderId="10" xfId="3" applyFont="1" applyBorder="1" applyAlignment="1"/>
    <xf numFmtId="43" fontId="24" fillId="3" borderId="5" xfId="4" applyFont="1" applyFill="1" applyBorder="1" applyAlignment="1">
      <alignment horizontal="center" vertical="center"/>
    </xf>
    <xf numFmtId="43" fontId="0" fillId="3" borderId="5" xfId="4" applyFont="1" applyFill="1" applyBorder="1" applyAlignment="1">
      <alignment horizontal="center" vertical="center"/>
    </xf>
    <xf numFmtId="43" fontId="24" fillId="6" borderId="6" xfId="4" applyFont="1" applyFill="1" applyBorder="1" applyAlignment="1">
      <alignment horizontal="center" vertical="center"/>
    </xf>
    <xf numFmtId="43" fontId="0" fillId="3" borderId="6" xfId="4" applyFont="1" applyFill="1" applyBorder="1" applyAlignment="1">
      <alignment horizontal="center" vertical="center"/>
    </xf>
    <xf numFmtId="43" fontId="24" fillId="3" borderId="12" xfId="1" applyFont="1" applyFill="1" applyBorder="1" applyAlignment="1">
      <alignment horizontal="center" vertical="center"/>
    </xf>
    <xf numFmtId="43" fontId="24" fillId="3" borderId="18" xfId="1" applyFont="1" applyFill="1" applyBorder="1" applyAlignment="1">
      <alignment horizontal="center" vertical="center"/>
    </xf>
    <xf numFmtId="43" fontId="0" fillId="4" borderId="5" xfId="1" applyFont="1" applyFill="1" applyBorder="1" applyAlignment="1">
      <alignment horizontal="center" vertical="center"/>
    </xf>
    <xf numFmtId="43" fontId="0" fillId="3" borderId="12" xfId="1" applyFont="1" applyFill="1" applyBorder="1" applyAlignment="1">
      <alignment horizontal="center" vertical="center"/>
    </xf>
    <xf numFmtId="43" fontId="3" fillId="3" borderId="19" xfId="0" applyNumberFormat="1" applyFont="1" applyFill="1" applyBorder="1" applyAlignment="1">
      <alignment horizontal="center" vertical="center"/>
    </xf>
    <xf numFmtId="43" fontId="24" fillId="3" borderId="20" xfId="1" applyFont="1" applyFill="1" applyBorder="1" applyAlignment="1">
      <alignment horizontal="center" vertical="center"/>
    </xf>
    <xf numFmtId="43" fontId="0" fillId="4" borderId="20" xfId="1" applyFont="1" applyFill="1" applyBorder="1" applyAlignment="1">
      <alignment horizontal="center" vertical="center"/>
    </xf>
    <xf numFmtId="43" fontId="0" fillId="3" borderId="20" xfId="1" applyFont="1" applyFill="1" applyBorder="1" applyAlignment="1">
      <alignment horizontal="center" vertical="center"/>
    </xf>
    <xf numFmtId="43" fontId="0" fillId="3" borderId="21" xfId="1" applyFont="1" applyFill="1" applyBorder="1" applyAlignment="1">
      <alignment horizontal="center" vertical="center"/>
    </xf>
    <xf numFmtId="0" fontId="22" fillId="0" borderId="22" xfId="3" applyFont="1" applyBorder="1" applyAlignment="1"/>
    <xf numFmtId="43" fontId="25" fillId="3" borderId="8" xfId="0" applyNumberFormat="1" applyFont="1" applyFill="1" applyBorder="1" applyAlignment="1">
      <alignment horizontal="center" vertical="center"/>
    </xf>
    <xf numFmtId="43" fontId="26" fillId="3" borderId="8" xfId="0" applyNumberFormat="1" applyFont="1" applyFill="1" applyBorder="1" applyAlignment="1">
      <alignment horizontal="center" vertical="center"/>
    </xf>
    <xf numFmtId="43" fontId="27" fillId="4" borderId="8" xfId="0" applyNumberFormat="1" applyFont="1" applyFill="1" applyBorder="1" applyAlignment="1">
      <alignment horizontal="center" vertical="center"/>
    </xf>
    <xf numFmtId="43" fontId="27" fillId="3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7" fillId="5" borderId="7" xfId="0" applyFont="1" applyFill="1" applyBorder="1" applyAlignment="1">
      <alignment horizontal="left"/>
    </xf>
    <xf numFmtId="43" fontId="0" fillId="3" borderId="17" xfId="1" applyFont="1" applyFill="1" applyBorder="1" applyAlignment="1">
      <alignment horizontal="center" vertical="center"/>
    </xf>
    <xf numFmtId="43" fontId="0" fillId="3" borderId="17" xfId="4" applyFont="1" applyFill="1" applyBorder="1" applyAlignment="1">
      <alignment horizontal="center" vertical="center"/>
    </xf>
    <xf numFmtId="43" fontId="3" fillId="4" borderId="17" xfId="1" applyFont="1" applyFill="1" applyBorder="1" applyAlignment="1">
      <alignment horizontal="center" vertical="center"/>
    </xf>
    <xf numFmtId="43" fontId="4" fillId="3" borderId="6" xfId="1" applyFont="1" applyFill="1" applyBorder="1" applyAlignment="1">
      <alignment horizontal="center" vertical="center"/>
    </xf>
    <xf numFmtId="0" fontId="19" fillId="0" borderId="6" xfId="0" applyFont="1" applyBorder="1"/>
    <xf numFmtId="0" fontId="0" fillId="0" borderId="0" xfId="0" applyAlignment="1">
      <alignment horizontal="left"/>
    </xf>
    <xf numFmtId="43" fontId="3" fillId="3" borderId="21" xfId="0" applyNumberFormat="1" applyFont="1" applyFill="1" applyBorder="1" applyAlignment="1">
      <alignment horizontal="center" vertical="center"/>
    </xf>
    <xf numFmtId="43" fontId="3" fillId="4" borderId="23" xfId="1" applyFont="1" applyFill="1" applyBorder="1" applyAlignment="1">
      <alignment horizontal="center" vertical="center"/>
    </xf>
    <xf numFmtId="43" fontId="4" fillId="3" borderId="6" xfId="1" applyFont="1" applyFill="1" applyBorder="1" applyAlignment="1">
      <alignment horizontal="center" vertical="center" wrapText="1"/>
    </xf>
    <xf numFmtId="0" fontId="19" fillId="0" borderId="21" xfId="0" applyFont="1" applyBorder="1"/>
    <xf numFmtId="43" fontId="0" fillId="3" borderId="23" xfId="1" applyFont="1" applyFill="1" applyBorder="1" applyAlignment="1">
      <alignment horizontal="center" vertical="center"/>
    </xf>
    <xf numFmtId="43" fontId="0" fillId="3" borderId="23" xfId="4" applyFont="1" applyFill="1" applyBorder="1" applyAlignment="1">
      <alignment horizontal="center" vertical="center"/>
    </xf>
    <xf numFmtId="43" fontId="4" fillId="3" borderId="21" xfId="1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center" vertical="center" wrapText="1"/>
    </xf>
    <xf numFmtId="0" fontId="15" fillId="5" borderId="24" xfId="0" applyFont="1" applyFill="1" applyBorder="1" applyAlignment="1">
      <alignment horizontal="center" vertical="center"/>
    </xf>
    <xf numFmtId="0" fontId="15" fillId="5" borderId="2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 wrapText="1"/>
    </xf>
    <xf numFmtId="17" fontId="29" fillId="2" borderId="4" xfId="0" applyNumberFormat="1" applyFont="1" applyFill="1" applyBorder="1" applyAlignment="1">
      <alignment horizontal="center" vertical="center" wrapText="1"/>
    </xf>
    <xf numFmtId="17" fontId="29" fillId="2" borderId="3" xfId="0" applyNumberFormat="1" applyFont="1" applyFill="1" applyBorder="1" applyAlignment="1">
      <alignment horizontal="center" vertical="center" wrapText="1"/>
    </xf>
    <xf numFmtId="17" fontId="30" fillId="2" borderId="4" xfId="0" applyNumberFormat="1" applyFont="1" applyFill="1" applyBorder="1" applyAlignment="1">
      <alignment horizontal="center" vertical="center" wrapText="1"/>
    </xf>
    <xf numFmtId="17" fontId="30" fillId="2" borderId="26" xfId="0" applyNumberFormat="1" applyFont="1" applyFill="1" applyBorder="1" applyAlignment="1">
      <alignment horizontal="center" vertical="center" wrapText="1"/>
    </xf>
    <xf numFmtId="17" fontId="30" fillId="2" borderId="27" xfId="0" applyNumberFormat="1" applyFont="1" applyFill="1" applyBorder="1" applyAlignment="1">
      <alignment horizontal="center" vertical="center" wrapText="1"/>
    </xf>
    <xf numFmtId="0" fontId="32" fillId="2" borderId="28" xfId="0" applyFont="1" applyFill="1" applyBorder="1" applyAlignment="1">
      <alignment horizontal="center" vertical="center" wrapText="1"/>
    </xf>
    <xf numFmtId="0" fontId="28" fillId="2" borderId="19" xfId="0" applyFont="1" applyFill="1" applyBorder="1" applyAlignment="1">
      <alignment horizontal="center" vertical="center" wrapText="1"/>
    </xf>
    <xf numFmtId="17" fontId="33" fillId="2" borderId="29" xfId="0" applyNumberFormat="1" applyFont="1" applyFill="1" applyBorder="1" applyAlignment="1">
      <alignment horizontal="center" vertical="center"/>
    </xf>
    <xf numFmtId="17" fontId="33" fillId="2" borderId="30" xfId="0" applyNumberFormat="1" applyFont="1" applyFill="1" applyBorder="1" applyAlignment="1">
      <alignment horizontal="center" vertical="center"/>
    </xf>
    <xf numFmtId="17" fontId="33" fillId="2" borderId="31" xfId="0" applyNumberFormat="1" applyFont="1" applyFill="1" applyBorder="1" applyAlignment="1">
      <alignment horizontal="center" vertical="center" wrapText="1"/>
    </xf>
    <xf numFmtId="0" fontId="32" fillId="2" borderId="32" xfId="0" applyFont="1" applyFill="1" applyBorder="1" applyAlignment="1">
      <alignment horizontal="center" vertical="center" wrapText="1"/>
    </xf>
    <xf numFmtId="0" fontId="0" fillId="0" borderId="33" xfId="0" applyBorder="1"/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34" fillId="0" borderId="0" xfId="0" applyFont="1" applyAlignment="1">
      <alignment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0" fillId="2" borderId="0" xfId="0" applyFill="1"/>
    <xf numFmtId="0" fontId="34" fillId="2" borderId="0" xfId="0" applyFont="1" applyFill="1" applyAlignment="1">
      <alignment vertical="center" wrapText="1"/>
    </xf>
    <xf numFmtId="0" fontId="10" fillId="2" borderId="33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0" fillId="2" borderId="32" xfId="0" applyFill="1" applyBorder="1"/>
    <xf numFmtId="0" fontId="10" fillId="2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35" fillId="2" borderId="31" xfId="0" applyFont="1" applyFill="1" applyBorder="1" applyAlignment="1">
      <alignment horizontal="center" vertical="center" wrapText="1"/>
    </xf>
    <xf numFmtId="0" fontId="0" fillId="2" borderId="31" xfId="0" applyFill="1" applyBorder="1"/>
  </cellXfs>
  <cellStyles count="5">
    <cellStyle name="Comma" xfId="1" builtinId="3"/>
    <cellStyle name="Comma 3" xfId="4" xr:uid="{12D338D4-B975-4440-854A-007FFE8B739C}"/>
    <cellStyle name="Currency" xfId="2" builtinId="4"/>
    <cellStyle name="Normal" xfId="0" builtinId="0"/>
    <cellStyle name="Style 1" xfId="3" xr:uid="{673D242A-AB10-4419-A2B0-726E78E68D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96167</xdr:colOff>
      <xdr:row>0</xdr:row>
      <xdr:rowOff>196409</xdr:rowOff>
    </xdr:from>
    <xdr:ext cx="2104451" cy="2409875"/>
    <xdr:pic>
      <xdr:nvPicPr>
        <xdr:cNvPr id="2" name="Picture 1">
          <a:extLst>
            <a:ext uri="{FF2B5EF4-FFF2-40B4-BE49-F238E27FC236}">
              <a16:creationId xmlns:a16="http://schemas.microsoft.com/office/drawing/2014/main" id="{E512C1D0-8F3A-44B6-B530-F92BD4996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67" y="181169"/>
          <a:ext cx="2104451" cy="240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ywi\Downloads\STATEMENT%20OF%20COST%20OF%20SALES.xlsx" TargetMode="External"/><Relationship Id="rId1" Type="http://schemas.openxmlformats.org/officeDocument/2006/relationships/externalLinkPath" Target="STATEMENT%20OF%20COST%20OF%20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 OF SALES"/>
    </sheetNames>
    <sheetDataSet>
      <sheetData sheetId="0">
        <row r="22">
          <cell r="B22">
            <v>0</v>
          </cell>
          <cell r="C22">
            <v>0</v>
          </cell>
        </row>
        <row r="24">
          <cell r="B24">
            <v>0</v>
          </cell>
          <cell r="C2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D2EE-D0D8-4B66-88D2-2779A939ABB6}">
  <sheetPr>
    <tabColor rgb="FF92D050"/>
    <pageSetUpPr fitToPage="1"/>
  </sheetPr>
  <dimension ref="A1:N52"/>
  <sheetViews>
    <sheetView tabSelected="1" topLeftCell="A7" zoomScale="85" zoomScaleNormal="85" zoomScaleSheetLayoutView="70" workbookViewId="0">
      <selection activeCell="L39" sqref="L39"/>
    </sheetView>
  </sheetViews>
  <sheetFormatPr defaultColWidth="9" defaultRowHeight="14.4" outlineLevelRow="1" outlineLevelCol="1" x14ac:dyDescent="0.3"/>
  <cols>
    <col min="1" max="1" width="33.33203125" customWidth="1"/>
    <col min="2" max="2" width="16" hidden="1" customWidth="1" outlineLevel="1"/>
    <col min="3" max="3" width="14.44140625" hidden="1" customWidth="1" outlineLevel="1"/>
    <col min="4" max="4" width="18.6640625" customWidth="1" outlineLevel="1"/>
    <col min="5" max="5" width="16.88671875" customWidth="1"/>
    <col min="6" max="6" width="14.109375" customWidth="1" outlineLevel="1"/>
    <col min="7" max="7" width="13.6640625" customWidth="1" outlineLevel="1"/>
    <col min="8" max="8" width="25" customWidth="1"/>
    <col min="9" max="9" width="1.6640625" customWidth="1"/>
    <col min="10" max="10" width="15" customWidth="1"/>
  </cols>
  <sheetData>
    <row r="1" spans="1:10" ht="19.5" customHeight="1" x14ac:dyDescent="0.3">
      <c r="A1" s="120"/>
      <c r="B1" s="119" t="s">
        <v>46</v>
      </c>
      <c r="C1" s="118"/>
      <c r="D1" s="118"/>
      <c r="E1" s="118"/>
      <c r="F1" s="118"/>
      <c r="G1" s="118"/>
      <c r="H1" s="117"/>
      <c r="I1" s="107"/>
      <c r="J1" s="107"/>
    </row>
    <row r="2" spans="1:10" ht="22.5" customHeight="1" x14ac:dyDescent="0.3">
      <c r="A2" s="116"/>
      <c r="B2" s="115"/>
      <c r="C2" s="114"/>
      <c r="D2" s="114"/>
      <c r="E2" s="114"/>
      <c r="F2" s="114"/>
      <c r="G2" s="114"/>
      <c r="H2" s="113"/>
      <c r="I2" s="107"/>
      <c r="J2" s="107"/>
    </row>
    <row r="3" spans="1:10" s="111" customFormat="1" ht="15" customHeight="1" x14ac:dyDescent="0.3">
      <c r="A3" s="116"/>
      <c r="B3" s="115"/>
      <c r="C3" s="114"/>
      <c r="D3" s="114"/>
      <c r="E3" s="114"/>
      <c r="F3" s="114"/>
      <c r="G3" s="114"/>
      <c r="H3" s="113"/>
      <c r="I3" s="107"/>
      <c r="J3" s="112"/>
    </row>
    <row r="4" spans="1:10" ht="72" customHeight="1" thickBot="1" x14ac:dyDescent="0.35">
      <c r="A4" s="103"/>
      <c r="B4" s="110"/>
      <c r="C4" s="109"/>
      <c r="D4" s="109"/>
      <c r="E4" s="109"/>
      <c r="F4" s="109"/>
      <c r="G4" s="109"/>
      <c r="H4" s="108"/>
      <c r="I4" s="107"/>
      <c r="J4" s="107"/>
    </row>
    <row r="5" spans="1:10" ht="4.5" customHeight="1" thickBot="1" x14ac:dyDescent="0.35">
      <c r="A5" s="103"/>
      <c r="B5" s="106"/>
      <c r="C5" s="106"/>
      <c r="D5" s="106"/>
      <c r="E5" s="105"/>
      <c r="F5" s="105"/>
      <c r="G5" s="105"/>
      <c r="H5" s="104"/>
    </row>
    <row r="6" spans="1:10" ht="50.25" customHeight="1" x14ac:dyDescent="0.3">
      <c r="A6" s="103"/>
      <c r="B6" s="102" t="s">
        <v>45</v>
      </c>
      <c r="C6" s="101"/>
      <c r="D6" s="101"/>
      <c r="E6" s="101"/>
      <c r="F6" s="101"/>
      <c r="G6" s="100"/>
      <c r="H6" s="99" t="s">
        <v>44</v>
      </c>
    </row>
    <row r="7" spans="1:10" ht="50.25" customHeight="1" thickBot="1" x14ac:dyDescent="0.35">
      <c r="A7" s="98"/>
      <c r="B7" s="97" t="s">
        <v>43</v>
      </c>
      <c r="C7" s="96"/>
      <c r="D7" s="96"/>
      <c r="E7" s="95"/>
      <c r="F7" s="94" t="s">
        <v>42</v>
      </c>
      <c r="G7" s="93" t="s">
        <v>41</v>
      </c>
      <c r="H7" s="92"/>
    </row>
    <row r="8" spans="1:10" ht="11.25" customHeight="1" thickBot="1" x14ac:dyDescent="0.35">
      <c r="A8" s="91" t="s">
        <v>40</v>
      </c>
      <c r="B8" s="90" t="s">
        <v>39</v>
      </c>
      <c r="C8" s="89" t="s">
        <v>38</v>
      </c>
      <c r="D8" s="89" t="s">
        <v>36</v>
      </c>
      <c r="E8" s="89" t="s">
        <v>37</v>
      </c>
      <c r="F8" s="89" t="s">
        <v>36</v>
      </c>
      <c r="G8" s="89" t="s">
        <v>36</v>
      </c>
      <c r="H8" s="88"/>
    </row>
    <row r="9" spans="1:10" ht="13.5" customHeight="1" outlineLevel="1" x14ac:dyDescent="0.3">
      <c r="A9" s="84" t="s">
        <v>35</v>
      </c>
      <c r="B9" s="87">
        <f>'[1]COST OF SALES'!$B$22</f>
        <v>0</v>
      </c>
      <c r="C9" s="87">
        <f>'[1]COST OF SALES'!$C$22</f>
        <v>0</v>
      </c>
      <c r="D9" s="87"/>
      <c r="E9" s="82"/>
      <c r="F9" s="86"/>
      <c r="G9" s="85"/>
      <c r="H9" s="81">
        <f>E9+F9+G9</f>
        <v>0</v>
      </c>
      <c r="J9" s="80"/>
    </row>
    <row r="10" spans="1:10" outlineLevel="1" x14ac:dyDescent="0.3">
      <c r="A10" s="84" t="s">
        <v>34</v>
      </c>
      <c r="B10" s="83"/>
      <c r="C10" s="83"/>
      <c r="D10" s="83"/>
      <c r="E10" s="82"/>
      <c r="F10" s="58"/>
      <c r="G10" s="53"/>
      <c r="H10" s="81">
        <f>E10+F10+G10</f>
        <v>0</v>
      </c>
      <c r="J10" s="80"/>
    </row>
    <row r="11" spans="1:10" ht="15.75" customHeight="1" outlineLevel="1" x14ac:dyDescent="0.3">
      <c r="A11" s="79" t="s">
        <v>33</v>
      </c>
      <c r="B11" s="78"/>
      <c r="C11" s="78"/>
      <c r="D11" s="78"/>
      <c r="E11" s="77"/>
      <c r="F11" s="76"/>
      <c r="G11" s="75"/>
      <c r="H11" s="45">
        <f>E11+F11+G11</f>
        <v>0</v>
      </c>
    </row>
    <row r="12" spans="1:10" ht="17.399999999999999" customHeight="1" thickBot="1" x14ac:dyDescent="0.35">
      <c r="A12" s="74" t="s">
        <v>32</v>
      </c>
      <c r="B12" s="43">
        <f>SUM(B9:B11)</f>
        <v>0</v>
      </c>
      <c r="C12" s="43">
        <f>SUM(C9:C11)</f>
        <v>0</v>
      </c>
      <c r="D12" s="43"/>
      <c r="E12" s="43"/>
      <c r="F12" s="43"/>
      <c r="G12" s="43"/>
      <c r="H12" s="42">
        <f>SUM(H9:H11)</f>
        <v>0</v>
      </c>
    </row>
    <row r="13" spans="1:10" ht="15.6" thickTop="1" thickBot="1" x14ac:dyDescent="0.35">
      <c r="A13" s="73" t="s">
        <v>31</v>
      </c>
      <c r="B13" s="72">
        <f>'[1]COST OF SALES'!B24</f>
        <v>0</v>
      </c>
      <c r="C13" s="72">
        <f>'[1]COST OF SALES'!C24</f>
        <v>0</v>
      </c>
      <c r="D13" s="72"/>
      <c r="E13" s="71"/>
      <c r="F13" s="70"/>
      <c r="G13" s="70"/>
      <c r="H13" s="69"/>
      <c r="I13" s="3"/>
    </row>
    <row r="14" spans="1:10" hidden="1" outlineLevel="1" x14ac:dyDescent="0.3">
      <c r="A14" s="68" t="s">
        <v>28</v>
      </c>
      <c r="B14" s="67"/>
      <c r="C14" s="67"/>
      <c r="D14" s="66"/>
      <c r="E14" s="65"/>
      <c r="F14" s="64"/>
      <c r="G14" s="64"/>
      <c r="H14" s="63">
        <f>E14+F14+G14</f>
        <v>0</v>
      </c>
    </row>
    <row r="15" spans="1:10" hidden="1" outlineLevel="1" x14ac:dyDescent="0.3">
      <c r="A15" s="50" t="s">
        <v>30</v>
      </c>
      <c r="B15" s="62"/>
      <c r="C15" s="62"/>
      <c r="D15" s="49"/>
      <c r="E15" s="61"/>
      <c r="F15" s="60"/>
      <c r="G15" s="59"/>
      <c r="H15" s="45">
        <f>E15+F15+G15</f>
        <v>0</v>
      </c>
    </row>
    <row r="16" spans="1:10" outlineLevel="1" x14ac:dyDescent="0.3">
      <c r="A16" s="50" t="s">
        <v>29</v>
      </c>
      <c r="B16" s="62"/>
      <c r="C16" s="62"/>
      <c r="D16" s="46"/>
      <c r="E16" s="61"/>
      <c r="F16" s="60"/>
      <c r="G16" s="59"/>
      <c r="H16" s="45">
        <f>E16+F16+G16</f>
        <v>0</v>
      </c>
    </row>
    <row r="17" spans="1:14" hidden="1" outlineLevel="1" x14ac:dyDescent="0.3">
      <c r="A17" s="50" t="s">
        <v>28</v>
      </c>
      <c r="B17" s="62"/>
      <c r="C17" s="62"/>
      <c r="D17" s="46"/>
      <c r="E17" s="61"/>
      <c r="F17" s="60"/>
      <c r="G17" s="59"/>
      <c r="H17" s="45"/>
    </row>
    <row r="18" spans="1:14" outlineLevel="1" x14ac:dyDescent="0.3">
      <c r="A18" s="37" t="s">
        <v>27</v>
      </c>
      <c r="B18" s="58"/>
      <c r="C18" s="58"/>
      <c r="D18" s="57"/>
      <c r="E18" s="48"/>
      <c r="F18" s="51"/>
      <c r="G18" s="51"/>
      <c r="H18" s="45">
        <f>E18+F18+G18</f>
        <v>0</v>
      </c>
    </row>
    <row r="19" spans="1:14" outlineLevel="1" x14ac:dyDescent="0.3">
      <c r="A19" s="50" t="s">
        <v>26</v>
      </c>
      <c r="B19" s="56"/>
      <c r="C19" s="56"/>
      <c r="D19" s="55"/>
      <c r="E19" s="48"/>
      <c r="F19" s="56"/>
      <c r="G19" s="56"/>
      <c r="H19" s="45">
        <f>E19+F19+G19</f>
        <v>0</v>
      </c>
    </row>
    <row r="20" spans="1:14" hidden="1" outlineLevel="1" x14ac:dyDescent="0.3">
      <c r="A20" s="50" t="s">
        <v>25</v>
      </c>
      <c r="B20" s="56"/>
      <c r="C20" s="56"/>
      <c r="D20" s="55"/>
      <c r="E20" s="48"/>
      <c r="F20" s="47"/>
      <c r="G20" s="46"/>
      <c r="H20" s="45">
        <f>E20+F20+G20</f>
        <v>0</v>
      </c>
    </row>
    <row r="21" spans="1:14" ht="13.5" hidden="1" customHeight="1" outlineLevel="1" x14ac:dyDescent="0.3">
      <c r="A21" s="50" t="s">
        <v>24</v>
      </c>
      <c r="B21" s="49"/>
      <c r="C21" s="49"/>
      <c r="D21" s="46"/>
      <c r="E21" s="48"/>
      <c r="F21" s="47"/>
      <c r="G21" s="46"/>
      <c r="H21" s="45">
        <f>E21+F21+G21</f>
        <v>0</v>
      </c>
      <c r="N21">
        <f>116514.26-50000</f>
        <v>66514.259999999995</v>
      </c>
    </row>
    <row r="22" spans="1:14" outlineLevel="1" x14ac:dyDescent="0.3">
      <c r="A22" s="50" t="s">
        <v>23</v>
      </c>
      <c r="B22" s="49"/>
      <c r="C22" s="49"/>
      <c r="D22" s="46"/>
      <c r="E22" s="48"/>
      <c r="F22" s="47"/>
      <c r="G22" s="46"/>
      <c r="H22" s="45">
        <f>E22+F22+G22</f>
        <v>0</v>
      </c>
    </row>
    <row r="23" spans="1:14" outlineLevel="1" x14ac:dyDescent="0.3">
      <c r="A23" s="50" t="s">
        <v>22</v>
      </c>
      <c r="B23" s="49"/>
      <c r="C23" s="49"/>
      <c r="D23" s="46"/>
      <c r="E23" s="48"/>
      <c r="F23" s="47"/>
      <c r="G23" s="46"/>
      <c r="H23" s="45">
        <f>E23+F23+G23</f>
        <v>0</v>
      </c>
    </row>
    <row r="24" spans="1:14" hidden="1" outlineLevel="1" x14ac:dyDescent="0.3">
      <c r="A24" s="50" t="s">
        <v>21</v>
      </c>
      <c r="B24" s="49"/>
      <c r="C24" s="49"/>
      <c r="D24" s="46"/>
      <c r="E24" s="48"/>
      <c r="F24" s="47"/>
      <c r="G24" s="46"/>
      <c r="H24" s="45">
        <f>E24+F24+G24</f>
        <v>0</v>
      </c>
    </row>
    <row r="25" spans="1:14" outlineLevel="1" x14ac:dyDescent="0.3">
      <c r="A25" s="50" t="s">
        <v>20</v>
      </c>
      <c r="B25" s="49"/>
      <c r="C25" s="49"/>
      <c r="D25" s="46"/>
      <c r="E25" s="48"/>
      <c r="F25" s="47"/>
      <c r="G25" s="46"/>
      <c r="H25" s="45">
        <f>E25+F25+G25</f>
        <v>0</v>
      </c>
    </row>
    <row r="26" spans="1:14" outlineLevel="1" x14ac:dyDescent="0.3">
      <c r="A26" s="50" t="s">
        <v>19</v>
      </c>
      <c r="B26" s="49"/>
      <c r="C26" s="49"/>
      <c r="D26" s="46"/>
      <c r="E26" s="48"/>
      <c r="F26" s="47"/>
      <c r="G26" s="46"/>
      <c r="H26" s="45">
        <f>E26+F26+G26</f>
        <v>0</v>
      </c>
    </row>
    <row r="27" spans="1:14" outlineLevel="1" x14ac:dyDescent="0.3">
      <c r="A27" s="50" t="s">
        <v>18</v>
      </c>
      <c r="B27" s="49"/>
      <c r="C27" s="49"/>
      <c r="D27" s="46"/>
      <c r="E27" s="48"/>
      <c r="F27" s="47"/>
      <c r="G27" s="46"/>
      <c r="H27" s="45">
        <f>E27+F27+G27</f>
        <v>0</v>
      </c>
    </row>
    <row r="28" spans="1:14" outlineLevel="1" x14ac:dyDescent="0.3">
      <c r="A28" s="50" t="s">
        <v>17</v>
      </c>
      <c r="B28" s="49"/>
      <c r="C28" s="49"/>
      <c r="D28" s="46"/>
      <c r="E28" s="48"/>
      <c r="F28" s="47"/>
      <c r="G28" s="47"/>
      <c r="H28" s="45">
        <f>E28+F28+G28</f>
        <v>0</v>
      </c>
    </row>
    <row r="29" spans="1:14" outlineLevel="1" x14ac:dyDescent="0.3">
      <c r="A29" s="50" t="s">
        <v>16</v>
      </c>
      <c r="B29" s="49"/>
      <c r="C29" s="49"/>
      <c r="D29" s="46"/>
      <c r="E29" s="48"/>
      <c r="F29" s="49"/>
      <c r="G29" s="49"/>
      <c r="H29" s="45">
        <f>E29+F29+G29</f>
        <v>0</v>
      </c>
    </row>
    <row r="30" spans="1:14" outlineLevel="1" x14ac:dyDescent="0.3">
      <c r="A30" s="54" t="s">
        <v>15</v>
      </c>
      <c r="B30" s="53"/>
      <c r="C30" s="53"/>
      <c r="D30" s="53"/>
      <c r="E30" s="48"/>
      <c r="F30" s="52"/>
      <c r="G30" s="51"/>
      <c r="H30" s="45">
        <f>E30+F30+G30</f>
        <v>0</v>
      </c>
    </row>
    <row r="31" spans="1:14" outlineLevel="1" x14ac:dyDescent="0.3">
      <c r="A31" s="50" t="s">
        <v>14</v>
      </c>
      <c r="B31" s="49"/>
      <c r="C31" s="49"/>
      <c r="D31" s="49"/>
      <c r="E31" s="48"/>
      <c r="F31" s="47"/>
      <c r="G31" s="46"/>
      <c r="H31" s="45"/>
    </row>
    <row r="32" spans="1:14" outlineLevel="1" x14ac:dyDescent="0.3">
      <c r="A32" s="50" t="s">
        <v>13</v>
      </c>
      <c r="B32" s="49"/>
      <c r="C32" s="49"/>
      <c r="D32" s="49"/>
      <c r="E32" s="48"/>
      <c r="F32" s="47"/>
      <c r="G32" s="46"/>
      <c r="H32" s="45">
        <f>E32+F32+G32</f>
        <v>0</v>
      </c>
    </row>
    <row r="33" spans="1:10" ht="23.4" customHeight="1" thickBot="1" x14ac:dyDescent="0.35">
      <c r="A33" s="44" t="s">
        <v>12</v>
      </c>
      <c r="B33" s="43">
        <f>SUM(B14:B32)</f>
        <v>0</v>
      </c>
      <c r="C33" s="43">
        <f>SUM(C14:C32)</f>
        <v>0</v>
      </c>
      <c r="D33" s="43"/>
      <c r="E33" s="43"/>
      <c r="F33" s="43"/>
      <c r="G33" s="43"/>
      <c r="H33" s="42">
        <f>SUM(H14:H32)</f>
        <v>0</v>
      </c>
    </row>
    <row r="34" spans="1:10" ht="15.6" outlineLevel="1" thickTop="1" thickBot="1" x14ac:dyDescent="0.35">
      <c r="A34" s="41" t="s">
        <v>11</v>
      </c>
      <c r="B34" s="39"/>
      <c r="C34" s="39"/>
      <c r="D34" s="39"/>
      <c r="E34" s="34"/>
      <c r="F34" s="40"/>
      <c r="G34" s="39"/>
      <c r="H34" s="38">
        <f>E34+F34+G34</f>
        <v>0</v>
      </c>
    </row>
    <row r="35" spans="1:10" ht="17.399999999999999" customHeight="1" outlineLevel="1" thickTop="1" x14ac:dyDescent="0.3">
      <c r="A35" s="37" t="s">
        <v>10</v>
      </c>
      <c r="B35" s="31"/>
      <c r="C35" s="36"/>
      <c r="D35" s="35"/>
      <c r="E35" s="34"/>
      <c r="F35" s="33"/>
      <c r="G35" s="32"/>
      <c r="H35" s="31">
        <f>E35+F35+G35</f>
        <v>0</v>
      </c>
    </row>
    <row r="36" spans="1:10" ht="21.6" customHeight="1" thickBot="1" x14ac:dyDescent="0.35">
      <c r="A36" s="30" t="s">
        <v>9</v>
      </c>
      <c r="B36" s="29">
        <f>SUM(B34:B35)</f>
        <v>0</v>
      </c>
      <c r="C36" s="29">
        <f>SUM(C34:C35)</f>
        <v>0</v>
      </c>
      <c r="D36" s="28"/>
      <c r="E36" s="28"/>
      <c r="F36" s="28"/>
      <c r="G36" s="28"/>
      <c r="H36" s="28">
        <f>SUM(H34:H35)</f>
        <v>0</v>
      </c>
    </row>
    <row r="37" spans="1:10" ht="27" customHeight="1" thickTop="1" thickBot="1" x14ac:dyDescent="0.35">
      <c r="A37" s="27" t="s">
        <v>8</v>
      </c>
      <c r="B37" s="26">
        <f>B33+B12+B36</f>
        <v>0</v>
      </c>
      <c r="C37" s="26">
        <f>C33+C12+C36</f>
        <v>0</v>
      </c>
      <c r="D37" s="26"/>
      <c r="E37" s="26"/>
      <c r="F37" s="26"/>
      <c r="G37" s="26"/>
      <c r="H37" s="26">
        <f>H33+H12</f>
        <v>0</v>
      </c>
    </row>
    <row r="38" spans="1:10" ht="12.75" hidden="1" customHeight="1" outlineLevel="1" x14ac:dyDescent="0.3">
      <c r="A38" s="25" t="s">
        <v>7</v>
      </c>
      <c r="B38" s="23"/>
      <c r="C38" s="23"/>
      <c r="D38" s="23"/>
      <c r="E38" s="24"/>
      <c r="F38" s="23"/>
      <c r="G38" s="23"/>
      <c r="H38" s="22">
        <f>D38+B38</f>
        <v>0</v>
      </c>
    </row>
    <row r="39" spans="1:10" ht="12.75" customHeight="1" outlineLevel="1" thickBot="1" x14ac:dyDescent="0.35">
      <c r="A39" s="21" t="s">
        <v>6</v>
      </c>
      <c r="B39" s="18">
        <v>0</v>
      </c>
      <c r="C39" s="18">
        <v>0</v>
      </c>
      <c r="D39" s="20"/>
      <c r="E39" s="19"/>
      <c r="F39" s="18"/>
      <c r="G39" s="18"/>
      <c r="H39" s="17">
        <f>E39+F39+G39</f>
        <v>0</v>
      </c>
    </row>
    <row r="40" spans="1:10" s="7" customFormat="1" ht="12.75" hidden="1" customHeight="1" outlineLevel="1" x14ac:dyDescent="0.35">
      <c r="A40" s="16" t="s">
        <v>5</v>
      </c>
      <c r="B40" s="13">
        <v>0</v>
      </c>
      <c r="C40" s="13">
        <v>0</v>
      </c>
      <c r="D40" s="13"/>
      <c r="E40" s="15"/>
      <c r="F40" s="14"/>
      <c r="G40" s="13"/>
      <c r="H40" s="13">
        <f>D40+B40</f>
        <v>0</v>
      </c>
      <c r="I40"/>
    </row>
    <row r="41" spans="1:10" ht="27.75" customHeight="1" thickBot="1" x14ac:dyDescent="0.35">
      <c r="A41" s="12" t="s">
        <v>4</v>
      </c>
      <c r="B41" s="11" t="e">
        <f>B37/(B38+B39+B40)</f>
        <v>#DIV/0!</v>
      </c>
      <c r="C41" s="11">
        <v>0</v>
      </c>
      <c r="D41" s="11"/>
      <c r="E41" s="10"/>
      <c r="F41" s="9"/>
      <c r="G41" s="8"/>
      <c r="H41" s="8"/>
      <c r="I41" s="7"/>
      <c r="J41" s="3"/>
    </row>
    <row r="42" spans="1:10" x14ac:dyDescent="0.3">
      <c r="B42" s="5"/>
      <c r="C42" s="5"/>
      <c r="D42" s="5"/>
      <c r="E42" s="5"/>
      <c r="F42" s="5"/>
      <c r="G42" s="5"/>
    </row>
    <row r="43" spans="1:10" x14ac:dyDescent="0.3">
      <c r="A43" s="6" t="s">
        <v>3</v>
      </c>
      <c r="B43" s="5"/>
      <c r="C43" s="5"/>
      <c r="D43" s="5"/>
      <c r="E43" s="5"/>
      <c r="F43" s="5"/>
      <c r="G43" s="5"/>
    </row>
    <row r="44" spans="1:10" x14ac:dyDescent="0.3">
      <c r="A44" s="4" t="s">
        <v>2</v>
      </c>
      <c r="B44" s="3"/>
      <c r="C44" s="3"/>
      <c r="D44" s="3"/>
      <c r="E44" s="3"/>
      <c r="F44" s="3"/>
      <c r="G44" s="3"/>
    </row>
    <row r="45" spans="1:10" x14ac:dyDescent="0.3">
      <c r="A45" s="4" t="s">
        <v>1</v>
      </c>
      <c r="B45" s="3"/>
      <c r="C45" s="3"/>
      <c r="D45" s="3"/>
      <c r="E45" s="3"/>
      <c r="F45" s="3"/>
      <c r="G45" s="3"/>
    </row>
    <row r="46" spans="1:10" x14ac:dyDescent="0.3">
      <c r="A46" s="4" t="s">
        <v>0</v>
      </c>
    </row>
    <row r="47" spans="1:10" ht="7.5" customHeight="1" x14ac:dyDescent="0.3">
      <c r="A47" s="4"/>
    </row>
    <row r="48" spans="1:10" x14ac:dyDescent="0.3">
      <c r="B48" s="3"/>
      <c r="C48" s="3"/>
      <c r="D48" s="3"/>
      <c r="E48" s="3"/>
      <c r="F48" s="3"/>
      <c r="G48" s="3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1"/>
    </row>
  </sheetData>
  <mergeCells count="6">
    <mergeCell ref="B5:D5"/>
    <mergeCell ref="B6:G6"/>
    <mergeCell ref="B7:E7"/>
    <mergeCell ref="A4:A7"/>
    <mergeCell ref="H6:H8"/>
    <mergeCell ref="B1:H4"/>
  </mergeCells>
  <pageMargins left="1.58" right="0.7" top="0.75" bottom="0.75" header="0.3" footer="0.3"/>
  <pageSetup paperSize="9" scale="58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MARCH 2026 CGSE</vt:lpstr>
      <vt:lpstr>'MARCH 2026 CGSE'!Print_Area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Alywin Aidan Baje</dc:creator>
  <cp:lastModifiedBy>Alywin Aidan Baje</cp:lastModifiedBy>
  <dcterms:created xsi:type="dcterms:W3CDTF">2026-07-18T01:04:02Z</dcterms:created>
  <dcterms:modified xsi:type="dcterms:W3CDTF">2026-07-18T01:04:40Z</dcterms:modified>
</cp:coreProperties>
</file>